
<file path=[Content_Types].xml><?xml version="1.0" encoding="utf-8"?>
<Types xmlns="http://schemas.openxmlformats.org/package/2006/content-types">
  <Default Extension="018cba18d7243d7974b30e2acbca6afc" ContentType="image/jpeg"/>
  <Default Extension="0335b9be8b1f63525cf0a898e3f23bed" ContentType="image/jpeg"/>
  <Default Extension="040aff26ac57d83856e2f846c0472874" ContentType="image/jpeg"/>
  <Default Extension="0590cf2a1c7526a2ed1403b80a7c694b" ContentType="image/png"/>
  <Default Extension="08d481ce2e6378c8b3492a5438438208" ContentType="image/jpeg"/>
  <Default Extension="0cebd113a042df59220ffef943c91086" ContentType="image/jpeg"/>
  <Default Extension="105f7944db0ae6d2e72c59412a229957" ContentType="image/jpeg"/>
  <Default Extension="10b40f1e7c7e73c7fa0dff6ffc33689d" ContentType="image/jpeg"/>
  <Default Extension="1a33b5115bfc290abc8869de29ebd567" ContentType="image/jpeg"/>
  <Default Extension="1BmcMxc0GtCt" ContentType="image/jpeg"/>
  <Default Extension="1lDz58" ContentType="image/jpeg"/>
  <Default Extension="246f78b1ebbe95e4f39bcd7df04a3ce6" ContentType="image/jpeg"/>
  <Default Extension="25df30c19d33bb8b6b2e0396595bbfd6" ContentType="image/jpeg"/>
  <Default Extension="2645723e4c6975ff4c578c04da130f2e" ContentType="image/jpeg"/>
  <Default Extension="2ca2f0cbeb50892f19196895e63ac761" ContentType="image/jpeg"/>
  <Default Extension="2cd9330c156b88cf38e058249385607a" ContentType="image/jpeg"/>
  <Default Extension="2d7b7af86f9a55648a4aec7fbe3969e6" ContentType="image/jpeg"/>
  <Default Extension="2e5ae37a1125e977eb781fe1567bce8a" ContentType="image/jpeg"/>
  <Default Extension="30a540e96f9b1b3398bbed65532e0126" ContentType="image/jpeg"/>
  <Default Extension="322ba1b2334b05382bac048c1bc3ec22" ContentType="image/jpeg"/>
  <Default Extension="32ccc3069387813a1cebca9111bc6498" ContentType="image/jpeg"/>
  <Default Extension="3386bc8d96f35351f9956787a1c677c6" ContentType="image/jpeg"/>
  <Default Extension="3ad9dc82b4ada40031ce05d559610900" ContentType="image/jpeg"/>
  <Default Extension="3d1f7cdd2e4b04d7d59c9c2070509b97" ContentType="image/jpeg"/>
  <Default Extension="3e3acdb31b9553a2f3a902adc762caf9" ContentType="image/jpeg"/>
  <Default Extension="3ebea6564e4b7edbc8b957a78f0f8d4e" ContentType="image/jpeg"/>
  <Default Extension="3f2c2e35d6d20f861bc4ca4ec4fd7ae8" ContentType="image/jpeg"/>
  <Default Extension="4b54a773b13f1918eeb48f0792a7914b" ContentType="image/jpeg"/>
  <Default Extension="4dfaa21c20368743c58453c3b36e3189" ContentType="image/jpeg"/>
  <Default Extension="55e18930b9f4f69172095b7b3b0671f6" ContentType="image/jpeg"/>
  <Default Extension="57eddb9e5c586f93ebb1965e3a27908b" ContentType="image/jpeg"/>
  <Default Extension="5b46ca7881de0bdad52482b03317e03c" ContentType="image/jpeg"/>
  <Default Extension="5ca82a675c844491e9b0ecb82e975a85" ContentType="image/jpeg"/>
  <Default Extension="5d1a5982f3d6830b92a8de1170d52293" ContentType="image/jpeg"/>
  <Default Extension="66c2ebf9a8cace2226269d70b1d3b0fc" ContentType="image/jpeg"/>
  <Default Extension="6d045ff0fc33a1c5f73e9eee1111d044" ContentType="image/jpeg"/>
  <Default Extension="71ec6e50c09b28d4a6ef80ad01877fb0" ContentType="image/jpeg"/>
  <Default Extension="73b74397e03b01d704713e78a3c5d314" ContentType="image/jpeg"/>
  <Default Extension="75c2b81210d1707ebd5a79ba71af5914" ContentType="image/jpeg"/>
  <Default Extension="767fb18401935a96730aaba9da627b58" ContentType="image/jpeg"/>
  <Default Extension="79603601c02fb12e2ae6810717b92274" ContentType="image/jpeg"/>
  <Default Extension="7ea08d999100e33f03f970c4c3a5b798" ContentType="image/jpeg"/>
  <Default Extension="7eecc7493acd5da763572de73e65abc1" ContentType="image/jpeg"/>
  <Default Extension="8e74392a9746afb6ff3d2cf8a35ab651" ContentType="image/jpeg"/>
  <Default Extension="8ebdfc7443092f62beea25dfd8750072" ContentType="image/jpeg"/>
  <Default Extension="8p2k5lHoxkLkVFhhRavwz0TU1HJcwyyrphMGrCfxYiE" ContentType="image/jpeg"/>
  <Default Extension="8zn8I87SMZQID1yeREa5ylZshLmieZDX" ContentType="image/jpeg"/>
  <Default Extension="91cdd8c2c217bcec6773ddb1c496a218" ContentType="image/jpeg"/>
  <Default Extension="932ac538df84eaccfd905470a02a2df0" ContentType="image/jpeg"/>
  <Default Extension="94086dce43b799884caf1b5baa7e59d4" ContentType="image/jpeg"/>
  <Default Extension="94d547e45ab6412094898994510adb0e" ContentType="image/jpeg"/>
  <Default Extension="989670e50ad251d79db87c50146adcce" ContentType="image/jpeg"/>
  <Default Extension="99c028b1beae003a52d1a43ed4d4c845" ContentType="image/jpeg"/>
  <Default Extension="9f29fb755a77bc301bc1999579ecdd64" ContentType="image/jpeg"/>
  <Default Extension="a" ContentType="image/jpeg"/>
  <Default Extension="a63573e184a1dd6a203fecd8090ad2ed" ContentType="image/jpeg"/>
  <Default Extension="b0fa55ae76926529331739d0cb9ebaf2" ContentType="image/jpeg"/>
  <Default Extension="b26bae4cab65f9f0c5318cfaee55717d" ContentType="image/jpeg"/>
  <Default Extension="b454208855b107f84295e713d7529f16" ContentType="image/jpeg"/>
  <Default Extension="b6a5970ae3dca3a8d37948add590bac6" ContentType="image/jpeg"/>
  <Default Extension="b7bf48b04f89c646e6afa3e8b89f10e2" ContentType="image/jpeg"/>
  <Default Extension="b84a4a5caaf94d53f6b7b6a08e532716" ContentType="image/jpeg"/>
  <Default Extension="ba16ef5b1a62624fff12d7049683342e" ContentType="image/jpeg"/>
  <Default Extension="bd2a569fefd12ea471208670e0e1bc94" ContentType="image/jpeg"/>
  <Default Extension="c224c44215953502f78d61b92b10e01b" ContentType="image/jpeg"/>
  <Default Extension="c282afb0e6060bf15f29d7ebf581fff8" ContentType="image/jpeg"/>
  <Default Extension="c487ba4ced6ceb655b94fb1585b38896" ContentType="image/jpeg"/>
  <Default Extension="c5f048e17508b581af8aae6a4c506eb1" ContentType="image/jpeg"/>
  <Default Extension="c608165a1b4877d6710ef59734d0800e" ContentType="image/jpeg"/>
  <Default Extension="c99b55cf0754f68c8604be95a595b050" ContentType="image/jpeg"/>
  <Default Extension="ca6f2d89ccaf37336ed80137ab5b9516" ContentType="image/jpeg"/>
  <Default Extension="ce72c991fa8eb54e1fd5f8ff9ee41658" ContentType="image/jpeg"/>
  <Default Extension="ced05ad7f720b03979b07bac539097c8" ContentType="image/jpeg"/>
  <Default Extension="cf17e786b97fde4860ff0b98a404701f" ContentType="image/jpeg"/>
  <Default Extension="D4xwjISfUSLao3ePvCDt13L2x2dVn" ContentType="image/jpeg"/>
  <Default Extension="d603cc664aacae23506060091bb6f52d" ContentType="image/jpeg"/>
  <Default Extension="d6a93a92f09e8d8412ff984010efbef7" ContentType="image/jpeg"/>
  <Default Extension="d86e69d23c6b77dee6209c6f646f4af8" ContentType="image/jpeg"/>
  <Default Extension="d9b621cc7d88019e0d716dda1c17a307" ContentType="image/jpeg"/>
  <Default Extension="da87c1cf0c6018a4d764a1a556d3f0e1" ContentType="image/jpeg"/>
  <Default Extension="e22694cdd7f986bb3ef2c0110d877bba" ContentType="image/jpeg"/>
  <Default Extension="e2c3dbad92079182e0cfc64b79c56e63" ContentType="image/jpeg"/>
  <Default Extension="e7d009975b862b150b78155159099346" ContentType="image/jpeg"/>
  <Default Extension="e965f24f2ce2a4b2b55f2d2c8f816720" ContentType="image/jpeg"/>
  <Default Extension="e9b07c266e405c9ce734f8ba78f77571" ContentType="image/jpeg"/>
  <Default Extension="EaGKENylPymKR2vxwyKFWGRGtGNcLXtM8meCLdtsfYI" ContentType="image/jpeg"/>
  <Default Extension="EDIyGEDE84y3RamnSCf3LbkoTiNKb26NajoSDYpHyko" ContentType="image/jpeg"/>
  <Default Extension="eec76c0ad67c3f351e6fc949b2ac827f" ContentType="image/jpeg"/>
  <Default Extension="eed42b6c83e37f53f33fb6943649bb48" ContentType="image/jpeg"/>
  <Default Extension="EefusVIgl7D5qWmwc1MlcioTrwylPbwhfm2dLW4Cpbo" ContentType="image/jpeg"/>
  <Default Extension="f250f07523766045d1f84d44aa69633c" ContentType="image/jpeg"/>
  <Default Extension="f3c491f7dd42b671a692606776614e6b" ContentType="image/png"/>
  <Default Extension="f76d61233f343ee299a43a3238c04b23" ContentType="image/jpeg"/>
  <Default Extension="f7fdc0797674edd230ee73aba17b77d2" ContentType="image/jpeg"/>
  <Default Extension="f8cbd8a69fefe8348641e56808000d99" ContentType="image/jpeg"/>
  <Default Extension="fb4d51ce3b3c5a41b4f906a3da0010c7" ContentType="image/jpeg"/>
  <Default Extension="fda9e53ebc3cfcb82bd9b5ab4f11c264" ContentType="image/jpeg"/>
  <Default Extension="ffaa47f2f4e92fa19bdb4953fe6f287a" ContentType="image/jpeg"/>
  <Default Extension="GqOT1qhL9G6u" ContentType="image/jpeg"/>
  <Default Extension="gYPtm5v9C4" ContentType="image/jpeg"/>
  <Default Extension="jpeg" ContentType="image/jpeg"/>
  <Default Extension="LcRMeggx03inKPTzwsb4AzxlvPrHqvGePwbrfJ4NTQI" ContentType="image/jpeg"/>
  <Default Extension="ljNl0oWNJzuDnfkeG13wyiykWTzXRgDIr3ZtPQyxM" ContentType="image/jpeg"/>
  <Default Extension="LNADp9m9ngm3oSK0K7z5EDtN" ContentType="image/jpeg"/>
  <Default Extension="mTs9AdlNDLziaMN3BIhJpWCGZaOOUwqIR2jN3FJEeTw" ContentType="image/png"/>
  <Default Extension="Rc1Qm5pTk2AzdVwLkeN3DhYhvHNZ8GgfGxCUCZntD64" ContentType="image/jpeg"/>
  <Default Extension="rels" ContentType="application/vnd.openxmlformats-package.relationships+xml"/>
  <Default Extension="S" ContentType="image/jpeg"/>
  <Default Extension="TECalGdjYkn5qFYM2wGnHhJgO5IgABLcGZwbeZUv2pw" ContentType="image/jpeg"/>
  <Default Extension="TKPSvA" ContentType="image/jpeg"/>
  <Default Extension="tX4SMFps4CYK8kF24UIm56tPjW" ContentType="image/jpeg"/>
  <Default Extension="uZwEjKcMrq7mRuJ7EfXa8W1XqF" ContentType="image/jpeg"/>
  <Default Extension="wh" ContentType="image/jpeg"/>
  <Default Extension="WmoS0gHjANRJSdYNHA64N5PdRRN3Ixgv0cesvBZZacU" ContentType="image/jpeg"/>
  <Default Extension="xml" ContentType="application/xml"/>
  <Default Extension="YyStd3n6FeCyDWZVKn54i8IqezKRsFpq7XThd1PUiDk" ContentType="image/jpeg"/>
  <Default Extension="Zl2rYbEOa6RnR5PxgY7VLDcsFkfskAZrZiNUjyMAlyM"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khano\OneDrive\Desktop\Microsoft Excel 2025\Course Material\"/>
    </mc:Choice>
  </mc:AlternateContent>
  <xr:revisionPtr revIDLastSave="0" documentId="13_ncr:1_{BB6E74DE-108D-4C59-B116-DC30BA3B38DD}" xr6:coauthVersionLast="47" xr6:coauthVersionMax="47" xr10:uidLastSave="{00000000-0000-0000-0000-000000000000}"/>
  <bookViews>
    <workbookView xWindow="-113" yWindow="-113" windowWidth="24267" windowHeight="13023" xr2:uid="{00000000-000D-0000-FFFF-FFFF00000000}"/>
  </bookViews>
  <sheets>
    <sheet name="Data Types in Excel"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 l="1" a="1"/>
  <c r="AG2" i="1" s="1"/>
  <c r="AG3" i="1" a="1"/>
  <c r="AG3" i="1" s="1"/>
  <c r="AG4" i="1" a="1"/>
  <c r="AG4" i="1" s="1"/>
  <c r="AG5" i="1" a="1"/>
  <c r="AG5" i="1" s="1"/>
  <c r="AG6" i="1" a="1"/>
  <c r="AG6" i="1" s="1"/>
  <c r="AG7" i="1" a="1"/>
  <c r="AG7" i="1" s="1"/>
  <c r="AG8" i="1" a="1"/>
  <c r="AG8" i="1" s="1"/>
  <c r="AG9" i="1" a="1"/>
  <c r="AG9" i="1" s="1"/>
  <c r="AG10" i="1" a="1"/>
  <c r="AG10" i="1" s="1"/>
  <c r="AG11" i="1" a="1"/>
  <c r="AG11" i="1" s="1"/>
  <c r="AG12" i="1" a="1"/>
  <c r="AG12" i="1" s="1"/>
  <c r="AG13" i="1" a="1"/>
  <c r="AG13" i="1" s="1"/>
  <c r="AG14" i="1" a="1"/>
  <c r="AG14" i="1" s="1"/>
  <c r="AG15" i="1" a="1"/>
  <c r="AG15" i="1" s="1"/>
  <c r="AG16" i="1" a="1"/>
  <c r="AG16" i="1" s="1"/>
  <c r="AG17" i="1" a="1"/>
  <c r="AG17" i="1" s="1"/>
  <c r="AG18" i="1" a="1"/>
  <c r="AG18" i="1" s="1"/>
  <c r="AG19" i="1" a="1"/>
  <c r="AG19" i="1" s="1"/>
  <c r="AG20" i="1" a="1"/>
  <c r="AG20" i="1" s="1"/>
  <c r="AG21" i="1" a="1"/>
  <c r="AG21" i="1" s="1"/>
  <c r="AG22" i="1" a="1"/>
  <c r="AG22" i="1" s="1"/>
  <c r="AG23" i="1" a="1"/>
  <c r="AG23" i="1" s="1"/>
  <c r="AG24" i="1" a="1"/>
  <c r="AG24" i="1" s="1"/>
  <c r="AG25" i="1" a="1"/>
  <c r="AG25" i="1" s="1"/>
  <c r="AG26" i="1" a="1"/>
  <c r="AG26" i="1" s="1"/>
  <c r="AG27" i="1" a="1"/>
  <c r="AG27" i="1" s="1"/>
  <c r="AG28" i="1" a="1"/>
  <c r="AG28" i="1" s="1"/>
  <c r="AG29" i="1" a="1"/>
  <c r="AG29" i="1" s="1"/>
  <c r="AG30" i="1" a="1"/>
  <c r="AG30" i="1" s="1"/>
  <c r="AG31" i="1" a="1"/>
  <c r="AG31" i="1" s="1"/>
  <c r="AG32" i="1" a="1"/>
  <c r="AG32" i="1" s="1"/>
  <c r="AG33" i="1" a="1"/>
  <c r="AG33" i="1" s="1"/>
  <c r="AG34" i="1" a="1"/>
  <c r="AG34" i="1" s="1"/>
  <c r="AG35" i="1" a="1"/>
  <c r="AG35" i="1" s="1"/>
  <c r="AG36" i="1" a="1"/>
  <c r="AG36" i="1" s="1"/>
  <c r="AG37" i="1" a="1"/>
  <c r="AG37" i="1" s="1"/>
  <c r="AG38" i="1" a="1"/>
  <c r="AG38" i="1" s="1"/>
  <c r="AG39" i="1" a="1"/>
  <c r="AG39" i="1" s="1"/>
  <c r="AG40" i="1" a="1"/>
  <c r="AG40" i="1" s="1"/>
  <c r="AG41" i="1" a="1"/>
  <c r="AG41" i="1" s="1"/>
  <c r="AG42" i="1" a="1"/>
  <c r="AG42" i="1" s="1"/>
  <c r="AG43" i="1" a="1"/>
  <c r="AG43" i="1" s="1"/>
  <c r="AG44" i="1" a="1"/>
  <c r="AG44" i="1" s="1"/>
  <c r="AG45" i="1" a="1"/>
  <c r="AG45" i="1" s="1"/>
  <c r="AG46" i="1" a="1"/>
  <c r="AG46" i="1" s="1"/>
  <c r="AG47" i="1" a="1"/>
  <c r="AG47" i="1" s="1"/>
  <c r="AG48" i="1" a="1"/>
  <c r="AG48" i="1" s="1"/>
  <c r="AG49" i="1" a="1"/>
  <c r="AG49" i="1" s="1"/>
  <c r="AG50" i="1" a="1"/>
  <c r="AG50" i="1" s="1"/>
  <c r="AG51" i="1" a="1"/>
  <c r="AG51" i="1" s="1"/>
  <c r="AG52" i="1" a="1"/>
  <c r="AG52" i="1" s="1"/>
  <c r="AG53" i="1" a="1"/>
  <c r="AG53" i="1" s="1"/>
  <c r="AG54" i="1" a="1"/>
  <c r="AG54" i="1" s="1"/>
  <c r="AG55" i="1" a="1"/>
  <c r="AG55" i="1" s="1"/>
  <c r="AG56" i="1" a="1"/>
  <c r="AG56" i="1" s="1"/>
  <c r="AG57" i="1" a="1"/>
  <c r="AG57" i="1" s="1"/>
  <c r="AG58" i="1" a="1"/>
  <c r="AG58" i="1" s="1"/>
  <c r="AG59" i="1" a="1"/>
  <c r="AG59" i="1" s="1"/>
  <c r="AG60" i="1" a="1"/>
  <c r="AG60" i="1" s="1"/>
  <c r="AG61" i="1" a="1"/>
  <c r="AG61" i="1" s="1"/>
  <c r="AG62" i="1" a="1"/>
  <c r="AG62" i="1" s="1"/>
  <c r="AG63" i="1" a="1"/>
  <c r="AG63" i="1" s="1"/>
  <c r="AG64" i="1" a="1"/>
  <c r="AG64" i="1" s="1"/>
  <c r="AG65" i="1" a="1"/>
  <c r="AG65" i="1" s="1"/>
  <c r="AG66" i="1" a="1"/>
  <c r="AG66" i="1" s="1"/>
  <c r="AG67" i="1" a="1"/>
  <c r="AG67" i="1" s="1"/>
  <c r="AG68" i="1" a="1"/>
  <c r="AG68" i="1" s="1"/>
  <c r="AG69" i="1" a="1"/>
  <c r="AG69" i="1" s="1"/>
  <c r="AG70" i="1" a="1"/>
  <c r="AG70" i="1" s="1"/>
  <c r="AG71" i="1" a="1"/>
  <c r="AG71" i="1" s="1"/>
  <c r="AG72" i="1" a="1"/>
  <c r="AG72" i="1" s="1"/>
  <c r="AG73" i="1" a="1"/>
  <c r="AG73" i="1" s="1"/>
  <c r="AG74" i="1" a="1"/>
  <c r="AG74" i="1" s="1"/>
  <c r="AG75" i="1" a="1"/>
  <c r="AG75" i="1" s="1"/>
  <c r="AG76" i="1" a="1"/>
  <c r="AG76" i="1" s="1"/>
  <c r="AG77" i="1" a="1"/>
  <c r="AG77" i="1" s="1"/>
  <c r="AG78" i="1" a="1"/>
  <c r="AG78" i="1" s="1"/>
  <c r="AG79" i="1" a="1"/>
  <c r="AG79" i="1" s="1"/>
  <c r="AG80" i="1" a="1"/>
  <c r="AG80" i="1" s="1"/>
  <c r="AF2" i="1" a="1"/>
  <c r="AF2" i="1" s="1"/>
  <c r="AF3" i="1" a="1"/>
  <c r="AF3" i="1"/>
  <c r="AF4" i="1" a="1"/>
  <c r="AF4" i="1" s="1"/>
  <c r="AF5" i="1" a="1"/>
  <c r="AF5" i="1" s="1"/>
  <c r="AF6" i="1" a="1"/>
  <c r="AF6" i="1" s="1"/>
  <c r="AF7" i="1" a="1"/>
  <c r="AF7" i="1"/>
  <c r="AF8" i="1" a="1"/>
  <c r="AF8" i="1" s="1"/>
  <c r="AF9" i="1" a="1"/>
  <c r="AF9" i="1" s="1"/>
  <c r="AF10" i="1" a="1"/>
  <c r="AF10" i="1" s="1"/>
  <c r="AF11" i="1" a="1"/>
  <c r="AF11" i="1"/>
  <c r="AF12" i="1" a="1"/>
  <c r="AF12" i="1" s="1"/>
  <c r="AF13" i="1" a="1"/>
  <c r="AF13" i="1" s="1"/>
  <c r="AF14" i="1" a="1"/>
  <c r="AF14" i="1" s="1"/>
  <c r="AF15" i="1" a="1"/>
  <c r="AF15" i="1"/>
  <c r="AF16" i="1" a="1"/>
  <c r="AF16" i="1" s="1"/>
  <c r="AF17" i="1" a="1"/>
  <c r="AF17" i="1" s="1"/>
  <c r="AF18" i="1" a="1"/>
  <c r="AF18" i="1" s="1"/>
  <c r="AF19" i="1" a="1"/>
  <c r="AF19" i="1"/>
  <c r="AF20" i="1" a="1"/>
  <c r="AF20" i="1" s="1"/>
  <c r="AF21" i="1" a="1"/>
  <c r="AF21" i="1" s="1"/>
  <c r="AF22" i="1" a="1"/>
  <c r="AF22" i="1" s="1"/>
  <c r="AF23" i="1" a="1"/>
  <c r="AF23" i="1"/>
  <c r="AF24" i="1" a="1"/>
  <c r="AF24" i="1" s="1"/>
  <c r="AF25" i="1" a="1"/>
  <c r="AF25" i="1" s="1"/>
  <c r="AF26" i="1" a="1"/>
  <c r="AF26" i="1" s="1"/>
  <c r="AF27" i="1" a="1"/>
  <c r="AF27" i="1"/>
  <c r="AF28" i="1" a="1"/>
  <c r="AF28" i="1" s="1"/>
  <c r="AF29" i="1" a="1"/>
  <c r="AF29" i="1" s="1"/>
  <c r="AF30" i="1" a="1"/>
  <c r="AF30" i="1" s="1"/>
  <c r="AF31" i="1" a="1"/>
  <c r="AF31" i="1"/>
  <c r="AF32" i="1" a="1"/>
  <c r="AF32" i="1" s="1"/>
  <c r="AF33" i="1" a="1"/>
  <c r="AF33" i="1" s="1"/>
  <c r="AF34" i="1" a="1"/>
  <c r="AF34" i="1" s="1"/>
  <c r="AF35" i="1" a="1"/>
  <c r="AF35" i="1"/>
  <c r="AF36" i="1" a="1"/>
  <c r="AF36" i="1" s="1"/>
  <c r="AF37" i="1" a="1"/>
  <c r="AF37" i="1" s="1"/>
  <c r="AF38" i="1" a="1"/>
  <c r="AF38" i="1" s="1"/>
  <c r="AF39" i="1" a="1"/>
  <c r="AF39" i="1"/>
  <c r="AF40" i="1" a="1"/>
  <c r="AF40" i="1" s="1"/>
  <c r="AF41" i="1" a="1"/>
  <c r="AF41" i="1" s="1"/>
  <c r="AF42" i="1" a="1"/>
  <c r="AF42" i="1" s="1"/>
  <c r="AF43" i="1" a="1"/>
  <c r="AF43" i="1"/>
  <c r="AF44" i="1" a="1"/>
  <c r="AF44" i="1" s="1"/>
  <c r="AF45" i="1" a="1"/>
  <c r="AF45" i="1" s="1"/>
  <c r="AF46" i="1" a="1"/>
  <c r="AF46" i="1" s="1"/>
  <c r="AF47" i="1" a="1"/>
  <c r="AF47" i="1"/>
  <c r="AF48" i="1" a="1"/>
  <c r="AF48" i="1" s="1"/>
  <c r="AF49" i="1" a="1"/>
  <c r="AF49" i="1" s="1"/>
  <c r="AF50" i="1" a="1"/>
  <c r="AF50" i="1" s="1"/>
  <c r="AF51" i="1" a="1"/>
  <c r="AF51" i="1"/>
  <c r="AF52" i="1" a="1"/>
  <c r="AF52" i="1" s="1"/>
  <c r="AF53" i="1" a="1"/>
  <c r="AF53" i="1" s="1"/>
  <c r="AF54" i="1" a="1"/>
  <c r="AF54" i="1" s="1"/>
  <c r="AF55" i="1" a="1"/>
  <c r="AF55" i="1"/>
  <c r="AF56" i="1" a="1"/>
  <c r="AF56" i="1" s="1"/>
  <c r="AF57" i="1" a="1"/>
  <c r="AF57" i="1" s="1"/>
  <c r="AF58" i="1" a="1"/>
  <c r="AF58" i="1" s="1"/>
  <c r="AF59" i="1" a="1"/>
  <c r="AF59" i="1"/>
  <c r="AF60" i="1" a="1"/>
  <c r="AF60" i="1" s="1"/>
  <c r="AF61" i="1" a="1"/>
  <c r="AF61" i="1" s="1"/>
  <c r="AF62" i="1" a="1"/>
  <c r="AF62" i="1" s="1"/>
  <c r="AF63" i="1" a="1"/>
  <c r="AF63" i="1"/>
  <c r="AF64" i="1" a="1"/>
  <c r="AF64" i="1" s="1"/>
  <c r="AF65" i="1" a="1"/>
  <c r="AF65" i="1" s="1"/>
  <c r="AF66" i="1" a="1"/>
  <c r="AF66" i="1" s="1"/>
  <c r="AF67" i="1" a="1"/>
  <c r="AF67" i="1"/>
  <c r="AF68" i="1" a="1"/>
  <c r="AF68" i="1" s="1"/>
  <c r="AF69" i="1" a="1"/>
  <c r="AF69" i="1" s="1"/>
  <c r="AF70" i="1" a="1"/>
  <c r="AF70" i="1" s="1"/>
  <c r="AF71" i="1" a="1"/>
  <c r="AF71" i="1"/>
  <c r="AF72" i="1" a="1"/>
  <c r="AF72" i="1" s="1"/>
  <c r="AF73" i="1" a="1"/>
  <c r="AF73" i="1" s="1"/>
  <c r="AF74" i="1" a="1"/>
  <c r="AF74" i="1" s="1"/>
  <c r="AF75" i="1" a="1"/>
  <c r="AF75" i="1"/>
  <c r="AF76" i="1" a="1"/>
  <c r="AF76" i="1" s="1"/>
  <c r="AF77" i="1" a="1"/>
  <c r="AF77" i="1" s="1"/>
  <c r="AF78" i="1" a="1"/>
  <c r="AF78" i="1" s="1"/>
  <c r="AF79" i="1" a="1"/>
  <c r="AF79" i="1"/>
  <c r="AF80" i="1" a="1"/>
  <c r="AF80" i="1" s="1"/>
  <c r="AE2" i="1" a="1"/>
  <c r="AE2" i="1" s="1"/>
  <c r="AE3" i="1" a="1"/>
  <c r="AE3" i="1" s="1"/>
  <c r="AE4" i="1" a="1"/>
  <c r="AE4" i="1" s="1"/>
  <c r="AE5" i="1" a="1"/>
  <c r="AE5" i="1" s="1"/>
  <c r="AE6" i="1" a="1"/>
  <c r="AE6" i="1" s="1"/>
  <c r="AE7" i="1" a="1"/>
  <c r="AE7" i="1" s="1"/>
  <c r="AE8" i="1" a="1"/>
  <c r="AE8" i="1" s="1"/>
  <c r="AE9" i="1" a="1"/>
  <c r="AE9" i="1" s="1"/>
  <c r="AE10" i="1" a="1"/>
  <c r="AE10" i="1" s="1"/>
  <c r="AE11" i="1" a="1"/>
  <c r="AE11" i="1" s="1"/>
  <c r="AE12" i="1" a="1"/>
  <c r="AE12" i="1" s="1"/>
  <c r="AE13" i="1" a="1"/>
  <c r="AE13" i="1" s="1"/>
  <c r="AE14" i="1" a="1"/>
  <c r="AE14" i="1" s="1"/>
  <c r="AE15" i="1" a="1"/>
  <c r="AE15" i="1" s="1"/>
  <c r="AE16" i="1" a="1"/>
  <c r="AE16" i="1" s="1"/>
  <c r="AE17" i="1" a="1"/>
  <c r="AE17" i="1" s="1"/>
  <c r="AE18" i="1" a="1"/>
  <c r="AE18" i="1" s="1"/>
  <c r="AE19" i="1" a="1"/>
  <c r="AE19" i="1" s="1"/>
  <c r="AE20" i="1" a="1"/>
  <c r="AE20" i="1" s="1"/>
  <c r="AE21" i="1" a="1"/>
  <c r="AE21" i="1" s="1"/>
  <c r="AE22" i="1" a="1"/>
  <c r="AE22" i="1" s="1"/>
  <c r="AE23" i="1" a="1"/>
  <c r="AE23" i="1" s="1"/>
  <c r="AE24" i="1" a="1"/>
  <c r="AE24" i="1" s="1"/>
  <c r="AE25" i="1" a="1"/>
  <c r="AE25" i="1" s="1"/>
  <c r="AE26" i="1" a="1"/>
  <c r="AE26" i="1" s="1"/>
  <c r="AE27" i="1" a="1"/>
  <c r="AE27" i="1" s="1"/>
  <c r="AE28" i="1" a="1"/>
  <c r="AE28" i="1" s="1"/>
  <c r="AE29" i="1" a="1"/>
  <c r="AE29" i="1" s="1"/>
  <c r="AE30" i="1" a="1"/>
  <c r="AE30" i="1" s="1"/>
  <c r="AE31" i="1" a="1"/>
  <c r="AE31" i="1"/>
  <c r="AE32" i="1" a="1"/>
  <c r="AE32" i="1" s="1"/>
  <c r="AE33" i="1" a="1"/>
  <c r="AE33" i="1" s="1"/>
  <c r="AE34" i="1" a="1"/>
  <c r="AE34" i="1" s="1"/>
  <c r="AE35" i="1" a="1"/>
  <c r="AE35" i="1" s="1"/>
  <c r="AE36" i="1" a="1"/>
  <c r="AE36" i="1" s="1"/>
  <c r="AE37" i="1" a="1"/>
  <c r="AE37" i="1" s="1"/>
  <c r="AE38" i="1" a="1"/>
  <c r="AE38" i="1" s="1"/>
  <c r="AE39" i="1" a="1"/>
  <c r="AE39" i="1" s="1"/>
  <c r="AE40" i="1" a="1"/>
  <c r="AE40" i="1" s="1"/>
  <c r="AE41" i="1" a="1"/>
  <c r="AE41" i="1" s="1"/>
  <c r="AE42" i="1" a="1"/>
  <c r="AE42" i="1" s="1"/>
  <c r="AE43" i="1" a="1"/>
  <c r="AE43" i="1" s="1"/>
  <c r="AE44" i="1" a="1"/>
  <c r="AE44" i="1" s="1"/>
  <c r="AE45" i="1" a="1"/>
  <c r="AE45" i="1" s="1"/>
  <c r="AE46" i="1" a="1"/>
  <c r="AE46" i="1" s="1"/>
  <c r="AE47" i="1" a="1"/>
  <c r="AE47" i="1" s="1"/>
  <c r="AE48" i="1" a="1"/>
  <c r="AE48" i="1" s="1"/>
  <c r="AE49" i="1" a="1"/>
  <c r="AE49" i="1" s="1"/>
  <c r="AE50" i="1" a="1"/>
  <c r="AE50" i="1" s="1"/>
  <c r="AE51" i="1" a="1"/>
  <c r="AE51" i="1" s="1"/>
  <c r="AE52" i="1" a="1"/>
  <c r="AE52" i="1" s="1"/>
  <c r="AE53" i="1" a="1"/>
  <c r="AE53" i="1" s="1"/>
  <c r="AE54" i="1" a="1"/>
  <c r="AE54" i="1" s="1"/>
  <c r="AE55" i="1" a="1"/>
  <c r="AE55" i="1" s="1"/>
  <c r="AE56" i="1" a="1"/>
  <c r="AE56" i="1" s="1"/>
  <c r="AE57" i="1" a="1"/>
  <c r="AE57" i="1" s="1"/>
  <c r="AE58" i="1" a="1"/>
  <c r="AE58" i="1" s="1"/>
  <c r="AE59" i="1" a="1"/>
  <c r="AE59" i="1" s="1"/>
  <c r="AE60" i="1" a="1"/>
  <c r="AE60" i="1" s="1"/>
  <c r="AE61" i="1" a="1"/>
  <c r="AE61" i="1" s="1"/>
  <c r="AE62" i="1" a="1"/>
  <c r="AE62" i="1" s="1"/>
  <c r="AE63" i="1" a="1"/>
  <c r="AE63" i="1" s="1"/>
  <c r="AE64" i="1" a="1"/>
  <c r="AE64" i="1" s="1"/>
  <c r="AE65" i="1" a="1"/>
  <c r="AE65" i="1" s="1"/>
  <c r="AE66" i="1" a="1"/>
  <c r="AE66" i="1" s="1"/>
  <c r="AE67" i="1" a="1"/>
  <c r="AE67" i="1" s="1"/>
  <c r="AE68" i="1" a="1"/>
  <c r="AE68" i="1" s="1"/>
  <c r="AE69" i="1" a="1"/>
  <c r="AE69" i="1" s="1"/>
  <c r="AE70" i="1" a="1"/>
  <c r="AE70" i="1" s="1"/>
  <c r="AE71" i="1" a="1"/>
  <c r="AE71" i="1"/>
  <c r="AE72" i="1" a="1"/>
  <c r="AE72" i="1" s="1"/>
  <c r="AE73" i="1" a="1"/>
  <c r="AE73" i="1" s="1"/>
  <c r="AE74" i="1" a="1"/>
  <c r="AE74" i="1" s="1"/>
  <c r="AE75" i="1" a="1"/>
  <c r="AE75" i="1" s="1"/>
  <c r="AE76" i="1" a="1"/>
  <c r="AE76" i="1" s="1"/>
  <c r="AE77" i="1" a="1"/>
  <c r="AE77" i="1" s="1"/>
  <c r="AE78" i="1" a="1"/>
  <c r="AE78" i="1" s="1"/>
  <c r="AE79" i="1" a="1"/>
  <c r="AE79" i="1" s="1"/>
  <c r="AE80" i="1" a="1"/>
  <c r="AE80" i="1" s="1"/>
  <c r="AA62" i="1" a="1"/>
  <c r="AA62" i="1" s="1"/>
  <c r="AD62" i="1" a="1"/>
  <c r="AD62" i="1" s="1"/>
  <c r="AD54" i="1" a="1"/>
  <c r="AD54" i="1" s="1"/>
  <c r="AD51" i="1" a="1"/>
  <c r="AD51" i="1" s="1"/>
  <c r="AD59" i="1" a="1"/>
  <c r="AD59" i="1" s="1"/>
  <c r="AD60" i="1" a="1"/>
  <c r="AD60" i="1" s="1"/>
  <c r="AD61" i="1" a="1"/>
  <c r="AD61" i="1" s="1"/>
  <c r="AD45" i="1" a="1"/>
  <c r="AD45" i="1" s="1"/>
  <c r="AD63" i="1" a="1"/>
  <c r="AD63" i="1" s="1"/>
  <c r="AD48" i="1" a="1"/>
  <c r="AD48" i="1" s="1"/>
  <c r="AD24" i="1" a="1"/>
  <c r="AD24" i="1" s="1"/>
  <c r="AD26" i="1" a="1"/>
  <c r="AD26" i="1" s="1"/>
  <c r="AD41" i="1" a="1"/>
  <c r="AD41" i="1" s="1"/>
  <c r="AD56" i="1" a="1"/>
  <c r="AD56" i="1" s="1"/>
  <c r="AD50" i="1" a="1"/>
  <c r="AD50" i="1" s="1"/>
  <c r="AD22" i="1" a="1"/>
  <c r="AD22" i="1" s="1"/>
  <c r="AD64" i="1" a="1"/>
  <c r="AD64" i="1" s="1"/>
  <c r="AD40" i="1" a="1"/>
  <c r="AD40" i="1" s="1"/>
  <c r="AD58" i="1" a="1"/>
  <c r="AD58" i="1" s="1"/>
  <c r="AD36" i="1" a="1"/>
  <c r="AD36" i="1" s="1"/>
  <c r="AD65" i="1" a="1"/>
  <c r="AD65" i="1" s="1"/>
  <c r="AD37" i="1" a="1"/>
  <c r="AD37" i="1" s="1"/>
  <c r="AD34" i="1" a="1"/>
  <c r="AD34" i="1" s="1"/>
  <c r="AD66" i="1" a="1"/>
  <c r="AD66" i="1" s="1"/>
  <c r="AD53" i="1" a="1"/>
  <c r="AD53" i="1" s="1"/>
  <c r="AD30" i="1" a="1"/>
  <c r="AD30" i="1" s="1"/>
  <c r="AD32" i="1" a="1"/>
  <c r="AD32" i="1" s="1"/>
  <c r="AD27" i="1" a="1"/>
  <c r="AD27" i="1" s="1"/>
  <c r="AD52" i="1" a="1"/>
  <c r="AD52" i="1" s="1"/>
  <c r="AD49" i="1" a="1"/>
  <c r="AD49" i="1" s="1"/>
  <c r="AD38" i="1" a="1"/>
  <c r="AD38" i="1" s="1"/>
  <c r="AD57" i="1" a="1"/>
  <c r="AD57" i="1" s="1"/>
  <c r="AD67" i="1" a="1"/>
  <c r="AD67" i="1" s="1"/>
  <c r="AD44" i="1" a="1"/>
  <c r="AD44" i="1" s="1"/>
  <c r="AD28" i="1" a="1"/>
  <c r="AD28" i="1" s="1"/>
  <c r="AD42" i="1" a="1"/>
  <c r="AD42" i="1" s="1"/>
  <c r="AD47" i="1" a="1"/>
  <c r="AD47" i="1" s="1"/>
  <c r="AD55" i="1" a="1"/>
  <c r="AD55" i="1" s="1"/>
  <c r="AD43" i="1" a="1"/>
  <c r="AD43" i="1" s="1"/>
  <c r="AD68" i="1" a="1"/>
  <c r="AD68" i="1" s="1"/>
  <c r="AD69" i="1" a="1"/>
  <c r="AD69" i="1" s="1"/>
  <c r="AD70" i="1" a="1"/>
  <c r="AD70" i="1" s="1"/>
  <c r="AD29" i="1" a="1"/>
  <c r="AD29" i="1" s="1"/>
  <c r="AD71" i="1" a="1"/>
  <c r="AD71" i="1" s="1"/>
  <c r="AD39" i="1" a="1"/>
  <c r="AD39" i="1" s="1"/>
  <c r="AD15" i="1" a="1"/>
  <c r="AD15" i="1" s="1"/>
  <c r="AD72" i="1" a="1"/>
  <c r="AD72" i="1" s="1"/>
  <c r="AD73" i="1" a="1"/>
  <c r="AD73" i="1" s="1"/>
  <c r="AD74" i="1" a="1"/>
  <c r="AD74" i="1" s="1"/>
  <c r="AD75" i="1" a="1"/>
  <c r="AD75" i="1" s="1"/>
  <c r="AD76" i="1" a="1"/>
  <c r="AD76" i="1" s="1"/>
  <c r="AD33" i="1" a="1"/>
  <c r="AD33" i="1" s="1"/>
  <c r="AD77" i="1" a="1"/>
  <c r="AD77" i="1" s="1"/>
  <c r="AD31" i="1" a="1"/>
  <c r="AD31" i="1" s="1"/>
  <c r="AD25" i="1" a="1"/>
  <c r="AD25" i="1" s="1"/>
  <c r="AD21" i="1" a="1"/>
  <c r="AD21" i="1" s="1"/>
  <c r="AD78" i="1" a="1"/>
  <c r="AD78" i="1" s="1"/>
  <c r="AD46" i="1" a="1"/>
  <c r="AD46" i="1" s="1"/>
  <c r="AD23" i="1" a="1"/>
  <c r="AD23" i="1" s="1"/>
  <c r="AD5" i="1" a="1"/>
  <c r="AD5" i="1" s="1"/>
  <c r="AD35" i="1" a="1"/>
  <c r="AD35" i="1" s="1"/>
  <c r="AD17" i="1" a="1"/>
  <c r="AD17" i="1" s="1"/>
  <c r="AD19" i="1" a="1"/>
  <c r="AD19" i="1" s="1"/>
  <c r="AD13" i="1" a="1"/>
  <c r="AD13" i="1" s="1"/>
  <c r="AD79" i="1" a="1"/>
  <c r="AD79" i="1" s="1"/>
  <c r="AD80" i="1" a="1"/>
  <c r="AD80" i="1" s="1"/>
  <c r="AD10" i="1" a="1"/>
  <c r="AD10" i="1" s="1"/>
  <c r="AD20" i="1" a="1"/>
  <c r="AD20" i="1" s="1"/>
  <c r="AD16" i="1" a="1"/>
  <c r="AD16" i="1" s="1"/>
  <c r="AD9" i="1" a="1"/>
  <c r="AD9" i="1" s="1"/>
  <c r="AD14" i="1" a="1"/>
  <c r="AD14" i="1" s="1"/>
  <c r="AD12" i="1" a="1"/>
  <c r="AD12" i="1" s="1"/>
  <c r="AD7" i="1" a="1"/>
  <c r="AD7" i="1" s="1"/>
  <c r="AD11" i="1" a="1"/>
  <c r="AD11" i="1" s="1"/>
  <c r="AD6" i="1" a="1"/>
  <c r="AD6" i="1" s="1"/>
  <c r="AD8" i="1" a="1"/>
  <c r="AD8" i="1" s="1"/>
  <c r="AD2" i="1" a="1"/>
  <c r="AD2" i="1" s="1"/>
  <c r="AD4" i="1" a="1"/>
  <c r="AD4" i="1" s="1"/>
  <c r="AD18" i="1" a="1"/>
  <c r="AD18" i="1" s="1"/>
  <c r="AD3" i="1" a="1"/>
  <c r="AD3" i="1" s="1"/>
  <c r="AC54" i="1" a="1"/>
  <c r="AC54" i="1" s="1"/>
  <c r="AC51" i="1" a="1"/>
  <c r="AC51" i="1" s="1"/>
  <c r="AC59" i="1" a="1"/>
  <c r="AC59" i="1" s="1"/>
  <c r="AC60" i="1" a="1"/>
  <c r="AC60" i="1" s="1"/>
  <c r="AC61" i="1" a="1"/>
  <c r="AC61" i="1" s="1"/>
  <c r="AC45" i="1" a="1"/>
  <c r="AC45" i="1" s="1"/>
  <c r="AC62" i="1" a="1"/>
  <c r="AC62" i="1" s="1"/>
  <c r="AC63" i="1" a="1"/>
  <c r="AC63" i="1" s="1"/>
  <c r="AC48" i="1" a="1"/>
  <c r="AC48" i="1" s="1"/>
  <c r="AC24" i="1" a="1"/>
  <c r="AC24" i="1" s="1"/>
  <c r="AC26" i="1" a="1"/>
  <c r="AC26" i="1" s="1"/>
  <c r="AC41" i="1" a="1"/>
  <c r="AC41" i="1" s="1"/>
  <c r="AC56" i="1" a="1"/>
  <c r="AC56" i="1" s="1"/>
  <c r="AC50" i="1" a="1"/>
  <c r="AC50" i="1" s="1"/>
  <c r="AC22" i="1" a="1"/>
  <c r="AC22" i="1" s="1"/>
  <c r="AC64" i="1" a="1"/>
  <c r="AC64" i="1" s="1"/>
  <c r="AC40" i="1" a="1"/>
  <c r="AC40" i="1" s="1"/>
  <c r="AC58" i="1" a="1"/>
  <c r="AC58" i="1" s="1"/>
  <c r="AC36" i="1" a="1"/>
  <c r="AC36" i="1" s="1"/>
  <c r="AC65" i="1" a="1"/>
  <c r="AC65" i="1" s="1"/>
  <c r="AC37" i="1" a="1"/>
  <c r="AC37" i="1" s="1"/>
  <c r="AC34" i="1" a="1"/>
  <c r="AC34" i="1" s="1"/>
  <c r="AC66" i="1" a="1"/>
  <c r="AC66" i="1" s="1"/>
  <c r="AC53" i="1" a="1"/>
  <c r="AC53" i="1" s="1"/>
  <c r="AC30" i="1" a="1"/>
  <c r="AC30" i="1" s="1"/>
  <c r="AC32" i="1" a="1"/>
  <c r="AC32" i="1" s="1"/>
  <c r="AC27" i="1" a="1"/>
  <c r="AC27" i="1" s="1"/>
  <c r="AC52" i="1" a="1"/>
  <c r="AC52" i="1" s="1"/>
  <c r="AC49" i="1" a="1"/>
  <c r="AC49" i="1" s="1"/>
  <c r="AC38" i="1" a="1"/>
  <c r="AC38" i="1" s="1"/>
  <c r="AC57" i="1" a="1"/>
  <c r="AC57" i="1" s="1"/>
  <c r="AC67" i="1" a="1"/>
  <c r="AC67" i="1" s="1"/>
  <c r="AC44" i="1" a="1"/>
  <c r="AC44" i="1" s="1"/>
  <c r="AC28" i="1" a="1"/>
  <c r="AC28" i="1" s="1"/>
  <c r="AC42" i="1" a="1"/>
  <c r="AC42" i="1" s="1"/>
  <c r="AC47" i="1" a="1"/>
  <c r="AC47" i="1" s="1"/>
  <c r="AC55" i="1" a="1"/>
  <c r="AC55" i="1" s="1"/>
  <c r="AC43" i="1" a="1"/>
  <c r="AC43" i="1" s="1"/>
  <c r="AC68" i="1" a="1"/>
  <c r="AC68" i="1" s="1"/>
  <c r="AC69" i="1" a="1"/>
  <c r="AC69" i="1" s="1"/>
  <c r="AC70" i="1" a="1"/>
  <c r="AC70" i="1" s="1"/>
  <c r="AC29" i="1" a="1"/>
  <c r="AC29" i="1" s="1"/>
  <c r="AC71" i="1" a="1"/>
  <c r="AC71" i="1" s="1"/>
  <c r="AC39" i="1" a="1"/>
  <c r="AC39" i="1" s="1"/>
  <c r="AC15" i="1" a="1"/>
  <c r="AC15" i="1" s="1"/>
  <c r="AC72" i="1" a="1"/>
  <c r="AC72" i="1" s="1"/>
  <c r="AC73" i="1" a="1"/>
  <c r="AC73" i="1" s="1"/>
  <c r="AC74" i="1" a="1"/>
  <c r="AC74" i="1" s="1"/>
  <c r="AC75" i="1" a="1"/>
  <c r="AC75" i="1" s="1"/>
  <c r="AC76" i="1" a="1"/>
  <c r="AC76" i="1" s="1"/>
  <c r="AC33" i="1" a="1"/>
  <c r="AC33" i="1" s="1"/>
  <c r="AC77" i="1" a="1"/>
  <c r="AC77" i="1" s="1"/>
  <c r="AC31" i="1" a="1"/>
  <c r="AC31" i="1" s="1"/>
  <c r="AC25" i="1" a="1"/>
  <c r="AC25" i="1" s="1"/>
  <c r="AC21" i="1" a="1"/>
  <c r="AC21" i="1" s="1"/>
  <c r="AC78" i="1" a="1"/>
  <c r="AC78" i="1" s="1"/>
  <c r="AC46" i="1" a="1"/>
  <c r="AC46" i="1" s="1"/>
  <c r="AC23" i="1" a="1"/>
  <c r="AC23" i="1" s="1"/>
  <c r="AC5" i="1" a="1"/>
  <c r="AC5" i="1" s="1"/>
  <c r="AC35" i="1" a="1"/>
  <c r="AC35" i="1" s="1"/>
  <c r="AC17" i="1" a="1"/>
  <c r="AC17" i="1" s="1"/>
  <c r="AC19" i="1" a="1"/>
  <c r="AC19" i="1" s="1"/>
  <c r="AC13" i="1" a="1"/>
  <c r="AC13" i="1" s="1"/>
  <c r="AC79" i="1" a="1"/>
  <c r="AC79" i="1" s="1"/>
  <c r="AC80" i="1" a="1"/>
  <c r="AC80" i="1" s="1"/>
  <c r="AC10" i="1" a="1"/>
  <c r="AC10" i="1" s="1"/>
  <c r="AC20" i="1" a="1"/>
  <c r="AC20" i="1" s="1"/>
  <c r="AC16" i="1" a="1"/>
  <c r="AC16" i="1" s="1"/>
  <c r="AC9" i="1" a="1"/>
  <c r="AC9" i="1" s="1"/>
  <c r="AC14" i="1" a="1"/>
  <c r="AC14" i="1" s="1"/>
  <c r="AC12" i="1" a="1"/>
  <c r="AC12" i="1" s="1"/>
  <c r="AC7" i="1" a="1"/>
  <c r="AC7" i="1" s="1"/>
  <c r="AC11" i="1" a="1"/>
  <c r="AC11" i="1" s="1"/>
  <c r="AC6" i="1" a="1"/>
  <c r="AC6" i="1" s="1"/>
  <c r="AC8" i="1" a="1"/>
  <c r="AC8" i="1" s="1"/>
  <c r="AC2" i="1" a="1"/>
  <c r="AC2" i="1" s="1"/>
  <c r="AC4" i="1" a="1"/>
  <c r="AC4" i="1" s="1"/>
  <c r="AC18" i="1" a="1"/>
  <c r="AC18" i="1" s="1"/>
  <c r="AC3" i="1" a="1"/>
  <c r="AC3" i="1" s="1"/>
  <c r="AB54" i="1" a="1"/>
  <c r="AB54" i="1" s="1"/>
  <c r="AB51" i="1" a="1"/>
  <c r="AB51" i="1" s="1"/>
  <c r="AB59" i="1" a="1"/>
  <c r="AB59" i="1" s="1"/>
  <c r="AB60" i="1" a="1"/>
  <c r="AB60" i="1" s="1"/>
  <c r="AB61" i="1" a="1"/>
  <c r="AB61" i="1" s="1"/>
  <c r="AB45" i="1" a="1"/>
  <c r="AB45" i="1" s="1"/>
  <c r="AB62" i="1" a="1"/>
  <c r="AB62" i="1" s="1"/>
  <c r="AB63" i="1" a="1"/>
  <c r="AB63" i="1" s="1"/>
  <c r="AB48" i="1" a="1"/>
  <c r="AB48" i="1" s="1"/>
  <c r="AB24" i="1" a="1"/>
  <c r="AB24" i="1" s="1"/>
  <c r="AB26" i="1" a="1"/>
  <c r="AB26" i="1" s="1"/>
  <c r="AB41" i="1" a="1"/>
  <c r="AB41" i="1" s="1"/>
  <c r="AB56" i="1" a="1"/>
  <c r="AB56" i="1" s="1"/>
  <c r="AB50" i="1" a="1"/>
  <c r="AB50" i="1" s="1"/>
  <c r="AB22" i="1" a="1"/>
  <c r="AB22" i="1" s="1"/>
  <c r="AB64" i="1" a="1"/>
  <c r="AB64" i="1" s="1"/>
  <c r="AB40" i="1" a="1"/>
  <c r="AB40" i="1" s="1"/>
  <c r="AB58" i="1" a="1"/>
  <c r="AB58" i="1" s="1"/>
  <c r="AB36" i="1" a="1"/>
  <c r="AB36" i="1" s="1"/>
  <c r="AB65" i="1" a="1"/>
  <c r="AB65" i="1" s="1"/>
  <c r="AB37" i="1" a="1"/>
  <c r="AB37" i="1" s="1"/>
  <c r="AB34" i="1" a="1"/>
  <c r="AB34" i="1" s="1"/>
  <c r="AB66" i="1" a="1"/>
  <c r="AB66" i="1" s="1"/>
  <c r="AB53" i="1" a="1"/>
  <c r="AB53" i="1" s="1"/>
  <c r="AB30" i="1" a="1"/>
  <c r="AB30" i="1" s="1"/>
  <c r="AB32" i="1" a="1"/>
  <c r="AB32" i="1" s="1"/>
  <c r="AB27" i="1" a="1"/>
  <c r="AB27" i="1" s="1"/>
  <c r="AB52" i="1" a="1"/>
  <c r="AB52" i="1" s="1"/>
  <c r="AB49" i="1" a="1"/>
  <c r="AB49" i="1" s="1"/>
  <c r="AB38" i="1" a="1"/>
  <c r="AB38" i="1" s="1"/>
  <c r="AB57" i="1" a="1"/>
  <c r="AB57" i="1" s="1"/>
  <c r="AB67" i="1" a="1"/>
  <c r="AB67" i="1" s="1"/>
  <c r="AB44" i="1" a="1"/>
  <c r="AB44" i="1" s="1"/>
  <c r="AB28" i="1" a="1"/>
  <c r="AB28" i="1" s="1"/>
  <c r="AB42" i="1" a="1"/>
  <c r="AB42" i="1" s="1"/>
  <c r="AB47" i="1" a="1"/>
  <c r="AB47" i="1" s="1"/>
  <c r="AB55" i="1" a="1"/>
  <c r="AB55" i="1" s="1"/>
  <c r="AB43" i="1" a="1"/>
  <c r="AB43" i="1" s="1"/>
  <c r="AB68" i="1" a="1"/>
  <c r="AB68" i="1" s="1"/>
  <c r="AB69" i="1" a="1"/>
  <c r="AB69" i="1" s="1"/>
  <c r="AB70" i="1" a="1"/>
  <c r="AB70" i="1" s="1"/>
  <c r="AB29" i="1" a="1"/>
  <c r="AB29" i="1" s="1"/>
  <c r="AB71" i="1" a="1"/>
  <c r="AB71" i="1" s="1"/>
  <c r="AB39" i="1" a="1"/>
  <c r="AB39" i="1" s="1"/>
  <c r="AB15" i="1" a="1"/>
  <c r="AB15" i="1" s="1"/>
  <c r="AB72" i="1" a="1"/>
  <c r="AB72" i="1" s="1"/>
  <c r="AB73" i="1" a="1"/>
  <c r="AB73" i="1" s="1"/>
  <c r="AB74" i="1" a="1"/>
  <c r="AB74" i="1" s="1"/>
  <c r="AB75" i="1" a="1"/>
  <c r="AB75" i="1" s="1"/>
  <c r="AB76" i="1" a="1"/>
  <c r="AB76" i="1" s="1"/>
  <c r="AB33" i="1" a="1"/>
  <c r="AB33" i="1" s="1"/>
  <c r="AB77" i="1" a="1"/>
  <c r="AB77" i="1" s="1"/>
  <c r="AB31" i="1" a="1"/>
  <c r="AB31" i="1" s="1"/>
  <c r="AB25" i="1" a="1"/>
  <c r="AB25" i="1" s="1"/>
  <c r="AB21" i="1" a="1"/>
  <c r="AB21" i="1" s="1"/>
  <c r="AB78" i="1" a="1"/>
  <c r="AB78" i="1" s="1"/>
  <c r="AB46" i="1" a="1"/>
  <c r="AB46" i="1" s="1"/>
  <c r="AB23" i="1" a="1"/>
  <c r="AB23" i="1" s="1"/>
  <c r="AB5" i="1" a="1"/>
  <c r="AB5" i="1" s="1"/>
  <c r="AB35" i="1" a="1"/>
  <c r="AB35" i="1" s="1"/>
  <c r="AB17" i="1" a="1"/>
  <c r="AB17" i="1" s="1"/>
  <c r="AB19" i="1" a="1"/>
  <c r="AB19" i="1" s="1"/>
  <c r="AB13" i="1" a="1"/>
  <c r="AB13" i="1" s="1"/>
  <c r="AB79" i="1" a="1"/>
  <c r="AB79" i="1" s="1"/>
  <c r="AB80" i="1" a="1"/>
  <c r="AB80" i="1" s="1"/>
  <c r="AB10" i="1" a="1"/>
  <c r="AB10" i="1" s="1"/>
  <c r="AB20" i="1" a="1"/>
  <c r="AB20" i="1" s="1"/>
  <c r="AB16" i="1" a="1"/>
  <c r="AB16" i="1" s="1"/>
  <c r="AB9" i="1" a="1"/>
  <c r="AB9" i="1" s="1"/>
  <c r="AB14" i="1" a="1"/>
  <c r="AB14" i="1" s="1"/>
  <c r="AB12" i="1" a="1"/>
  <c r="AB12" i="1" s="1"/>
  <c r="AB7" i="1" a="1"/>
  <c r="AB7" i="1" s="1"/>
  <c r="AB11" i="1" a="1"/>
  <c r="AB11" i="1" s="1"/>
  <c r="AB6" i="1" a="1"/>
  <c r="AB6" i="1" s="1"/>
  <c r="AB8" i="1" a="1"/>
  <c r="AB8" i="1" s="1"/>
  <c r="AB2" i="1" a="1"/>
  <c r="AB2" i="1" s="1"/>
  <c r="AB4" i="1" a="1"/>
  <c r="AB4" i="1" s="1"/>
  <c r="AB18" i="1" a="1"/>
  <c r="AB18" i="1" s="1"/>
  <c r="AB3" i="1" a="1"/>
  <c r="AB3" i="1" s="1"/>
  <c r="AA54" i="1" a="1"/>
  <c r="AA54" i="1" s="1"/>
  <c r="AA51" i="1" a="1"/>
  <c r="AA51" i="1" s="1"/>
  <c r="AA59" i="1" a="1"/>
  <c r="AA59" i="1" s="1"/>
  <c r="AA60" i="1" a="1"/>
  <c r="AA60" i="1" s="1"/>
  <c r="AA61" i="1" a="1"/>
  <c r="AA61" i="1" s="1"/>
  <c r="AA45" i="1" a="1"/>
  <c r="AA45" i="1" s="1"/>
  <c r="AA63" i="1" a="1"/>
  <c r="AA63" i="1" s="1"/>
  <c r="AA48" i="1" a="1"/>
  <c r="AA48" i="1" s="1"/>
  <c r="AA24" i="1" a="1"/>
  <c r="AA24" i="1" s="1"/>
  <c r="AA26" i="1" a="1"/>
  <c r="AA26" i="1" s="1"/>
  <c r="AA41" i="1" a="1"/>
  <c r="AA41" i="1" s="1"/>
  <c r="AA56" i="1" a="1"/>
  <c r="AA56" i="1" s="1"/>
  <c r="AA50" i="1" a="1"/>
  <c r="AA50" i="1" s="1"/>
  <c r="AA22" i="1" a="1"/>
  <c r="AA22" i="1" s="1"/>
  <c r="AA64" i="1" a="1"/>
  <c r="AA64" i="1" s="1"/>
  <c r="AA40" i="1" a="1"/>
  <c r="AA40" i="1" s="1"/>
  <c r="AA58" i="1" a="1"/>
  <c r="AA58" i="1" s="1"/>
  <c r="AA36" i="1" a="1"/>
  <c r="AA36" i="1" s="1"/>
  <c r="AA65" i="1" a="1"/>
  <c r="AA65" i="1" s="1"/>
  <c r="AA37" i="1" a="1"/>
  <c r="AA37" i="1" s="1"/>
  <c r="AA34" i="1" a="1"/>
  <c r="AA34" i="1" s="1"/>
  <c r="AA66" i="1" a="1"/>
  <c r="AA66" i="1" s="1"/>
  <c r="AA53" i="1" a="1"/>
  <c r="AA53" i="1" s="1"/>
  <c r="AA30" i="1" a="1"/>
  <c r="AA30" i="1" s="1"/>
  <c r="AA32" i="1" a="1"/>
  <c r="AA32" i="1" s="1"/>
  <c r="AA27" i="1" a="1"/>
  <c r="AA27" i="1" s="1"/>
  <c r="AA52" i="1" a="1"/>
  <c r="AA52" i="1" s="1"/>
  <c r="AA49" i="1" a="1"/>
  <c r="AA49" i="1" s="1"/>
  <c r="AA38" i="1" a="1"/>
  <c r="AA38" i="1" s="1"/>
  <c r="AA57" i="1" a="1"/>
  <c r="AA57" i="1" s="1"/>
  <c r="AA67" i="1" a="1"/>
  <c r="AA67" i="1" s="1"/>
  <c r="AA44" i="1" a="1"/>
  <c r="AA44" i="1" s="1"/>
  <c r="AA28" i="1" a="1"/>
  <c r="AA28" i="1" s="1"/>
  <c r="AA42" i="1" a="1"/>
  <c r="AA42" i="1" s="1"/>
  <c r="AA47" i="1" a="1"/>
  <c r="AA47" i="1" s="1"/>
  <c r="AA55" i="1" a="1"/>
  <c r="AA55" i="1" s="1"/>
  <c r="AA43" i="1" a="1"/>
  <c r="AA43" i="1" s="1"/>
  <c r="AA68" i="1" a="1"/>
  <c r="AA68" i="1" s="1"/>
  <c r="AA69" i="1" a="1"/>
  <c r="AA69" i="1" s="1"/>
  <c r="AA70" i="1" a="1"/>
  <c r="AA70" i="1" s="1"/>
  <c r="AA29" i="1" a="1"/>
  <c r="AA29" i="1" s="1"/>
  <c r="AA71" i="1" a="1"/>
  <c r="AA71" i="1" s="1"/>
  <c r="AA39" i="1" a="1"/>
  <c r="AA39" i="1" s="1"/>
  <c r="AA15" i="1" a="1"/>
  <c r="AA15" i="1" s="1"/>
  <c r="AA72" i="1" a="1"/>
  <c r="AA72" i="1" s="1"/>
  <c r="AA73" i="1" a="1"/>
  <c r="AA73" i="1" s="1"/>
  <c r="AA74" i="1" a="1"/>
  <c r="AA74" i="1" s="1"/>
  <c r="AA75" i="1" a="1"/>
  <c r="AA75" i="1" s="1"/>
  <c r="AA76" i="1" a="1"/>
  <c r="AA76" i="1" s="1"/>
  <c r="AA33" i="1" a="1"/>
  <c r="AA33" i="1" s="1"/>
  <c r="AA77" i="1" a="1"/>
  <c r="AA77" i="1" s="1"/>
  <c r="AA31" i="1" a="1"/>
  <c r="AA31" i="1" s="1"/>
  <c r="AA25" i="1" a="1"/>
  <c r="AA25" i="1" s="1"/>
  <c r="AA21" i="1" a="1"/>
  <c r="AA21" i="1" s="1"/>
  <c r="AA78" i="1" a="1"/>
  <c r="AA78" i="1" s="1"/>
  <c r="AA46" i="1" a="1"/>
  <c r="AA46" i="1" s="1"/>
  <c r="AA23" i="1" a="1"/>
  <c r="AA23" i="1" s="1"/>
  <c r="AA5" i="1" a="1"/>
  <c r="AA5" i="1" s="1"/>
  <c r="AA35" i="1" a="1"/>
  <c r="AA35" i="1" s="1"/>
  <c r="AA17" i="1" a="1"/>
  <c r="AA17" i="1" s="1"/>
  <c r="AA19" i="1" a="1"/>
  <c r="AA19" i="1" s="1"/>
  <c r="AA13" i="1" a="1"/>
  <c r="AA13" i="1" s="1"/>
  <c r="AA79" i="1" a="1"/>
  <c r="AA79" i="1" s="1"/>
  <c r="AA80" i="1" a="1"/>
  <c r="AA80" i="1" s="1"/>
  <c r="AA10" i="1" a="1"/>
  <c r="AA10" i="1" s="1"/>
  <c r="AA20" i="1" a="1"/>
  <c r="AA20" i="1" s="1"/>
  <c r="AA16" i="1" a="1"/>
  <c r="AA16" i="1" s="1"/>
  <c r="AA9" i="1" a="1"/>
  <c r="AA9" i="1" s="1"/>
  <c r="AA14" i="1" a="1"/>
  <c r="AA14" i="1" s="1"/>
  <c r="AA12" i="1" a="1"/>
  <c r="AA12" i="1" s="1"/>
  <c r="AA7" i="1" a="1"/>
  <c r="AA7" i="1" s="1"/>
  <c r="AA11" i="1" a="1"/>
  <c r="AA11" i="1" s="1"/>
  <c r="AA6" i="1" a="1"/>
  <c r="AA6" i="1" s="1"/>
  <c r="AA8" i="1" a="1"/>
  <c r="AA8" i="1" s="1"/>
  <c r="AA2" i="1" a="1"/>
  <c r="AA2" i="1" s="1"/>
  <c r="AA4" i="1" a="1"/>
  <c r="AA4" i="1" s="1"/>
  <c r="AA18" i="1" a="1"/>
  <c r="AA18" i="1" s="1"/>
  <c r="AA3" i="1" a="1"/>
  <c r="AA3" i="1" s="1"/>
  <c r="Z54" i="1" a="1"/>
  <c r="Z54" i="1" s="1"/>
  <c r="Z51" i="1" a="1"/>
  <c r="Z51" i="1" s="1"/>
  <c r="Z59" i="1" a="1"/>
  <c r="Z59" i="1" s="1"/>
  <c r="Z60" i="1" a="1"/>
  <c r="Z60" i="1" s="1"/>
  <c r="Z61" i="1" a="1"/>
  <c r="Z61" i="1" s="1"/>
  <c r="Z45" i="1" a="1"/>
  <c r="Z45" i="1" s="1"/>
  <c r="Z62" i="1" a="1"/>
  <c r="Z62" i="1" s="1"/>
  <c r="Z63" i="1" a="1"/>
  <c r="Z63" i="1" s="1"/>
  <c r="Z48" i="1" a="1"/>
  <c r="Z48" i="1" s="1"/>
  <c r="Z24" i="1" a="1"/>
  <c r="Z24" i="1" s="1"/>
  <c r="Z26" i="1" a="1"/>
  <c r="Z26" i="1" s="1"/>
  <c r="Z41" i="1" a="1"/>
  <c r="Z41" i="1" s="1"/>
  <c r="Z56" i="1" a="1"/>
  <c r="Z56" i="1" s="1"/>
  <c r="Z50" i="1" a="1"/>
  <c r="Z50" i="1" s="1"/>
  <c r="Z22" i="1" a="1"/>
  <c r="Z22" i="1" s="1"/>
  <c r="Z64" i="1" a="1"/>
  <c r="Z64" i="1" s="1"/>
  <c r="Z40" i="1" a="1"/>
  <c r="Z40" i="1" s="1"/>
  <c r="Z58" i="1" a="1"/>
  <c r="Z58" i="1" s="1"/>
  <c r="Z36" i="1" a="1"/>
  <c r="Z36" i="1" s="1"/>
  <c r="Z65" i="1" a="1"/>
  <c r="Z65" i="1" s="1"/>
  <c r="Z37" i="1" a="1"/>
  <c r="Z37" i="1" s="1"/>
  <c r="Z34" i="1" a="1"/>
  <c r="Z34" i="1" s="1"/>
  <c r="Z66" i="1" a="1"/>
  <c r="Z66" i="1" s="1"/>
  <c r="Z53" i="1" a="1"/>
  <c r="Z53" i="1" s="1"/>
  <c r="Z30" i="1" a="1"/>
  <c r="Z30" i="1" s="1"/>
  <c r="Z32" i="1" a="1"/>
  <c r="Z32" i="1" s="1"/>
  <c r="Z27" i="1" a="1"/>
  <c r="Z27" i="1" s="1"/>
  <c r="Z52" i="1" a="1"/>
  <c r="Z52" i="1" s="1"/>
  <c r="Z49" i="1" a="1"/>
  <c r="Z49" i="1" s="1"/>
  <c r="Z38" i="1" a="1"/>
  <c r="Z38" i="1" s="1"/>
  <c r="Z57" i="1" a="1"/>
  <c r="Z57" i="1" s="1"/>
  <c r="Z67" i="1" a="1"/>
  <c r="Z67" i="1" s="1"/>
  <c r="Z44" i="1" a="1"/>
  <c r="Z44" i="1" s="1"/>
  <c r="Z28" i="1" a="1"/>
  <c r="Z28" i="1" s="1"/>
  <c r="Z42" i="1" a="1"/>
  <c r="Z42" i="1" s="1"/>
  <c r="Z47" i="1" a="1"/>
  <c r="Z47" i="1" s="1"/>
  <c r="Z55" i="1" a="1"/>
  <c r="Z55" i="1" s="1"/>
  <c r="Z43" i="1" a="1"/>
  <c r="Z43" i="1" s="1"/>
  <c r="Z68" i="1" a="1"/>
  <c r="Z68" i="1" s="1"/>
  <c r="Z69" i="1" a="1"/>
  <c r="Z69" i="1" s="1"/>
  <c r="Z70" i="1" a="1"/>
  <c r="Z70" i="1" s="1"/>
  <c r="Z29" i="1" a="1"/>
  <c r="Z29" i="1" s="1"/>
  <c r="Z71" i="1" a="1"/>
  <c r="Z71" i="1" s="1"/>
  <c r="Z39" i="1" a="1"/>
  <c r="Z39" i="1" s="1"/>
  <c r="Z15" i="1" a="1"/>
  <c r="Z15" i="1" s="1"/>
  <c r="Z72" i="1" a="1"/>
  <c r="Z72" i="1" s="1"/>
  <c r="Z73" i="1" a="1"/>
  <c r="Z73" i="1" s="1"/>
  <c r="Z74" i="1" a="1"/>
  <c r="Z74" i="1" s="1"/>
  <c r="Z75" i="1" a="1"/>
  <c r="Z75" i="1" s="1"/>
  <c r="Z76" i="1" a="1"/>
  <c r="Z76" i="1" s="1"/>
  <c r="Z33" i="1" a="1"/>
  <c r="Z33" i="1" s="1"/>
  <c r="Z77" i="1" a="1"/>
  <c r="Z77" i="1" s="1"/>
  <c r="Z31" i="1" a="1"/>
  <c r="Z31" i="1" s="1"/>
  <c r="Z25" i="1" a="1"/>
  <c r="Z25" i="1" s="1"/>
  <c r="Z21" i="1" a="1"/>
  <c r="Z21" i="1" s="1"/>
  <c r="Z78" i="1" a="1"/>
  <c r="Z78" i="1" s="1"/>
  <c r="Z46" i="1" a="1"/>
  <c r="Z46" i="1" s="1"/>
  <c r="Z23" i="1" a="1"/>
  <c r="Z23" i="1" s="1"/>
  <c r="Z5" i="1" a="1"/>
  <c r="Z5" i="1" s="1"/>
  <c r="Z35" i="1" a="1"/>
  <c r="Z35" i="1" s="1"/>
  <c r="Z17" i="1" a="1"/>
  <c r="Z17" i="1" s="1"/>
  <c r="Z19" i="1" a="1"/>
  <c r="Z19" i="1" s="1"/>
  <c r="Z13" i="1" a="1"/>
  <c r="Z13" i="1" s="1"/>
  <c r="Z79" i="1" a="1"/>
  <c r="Z79" i="1" s="1"/>
  <c r="Z80" i="1" a="1"/>
  <c r="Z80" i="1" s="1"/>
  <c r="Z10" i="1" a="1"/>
  <c r="Z10" i="1" s="1"/>
  <c r="Z20" i="1" a="1"/>
  <c r="Z20" i="1" s="1"/>
  <c r="Z16" i="1" a="1"/>
  <c r="Z16" i="1" s="1"/>
  <c r="Z9" i="1" a="1"/>
  <c r="Z9" i="1" s="1"/>
  <c r="Z14" i="1" a="1"/>
  <c r="Z14" i="1" s="1"/>
  <c r="Z12" i="1" a="1"/>
  <c r="Z12" i="1" s="1"/>
  <c r="Z7" i="1" a="1"/>
  <c r="Z7" i="1" s="1"/>
  <c r="Z11" i="1" a="1"/>
  <c r="Z11" i="1" s="1"/>
  <c r="Z6" i="1" a="1"/>
  <c r="Z6" i="1" s="1"/>
  <c r="Z8" i="1" a="1"/>
  <c r="Z8" i="1" s="1"/>
  <c r="Z2" i="1" a="1"/>
  <c r="Z2" i="1" s="1"/>
  <c r="Z4" i="1" a="1"/>
  <c r="Z4" i="1" s="1"/>
  <c r="Z18" i="1" a="1"/>
  <c r="Z18" i="1" s="1"/>
  <c r="Z3" i="1" a="1"/>
  <c r="Z3" i="1" s="1"/>
  <c r="Y54" i="1" a="1"/>
  <c r="Y54" i="1" s="1"/>
  <c r="Y51" i="1" a="1"/>
  <c r="Y51" i="1" s="1"/>
  <c r="Y59" i="1" a="1"/>
  <c r="Y59" i="1" s="1"/>
  <c r="Y60" i="1" a="1"/>
  <c r="Y60" i="1" s="1"/>
  <c r="Y61" i="1" a="1"/>
  <c r="Y61" i="1" s="1"/>
  <c r="Y45" i="1" a="1"/>
  <c r="Y45" i="1" s="1"/>
  <c r="Y62" i="1" a="1"/>
  <c r="Y62" i="1" s="1"/>
  <c r="Y63" i="1" a="1"/>
  <c r="Y63" i="1" s="1"/>
  <c r="Y48" i="1" a="1"/>
  <c r="Y48" i="1" s="1"/>
  <c r="Y24" i="1" a="1"/>
  <c r="Y24" i="1" s="1"/>
  <c r="Y26" i="1" a="1"/>
  <c r="Y26" i="1" s="1"/>
  <c r="Y41" i="1" a="1"/>
  <c r="Y41" i="1" s="1"/>
  <c r="Y56" i="1" a="1"/>
  <c r="Y56" i="1" s="1"/>
  <c r="Y50" i="1" a="1"/>
  <c r="Y50" i="1" s="1"/>
  <c r="Y22" i="1" a="1"/>
  <c r="Y22" i="1" s="1"/>
  <c r="Y64" i="1" a="1"/>
  <c r="Y64" i="1" s="1"/>
  <c r="Y40" i="1" a="1"/>
  <c r="Y40" i="1" s="1"/>
  <c r="Y58" i="1" a="1"/>
  <c r="Y58" i="1" s="1"/>
  <c r="Y36" i="1" a="1"/>
  <c r="Y36" i="1" s="1"/>
  <c r="Y65" i="1" a="1"/>
  <c r="Y65" i="1" s="1"/>
  <c r="Y37" i="1" a="1"/>
  <c r="Y37" i="1" s="1"/>
  <c r="Y34" i="1" a="1"/>
  <c r="Y34" i="1" s="1"/>
  <c r="Y66" i="1" a="1"/>
  <c r="Y66" i="1" s="1"/>
  <c r="Y53" i="1" a="1"/>
  <c r="Y53" i="1" s="1"/>
  <c r="Y30" i="1" a="1"/>
  <c r="Y30" i="1" s="1"/>
  <c r="Y32" i="1" a="1"/>
  <c r="Y32" i="1" s="1"/>
  <c r="Y27" i="1" a="1"/>
  <c r="Y27" i="1" s="1"/>
  <c r="Y52" i="1" a="1"/>
  <c r="Y52" i="1" s="1"/>
  <c r="Y49" i="1" a="1"/>
  <c r="Y49" i="1" s="1"/>
  <c r="Y38" i="1" a="1"/>
  <c r="Y38" i="1" s="1"/>
  <c r="Y57" i="1" a="1"/>
  <c r="Y57" i="1" s="1"/>
  <c r="Y67" i="1" a="1"/>
  <c r="Y67" i="1" s="1"/>
  <c r="Y44" i="1" a="1"/>
  <c r="Y44" i="1" s="1"/>
  <c r="Y28" i="1" a="1"/>
  <c r="Y28" i="1" s="1"/>
  <c r="Y42" i="1" a="1"/>
  <c r="Y42" i="1" s="1"/>
  <c r="Y47" i="1" a="1"/>
  <c r="Y47" i="1" s="1"/>
  <c r="Y55" i="1" a="1"/>
  <c r="Y55" i="1" s="1"/>
  <c r="Y43" i="1" a="1"/>
  <c r="Y43" i="1" s="1"/>
  <c r="Y68" i="1" a="1"/>
  <c r="Y68" i="1" s="1"/>
  <c r="Y69" i="1" a="1"/>
  <c r="Y69" i="1" s="1"/>
  <c r="Y70" i="1" a="1"/>
  <c r="Y70" i="1" s="1"/>
  <c r="Y29" i="1" a="1"/>
  <c r="Y29" i="1" s="1"/>
  <c r="Y71" i="1" a="1"/>
  <c r="Y71" i="1" s="1"/>
  <c r="Y39" i="1" a="1"/>
  <c r="Y39" i="1" s="1"/>
  <c r="Y15" i="1" a="1"/>
  <c r="Y15" i="1" s="1"/>
  <c r="Y72" i="1" a="1"/>
  <c r="Y72" i="1" s="1"/>
  <c r="Y73" i="1" a="1"/>
  <c r="Y73" i="1" s="1"/>
  <c r="Y74" i="1" a="1"/>
  <c r="Y74" i="1" s="1"/>
  <c r="Y75" i="1" a="1"/>
  <c r="Y75" i="1" s="1"/>
  <c r="Y76" i="1" a="1"/>
  <c r="Y76" i="1" s="1"/>
  <c r="Y33" i="1" a="1"/>
  <c r="Y33" i="1" s="1"/>
  <c r="Y77" i="1" a="1"/>
  <c r="Y77" i="1" s="1"/>
  <c r="Y31" i="1" a="1"/>
  <c r="Y31" i="1" s="1"/>
  <c r="Y25" i="1" a="1"/>
  <c r="Y25" i="1" s="1"/>
  <c r="Y21" i="1" a="1"/>
  <c r="Y21" i="1" s="1"/>
  <c r="Y78" i="1" a="1"/>
  <c r="Y78" i="1" s="1"/>
  <c r="Y46" i="1" a="1"/>
  <c r="Y46" i="1" s="1"/>
  <c r="Y23" i="1" a="1"/>
  <c r="Y23" i="1" s="1"/>
  <c r="Y5" i="1" a="1"/>
  <c r="Y5" i="1" s="1"/>
  <c r="Y35" i="1" a="1"/>
  <c r="Y35" i="1" s="1"/>
  <c r="Y17" i="1" a="1"/>
  <c r="Y17" i="1" s="1"/>
  <c r="Y19" i="1" a="1"/>
  <c r="Y19" i="1" s="1"/>
  <c r="Y13" i="1" a="1"/>
  <c r="Y13" i="1" s="1"/>
  <c r="Y79" i="1" a="1"/>
  <c r="Y79" i="1" s="1"/>
  <c r="Y80" i="1" a="1"/>
  <c r="Y80" i="1" s="1"/>
  <c r="Y10" i="1" a="1"/>
  <c r="Y10" i="1" s="1"/>
  <c r="Y20" i="1" a="1"/>
  <c r="Y20" i="1" s="1"/>
  <c r="Y16" i="1" a="1"/>
  <c r="Y16" i="1" s="1"/>
  <c r="Y9" i="1" a="1"/>
  <c r="Y9" i="1" s="1"/>
  <c r="Y14" i="1" a="1"/>
  <c r="Y14" i="1" s="1"/>
  <c r="Y12" i="1" a="1"/>
  <c r="Y12" i="1" s="1"/>
  <c r="Y7" i="1" a="1"/>
  <c r="Y7" i="1" s="1"/>
  <c r="Y11" i="1" a="1"/>
  <c r="Y11" i="1" s="1"/>
  <c r="Y6" i="1" a="1"/>
  <c r="Y6" i="1" s="1"/>
  <c r="Y8" i="1" a="1"/>
  <c r="Y8" i="1" s="1"/>
  <c r="Y2" i="1" a="1"/>
  <c r="Y2" i="1" s="1"/>
  <c r="Y4" i="1" a="1"/>
  <c r="Y4" i="1" s="1"/>
  <c r="Y18" i="1" a="1"/>
  <c r="Y18" i="1" s="1"/>
  <c r="Y3" i="1" a="1"/>
  <c r="Y3" i="1" s="1"/>
  <c r="X54" i="1" a="1"/>
  <c r="X54" i="1" s="1"/>
  <c r="X51" i="1" a="1"/>
  <c r="X51" i="1" s="1"/>
  <c r="X59" i="1" a="1"/>
  <c r="X59" i="1" s="1"/>
  <c r="X60" i="1" a="1"/>
  <c r="X60" i="1" s="1"/>
  <c r="X61" i="1" a="1"/>
  <c r="X61" i="1" s="1"/>
  <c r="X45" i="1" a="1"/>
  <c r="X45" i="1" s="1"/>
  <c r="X62" i="1" a="1"/>
  <c r="X62" i="1" s="1"/>
  <c r="X63" i="1" a="1"/>
  <c r="X63" i="1" s="1"/>
  <c r="X48" i="1" a="1"/>
  <c r="X48" i="1" s="1"/>
  <c r="X24" i="1" a="1"/>
  <c r="X24" i="1" s="1"/>
  <c r="X26" i="1" a="1"/>
  <c r="X26" i="1" s="1"/>
  <c r="X41" i="1" a="1"/>
  <c r="X41" i="1" s="1"/>
  <c r="X56" i="1" a="1"/>
  <c r="X56" i="1" s="1"/>
  <c r="X50" i="1" a="1"/>
  <c r="X50" i="1" s="1"/>
  <c r="X22" i="1" a="1"/>
  <c r="X22" i="1" s="1"/>
  <c r="X64" i="1" a="1"/>
  <c r="X64" i="1" s="1"/>
  <c r="X40" i="1" a="1"/>
  <c r="X40" i="1" s="1"/>
  <c r="X58" i="1" a="1"/>
  <c r="X58" i="1" s="1"/>
  <c r="X36" i="1" a="1"/>
  <c r="X36" i="1" s="1"/>
  <c r="X65" i="1" a="1"/>
  <c r="X65" i="1" s="1"/>
  <c r="X37" i="1" a="1"/>
  <c r="X37" i="1" s="1"/>
  <c r="X34" i="1" a="1"/>
  <c r="X34" i="1" s="1"/>
  <c r="X66" i="1" a="1"/>
  <c r="X66" i="1" s="1"/>
  <c r="X53" i="1" a="1"/>
  <c r="X53" i="1" s="1"/>
  <c r="X30" i="1" a="1"/>
  <c r="X30" i="1" s="1"/>
  <c r="X32" i="1" a="1"/>
  <c r="X32" i="1" s="1"/>
  <c r="X27" i="1" a="1"/>
  <c r="X27" i="1" s="1"/>
  <c r="X52" i="1" a="1"/>
  <c r="X52" i="1" s="1"/>
  <c r="X49" i="1" a="1"/>
  <c r="X49" i="1" s="1"/>
  <c r="X38" i="1" a="1"/>
  <c r="X38" i="1" s="1"/>
  <c r="X57" i="1" a="1"/>
  <c r="X57" i="1" s="1"/>
  <c r="X67" i="1" a="1"/>
  <c r="X67" i="1" s="1"/>
  <c r="X44" i="1" a="1"/>
  <c r="X44" i="1" s="1"/>
  <c r="X28" i="1" a="1"/>
  <c r="X28" i="1" s="1"/>
  <c r="X42" i="1" a="1"/>
  <c r="X42" i="1" s="1"/>
  <c r="X47" i="1" a="1"/>
  <c r="X47" i="1" s="1"/>
  <c r="X55" i="1" a="1"/>
  <c r="X55" i="1" s="1"/>
  <c r="X43" i="1" a="1"/>
  <c r="X43" i="1" s="1"/>
  <c r="X68" i="1" a="1"/>
  <c r="X68" i="1" s="1"/>
  <c r="X69" i="1" a="1"/>
  <c r="X69" i="1" s="1"/>
  <c r="X70" i="1" a="1"/>
  <c r="X70" i="1" s="1"/>
  <c r="X29" i="1" a="1"/>
  <c r="X29" i="1" s="1"/>
  <c r="X71" i="1" a="1"/>
  <c r="X71" i="1" s="1"/>
  <c r="X39" i="1" a="1"/>
  <c r="X39" i="1" s="1"/>
  <c r="X15" i="1" a="1"/>
  <c r="X15" i="1" s="1"/>
  <c r="X72" i="1" a="1"/>
  <c r="X72" i="1" s="1"/>
  <c r="X73" i="1" a="1"/>
  <c r="X73" i="1" s="1"/>
  <c r="X74" i="1" a="1"/>
  <c r="X74" i="1" s="1"/>
  <c r="X75" i="1" a="1"/>
  <c r="X75" i="1" s="1"/>
  <c r="X76" i="1" a="1"/>
  <c r="X76" i="1" s="1"/>
  <c r="X33" i="1" a="1"/>
  <c r="X33" i="1" s="1"/>
  <c r="X77" i="1" a="1"/>
  <c r="X77" i="1" s="1"/>
  <c r="X31" i="1" a="1"/>
  <c r="X31" i="1" s="1"/>
  <c r="X25" i="1" a="1"/>
  <c r="X25" i="1" s="1"/>
  <c r="X21" i="1" a="1"/>
  <c r="X21" i="1" s="1"/>
  <c r="X78" i="1" a="1"/>
  <c r="X78" i="1" s="1"/>
  <c r="X46" i="1" a="1"/>
  <c r="X46" i="1" s="1"/>
  <c r="X23" i="1" a="1"/>
  <c r="X23" i="1" s="1"/>
  <c r="X5" i="1" a="1"/>
  <c r="X5" i="1" s="1"/>
  <c r="X35" i="1" a="1"/>
  <c r="X35" i="1" s="1"/>
  <c r="X17" i="1" a="1"/>
  <c r="X17" i="1" s="1"/>
  <c r="X19" i="1" a="1"/>
  <c r="X19" i="1" s="1"/>
  <c r="X13" i="1" a="1"/>
  <c r="X13" i="1" s="1"/>
  <c r="X79" i="1" a="1"/>
  <c r="X79" i="1" s="1"/>
  <c r="X80" i="1" a="1"/>
  <c r="X80" i="1" s="1"/>
  <c r="X10" i="1" a="1"/>
  <c r="X10" i="1" s="1"/>
  <c r="X20" i="1" a="1"/>
  <c r="X20" i="1" s="1"/>
  <c r="X16" i="1" a="1"/>
  <c r="X16" i="1" s="1"/>
  <c r="X9" i="1" a="1"/>
  <c r="X9" i="1" s="1"/>
  <c r="X14" i="1" a="1"/>
  <c r="X14" i="1" s="1"/>
  <c r="X12" i="1" a="1"/>
  <c r="X12" i="1" s="1"/>
  <c r="X7" i="1" a="1"/>
  <c r="X7" i="1" s="1"/>
  <c r="X11" i="1" a="1"/>
  <c r="X11" i="1" s="1"/>
  <c r="X6" i="1" a="1"/>
  <c r="X6" i="1" s="1"/>
  <c r="X8" i="1" a="1"/>
  <c r="X8" i="1" s="1"/>
  <c r="X2" i="1" a="1"/>
  <c r="X2" i="1" s="1"/>
  <c r="X4" i="1" a="1"/>
  <c r="X4" i="1" s="1"/>
  <c r="X18" i="1" a="1"/>
  <c r="X18" i="1" s="1"/>
  <c r="X3" i="1" a="1"/>
  <c r="X3" i="1" s="1"/>
  <c r="R2" i="1" a="1"/>
  <c r="R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Q2" i="1" a="1"/>
  <c r="Q2" i="1" s="1"/>
  <c r="Q3" i="1" a="1"/>
  <c r="Q3" i="1" s="1"/>
  <c r="Q4" i="1" a="1"/>
  <c r="Q4" i="1" s="1"/>
  <c r="Q5" i="1" a="1"/>
  <c r="Q5" i="1" s="1"/>
  <c r="Q6" i="1" a="1"/>
  <c r="Q6" i="1" s="1"/>
  <c r="Q7" i="1" a="1"/>
  <c r="Q7" i="1" s="1"/>
  <c r="Q8" i="1" a="1"/>
  <c r="Q8" i="1" s="1"/>
  <c r="Q9" i="1" a="1"/>
  <c r="Q9" i="1" s="1"/>
  <c r="Q10" i="1" a="1"/>
  <c r="Q10" i="1" s="1"/>
  <c r="Q11" i="1" a="1"/>
  <c r="Q11" i="1" s="1"/>
  <c r="Q12" i="1" a="1"/>
  <c r="Q12" i="1" s="1"/>
  <c r="Q13" i="1" a="1"/>
  <c r="Q13" i="1" s="1"/>
  <c r="Q14" i="1" a="1"/>
  <c r="Q14" i="1" s="1"/>
  <c r="Q15" i="1" a="1"/>
  <c r="Q15" i="1" s="1"/>
  <c r="Q16" i="1" a="1"/>
  <c r="Q16" i="1" s="1"/>
  <c r="Q17" i="1" a="1"/>
  <c r="Q17" i="1" s="1"/>
  <c r="Q18" i="1" a="1"/>
  <c r="Q18" i="1" s="1"/>
  <c r="Q19" i="1" a="1"/>
  <c r="Q19" i="1" s="1"/>
  <c r="Q20" i="1" a="1"/>
  <c r="Q20" i="1" s="1"/>
  <c r="Q21" i="1" a="1"/>
  <c r="Q21" i="1" s="1"/>
  <c r="Q22" i="1" a="1"/>
  <c r="Q22" i="1" s="1"/>
  <c r="Q23" i="1" a="1"/>
  <c r="Q23" i="1" s="1"/>
  <c r="Q24" i="1" a="1"/>
  <c r="Q24" i="1" s="1"/>
  <c r="Q25" i="1" a="1"/>
  <c r="Q25" i="1" s="1"/>
  <c r="Q26" i="1" a="1"/>
  <c r="Q26" i="1" s="1"/>
  <c r="Q27" i="1" a="1"/>
  <c r="Q27" i="1" s="1"/>
  <c r="Q28" i="1" a="1"/>
  <c r="Q28" i="1" s="1"/>
  <c r="Q29" i="1" a="1"/>
  <c r="Q29" i="1" s="1"/>
  <c r="Q30" i="1" a="1"/>
  <c r="Q30" i="1" s="1"/>
  <c r="Q31" i="1" a="1"/>
  <c r="Q31" i="1" s="1"/>
  <c r="Q32" i="1" a="1"/>
  <c r="Q32" i="1" s="1"/>
  <c r="Q33" i="1" a="1"/>
  <c r="Q33" i="1" s="1"/>
  <c r="Q34" i="1" a="1"/>
  <c r="Q34" i="1" s="1"/>
  <c r="Q35" i="1" a="1"/>
  <c r="Q35" i="1" s="1"/>
  <c r="Q36" i="1" a="1"/>
  <c r="Q36" i="1" s="1"/>
  <c r="Q37" i="1" a="1"/>
  <c r="Q37" i="1" s="1"/>
  <c r="Q38" i="1" a="1"/>
  <c r="Q38" i="1" s="1"/>
  <c r="Q39" i="1" a="1"/>
  <c r="Q39" i="1" s="1"/>
  <c r="Q40" i="1" a="1"/>
  <c r="Q40" i="1" s="1"/>
  <c r="Q41" i="1" a="1"/>
  <c r="Q41" i="1" s="1"/>
  <c r="Q42" i="1" a="1"/>
  <c r="Q42" i="1" s="1"/>
  <c r="Q43" i="1" a="1"/>
  <c r="Q43" i="1" s="1"/>
  <c r="Q44" i="1" a="1"/>
  <c r="Q44" i="1" s="1"/>
  <c r="Q45" i="1" a="1"/>
  <c r="Q45" i="1" s="1"/>
  <c r="Q46" i="1" a="1"/>
  <c r="Q46" i="1" s="1"/>
  <c r="Q47" i="1" a="1"/>
  <c r="Q47" i="1" s="1"/>
  <c r="Q48" i="1" a="1"/>
  <c r="Q48" i="1" s="1"/>
  <c r="Q49" i="1" a="1"/>
  <c r="Q49" i="1" s="1"/>
  <c r="Q50" i="1" a="1"/>
  <c r="Q50" i="1" s="1"/>
  <c r="Q51" i="1" a="1"/>
  <c r="Q51" i="1" s="1"/>
  <c r="Q52" i="1" a="1"/>
  <c r="Q52" i="1" s="1"/>
  <c r="Q53" i="1" a="1"/>
  <c r="Q53" i="1" s="1"/>
  <c r="Q54" i="1" a="1"/>
  <c r="Q54" i="1" s="1"/>
  <c r="Q55" i="1" a="1"/>
  <c r="Q55" i="1" s="1"/>
  <c r="Q56" i="1" a="1"/>
  <c r="Q56" i="1" s="1"/>
  <c r="Q57" i="1" a="1"/>
  <c r="Q57" i="1" s="1"/>
  <c r="Q58" i="1" a="1"/>
  <c r="Q58" i="1" s="1"/>
  <c r="Q59" i="1" a="1"/>
  <c r="Q59" i="1" s="1"/>
  <c r="Q60" i="1" a="1"/>
  <c r="Q60" i="1" s="1"/>
  <c r="Q61" i="1" a="1"/>
  <c r="Q61" i="1" s="1"/>
  <c r="Q62" i="1" a="1"/>
  <c r="Q62" i="1" s="1"/>
  <c r="Q63" i="1" a="1"/>
  <c r="Q63" i="1" s="1"/>
  <c r="Q64" i="1" a="1"/>
  <c r="Q64" i="1" s="1"/>
  <c r="Q65" i="1" a="1"/>
  <c r="Q65" i="1" s="1"/>
  <c r="Q66" i="1" a="1"/>
  <c r="Q66" i="1" s="1"/>
  <c r="Q67" i="1" a="1"/>
  <c r="Q67" i="1" s="1"/>
  <c r="Q68" i="1" a="1"/>
  <c r="Q68" i="1" s="1"/>
  <c r="Q69" i="1" a="1"/>
  <c r="Q69" i="1" s="1"/>
  <c r="Q70" i="1" a="1"/>
  <c r="Q70" i="1" s="1"/>
  <c r="Q71" i="1" a="1"/>
  <c r="Q71" i="1" s="1"/>
  <c r="Q72" i="1" a="1"/>
  <c r="Q72" i="1" s="1"/>
  <c r="Q73" i="1" a="1"/>
  <c r="Q73" i="1" s="1"/>
  <c r="Q74" i="1" a="1"/>
  <c r="Q74" i="1" s="1"/>
  <c r="Q75" i="1" a="1"/>
  <c r="Q75" i="1" s="1"/>
  <c r="Q76" i="1" a="1"/>
  <c r="Q76" i="1" s="1"/>
  <c r="Q77" i="1" a="1"/>
  <c r="Q77" i="1" s="1"/>
  <c r="Q78" i="1" a="1"/>
  <c r="Q78" i="1" s="1"/>
  <c r="Q79" i="1" a="1"/>
  <c r="Q79" i="1" s="1"/>
  <c r="Q80" i="1" a="1"/>
  <c r="Q80" i="1" s="1"/>
  <c r="Q81" i="1" a="1"/>
  <c r="Q81" i="1" s="1"/>
  <c r="Q82" i="1" a="1"/>
  <c r="Q82" i="1" s="1"/>
  <c r="Q83" i="1" a="1"/>
  <c r="Q83" i="1" s="1"/>
  <c r="Q84" i="1" a="1"/>
  <c r="Q84" i="1" s="1"/>
  <c r="Q85" i="1" a="1"/>
  <c r="Q85" i="1" s="1"/>
  <c r="Q86" i="1" a="1"/>
  <c r="Q86" i="1" s="1"/>
  <c r="Q87" i="1" a="1"/>
  <c r="Q87" i="1" s="1"/>
  <c r="Q88" i="1" a="1"/>
  <c r="Q88" i="1" s="1"/>
  <c r="Q89" i="1" a="1"/>
  <c r="Q89" i="1" s="1"/>
  <c r="Q90" i="1" a="1"/>
  <c r="Q90" i="1" s="1"/>
  <c r="Q91" i="1" a="1"/>
  <c r="Q91" i="1" s="1"/>
  <c r="Q92" i="1" a="1"/>
  <c r="Q92" i="1" s="1"/>
  <c r="Q93" i="1" a="1"/>
  <c r="Q93" i="1" s="1"/>
  <c r="Q94" i="1" a="1"/>
  <c r="Q94" i="1" s="1"/>
  <c r="Q95" i="1" a="1"/>
  <c r="Q95" i="1" s="1"/>
  <c r="Q96" i="1" a="1"/>
  <c r="Q96" i="1" s="1"/>
  <c r="Q97" i="1" a="1"/>
  <c r="Q97" i="1" s="1"/>
  <c r="Q98" i="1" a="1"/>
  <c r="Q98" i="1" s="1"/>
  <c r="Q99" i="1" a="1"/>
  <c r="Q99" i="1" s="1"/>
  <c r="Q100" i="1" a="1"/>
  <c r="Q100" i="1" s="1"/>
  <c r="Q101" i="1" a="1"/>
  <c r="Q101" i="1" s="1"/>
  <c r="Q102" i="1" a="1"/>
  <c r="Q102" i="1" s="1"/>
  <c r="Q103" i="1" a="1"/>
  <c r="Q103" i="1" s="1"/>
  <c r="Q104" i="1" a="1"/>
  <c r="Q104" i="1" s="1"/>
  <c r="Q105" i="1" a="1"/>
  <c r="Q105" i="1" s="1"/>
  <c r="Q106" i="1" a="1"/>
  <c r="Q106" i="1" s="1"/>
  <c r="Q107" i="1" a="1"/>
  <c r="Q107" i="1" s="1"/>
  <c r="Q108" i="1" a="1"/>
  <c r="Q108" i="1" s="1"/>
  <c r="Q109" i="1" a="1"/>
  <c r="Q109" i="1" s="1"/>
  <c r="Q110" i="1" a="1"/>
  <c r="Q110" i="1" s="1"/>
  <c r="Q111" i="1" a="1"/>
  <c r="Q111" i="1" s="1"/>
  <c r="Q112" i="1" a="1"/>
  <c r="Q112" i="1" s="1"/>
  <c r="Q113" i="1" a="1"/>
  <c r="Q113" i="1" s="1"/>
  <c r="Q114" i="1" a="1"/>
  <c r="Q114" i="1" s="1"/>
  <c r="Q115" i="1" a="1"/>
  <c r="Q115" i="1" s="1"/>
  <c r="Q116" i="1" a="1"/>
  <c r="Q116" i="1" s="1"/>
  <c r="Q117" i="1" a="1"/>
  <c r="Q117" i="1" s="1"/>
  <c r="Q118" i="1" a="1"/>
  <c r="Q118" i="1" s="1"/>
  <c r="Q119" i="1" a="1"/>
  <c r="Q119" i="1" s="1"/>
  <c r="Q120" i="1" a="1"/>
  <c r="Q120" i="1" s="1"/>
  <c r="Q121" i="1" a="1"/>
  <c r="Q121" i="1" s="1"/>
  <c r="Q122" i="1" a="1"/>
  <c r="Q122" i="1" s="1"/>
  <c r="Q123" i="1" a="1"/>
  <c r="Q123" i="1" s="1"/>
  <c r="Q124" i="1" a="1"/>
  <c r="Q124" i="1" s="1"/>
  <c r="Q125" i="1" a="1"/>
  <c r="Q125" i="1" s="1"/>
  <c r="Q126" i="1" a="1"/>
  <c r="Q126" i="1" s="1"/>
  <c r="Q127" i="1" a="1"/>
  <c r="Q127" i="1" s="1"/>
  <c r="Q128" i="1" a="1"/>
  <c r="Q128" i="1" s="1"/>
  <c r="Q129" i="1" a="1"/>
  <c r="Q129" i="1" s="1"/>
  <c r="P2" i="1" a="1"/>
  <c r="P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O2" i="1" a="1"/>
  <c r="O2" i="1" s="1"/>
  <c r="O3" i="1" a="1"/>
  <c r="O3" i="1" s="1"/>
  <c r="O4" i="1" a="1"/>
  <c r="O4" i="1" s="1"/>
  <c r="O5" i="1" a="1"/>
  <c r="O5"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17" i="1" a="1"/>
  <c r="O17" i="1" s="1"/>
  <c r="O18" i="1" a="1"/>
  <c r="O18" i="1" s="1"/>
  <c r="O19" i="1" a="1"/>
  <c r="O19" i="1" s="1"/>
  <c r="O20" i="1" a="1"/>
  <c r="O20" i="1" s="1"/>
  <c r="O21" i="1" a="1"/>
  <c r="O21" i="1" s="1"/>
  <c r="O22" i="1" a="1"/>
  <c r="O22" i="1" s="1"/>
  <c r="O23" i="1" a="1"/>
  <c r="O23" i="1" s="1"/>
  <c r="O24" i="1" a="1"/>
  <c r="O24" i="1" s="1"/>
  <c r="O25" i="1" a="1"/>
  <c r="O25" i="1" s="1"/>
  <c r="O26" i="1" a="1"/>
  <c r="O26" i="1" s="1"/>
  <c r="O27" i="1" a="1"/>
  <c r="O27" i="1" s="1"/>
  <c r="O28" i="1" a="1"/>
  <c r="O28" i="1" s="1"/>
  <c r="O29" i="1" a="1"/>
  <c r="O29" i="1" s="1"/>
  <c r="O30" i="1" a="1"/>
  <c r="O30" i="1" s="1"/>
  <c r="O31" i="1" a="1"/>
  <c r="O31" i="1" s="1"/>
  <c r="O32" i="1" a="1"/>
  <c r="O32" i="1" s="1"/>
  <c r="O33" i="1" a="1"/>
  <c r="O33" i="1" s="1"/>
  <c r="O34" i="1" a="1"/>
  <c r="O34" i="1" s="1"/>
  <c r="O35" i="1" a="1"/>
  <c r="O35" i="1" s="1"/>
  <c r="O36" i="1" a="1"/>
  <c r="O36" i="1" s="1"/>
  <c r="O37" i="1" a="1"/>
  <c r="O37" i="1" s="1"/>
  <c r="O38" i="1" a="1"/>
  <c r="O38" i="1" s="1"/>
  <c r="O39" i="1" a="1"/>
  <c r="O39" i="1" s="1"/>
  <c r="O40" i="1" a="1"/>
  <c r="O40" i="1" s="1"/>
  <c r="O41" i="1" a="1"/>
  <c r="O41" i="1" s="1"/>
  <c r="O42" i="1" a="1"/>
  <c r="O42" i="1" s="1"/>
  <c r="O43" i="1" a="1"/>
  <c r="O43" i="1" s="1"/>
  <c r="O44" i="1" a="1"/>
  <c r="O44" i="1" s="1"/>
  <c r="O45" i="1" a="1"/>
  <c r="O45" i="1" s="1"/>
  <c r="O46" i="1" a="1"/>
  <c r="O46" i="1" s="1"/>
  <c r="O47" i="1" a="1"/>
  <c r="O47" i="1" s="1"/>
  <c r="O48" i="1" a="1"/>
  <c r="O48" i="1" s="1"/>
  <c r="O49" i="1" a="1"/>
  <c r="O49" i="1" s="1"/>
  <c r="O50" i="1" a="1"/>
  <c r="O50" i="1" s="1"/>
  <c r="O51" i="1" a="1"/>
  <c r="O51" i="1" s="1"/>
  <c r="O52" i="1" a="1"/>
  <c r="O52" i="1" s="1"/>
  <c r="O53" i="1" a="1"/>
  <c r="O53" i="1" s="1"/>
  <c r="O54" i="1" a="1"/>
  <c r="O54" i="1" s="1"/>
  <c r="O55" i="1" a="1"/>
  <c r="O55" i="1" s="1"/>
  <c r="O56" i="1" a="1"/>
  <c r="O56" i="1" s="1"/>
  <c r="O57" i="1" a="1"/>
  <c r="O57" i="1" s="1"/>
  <c r="O58" i="1" a="1"/>
  <c r="O58" i="1" s="1"/>
  <c r="O59" i="1" a="1"/>
  <c r="O59" i="1" s="1"/>
  <c r="O60" i="1" a="1"/>
  <c r="O60" i="1" s="1"/>
  <c r="O61" i="1" a="1"/>
  <c r="O61" i="1" s="1"/>
  <c r="O62" i="1" a="1"/>
  <c r="O62" i="1" s="1"/>
  <c r="O63" i="1" a="1"/>
  <c r="O63" i="1" s="1"/>
  <c r="O64" i="1" a="1"/>
  <c r="O64" i="1" s="1"/>
  <c r="O65" i="1" a="1"/>
  <c r="O65" i="1" s="1"/>
  <c r="O66" i="1" a="1"/>
  <c r="O66" i="1" s="1"/>
  <c r="O67" i="1" a="1"/>
  <c r="O67" i="1" s="1"/>
  <c r="O68" i="1" a="1"/>
  <c r="O68" i="1" s="1"/>
  <c r="O69" i="1" a="1"/>
  <c r="O69" i="1" s="1"/>
  <c r="O70" i="1" a="1"/>
  <c r="O70" i="1" s="1"/>
  <c r="O71" i="1" a="1"/>
  <c r="O71" i="1" s="1"/>
  <c r="O72" i="1" a="1"/>
  <c r="O72" i="1" s="1"/>
  <c r="O73" i="1" a="1"/>
  <c r="O73" i="1" s="1"/>
  <c r="O74" i="1" a="1"/>
  <c r="O74" i="1" s="1"/>
  <c r="O75" i="1" a="1"/>
  <c r="O75" i="1" s="1"/>
  <c r="O76" i="1" a="1"/>
  <c r="O76" i="1" s="1"/>
  <c r="O77" i="1" a="1"/>
  <c r="O77" i="1" s="1"/>
  <c r="O78" i="1" a="1"/>
  <c r="O78" i="1" s="1"/>
  <c r="O79" i="1" a="1"/>
  <c r="O79" i="1" s="1"/>
  <c r="O80" i="1" a="1"/>
  <c r="O80" i="1" s="1"/>
  <c r="O81" i="1" a="1"/>
  <c r="O81" i="1" s="1"/>
  <c r="O82" i="1" a="1"/>
  <c r="O82" i="1" s="1"/>
  <c r="O83" i="1" a="1"/>
  <c r="O83" i="1" s="1"/>
  <c r="O84" i="1" a="1"/>
  <c r="O84" i="1" s="1"/>
  <c r="O85" i="1" a="1"/>
  <c r="O85" i="1" s="1"/>
  <c r="O86" i="1" a="1"/>
  <c r="O86" i="1" s="1"/>
  <c r="O87" i="1" a="1"/>
  <c r="O87" i="1" s="1"/>
  <c r="O88" i="1" a="1"/>
  <c r="O88" i="1" s="1"/>
  <c r="O89" i="1" a="1"/>
  <c r="O89" i="1" s="1"/>
  <c r="O90" i="1" a="1"/>
  <c r="O90" i="1" s="1"/>
  <c r="O91" i="1" a="1"/>
  <c r="O91" i="1" s="1"/>
  <c r="O92" i="1" a="1"/>
  <c r="O92" i="1" s="1"/>
  <c r="O93" i="1" a="1"/>
  <c r="O93" i="1" s="1"/>
  <c r="O94" i="1" a="1"/>
  <c r="O94" i="1" s="1"/>
  <c r="O95" i="1" a="1"/>
  <c r="O95" i="1" s="1"/>
  <c r="O96" i="1" a="1"/>
  <c r="O96" i="1" s="1"/>
  <c r="O97" i="1" a="1"/>
  <c r="O97" i="1" s="1"/>
  <c r="O98" i="1" a="1"/>
  <c r="O98" i="1" s="1"/>
  <c r="O99" i="1" a="1"/>
  <c r="O99" i="1" s="1"/>
  <c r="O100" i="1" a="1"/>
  <c r="O100" i="1" s="1"/>
  <c r="O101" i="1" a="1"/>
  <c r="O101" i="1" s="1"/>
  <c r="O102" i="1" a="1"/>
  <c r="O102" i="1" s="1"/>
  <c r="O103" i="1" a="1"/>
  <c r="O103" i="1" s="1"/>
  <c r="O104" i="1" a="1"/>
  <c r="O104" i="1" s="1"/>
  <c r="O105" i="1" a="1"/>
  <c r="O105" i="1" s="1"/>
  <c r="O106" i="1" a="1"/>
  <c r="O106" i="1" s="1"/>
  <c r="O107" i="1" a="1"/>
  <c r="O107" i="1" s="1"/>
  <c r="O108" i="1" a="1"/>
  <c r="O108" i="1" s="1"/>
  <c r="O109" i="1" a="1"/>
  <c r="O109" i="1" s="1"/>
  <c r="O110" i="1" a="1"/>
  <c r="O110" i="1" s="1"/>
  <c r="O111" i="1" a="1"/>
  <c r="O111" i="1" s="1"/>
  <c r="O112" i="1" a="1"/>
  <c r="O112" i="1" s="1"/>
  <c r="O113" i="1" a="1"/>
  <c r="O113" i="1" s="1"/>
  <c r="O114" i="1" a="1"/>
  <c r="O114" i="1" s="1"/>
  <c r="O115" i="1" a="1"/>
  <c r="O115" i="1" s="1"/>
  <c r="O116" i="1" a="1"/>
  <c r="O116" i="1" s="1"/>
  <c r="O117" i="1" a="1"/>
  <c r="O117" i="1" s="1"/>
  <c r="O118" i="1" a="1"/>
  <c r="O118" i="1" s="1"/>
  <c r="O119" i="1" a="1"/>
  <c r="O119" i="1" s="1"/>
  <c r="O120" i="1" a="1"/>
  <c r="O120" i="1" s="1"/>
  <c r="O121" i="1" a="1"/>
  <c r="O121" i="1" s="1"/>
  <c r="O122" i="1" a="1"/>
  <c r="O122" i="1" s="1"/>
  <c r="O123" i="1" a="1"/>
  <c r="O123" i="1" s="1"/>
  <c r="O124" i="1" a="1"/>
  <c r="O124" i="1" s="1"/>
  <c r="O125" i="1" a="1"/>
  <c r="O125" i="1" s="1"/>
  <c r="O126" i="1" a="1"/>
  <c r="O126" i="1" s="1"/>
  <c r="O127" i="1" a="1"/>
  <c r="O127" i="1" s="1"/>
  <c r="O128" i="1" a="1"/>
  <c r="O128" i="1" s="1"/>
  <c r="O129" i="1" a="1"/>
  <c r="O129" i="1" s="1"/>
  <c r="N2" i="1" a="1"/>
  <c r="N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M2" i="1" a="1"/>
  <c r="M2" i="1" s="1"/>
  <c r="M3" i="1" a="1"/>
  <c r="M3" i="1" s="1"/>
  <c r="M4" i="1" a="1"/>
  <c r="M4" i="1" s="1"/>
  <c r="M5" i="1" a="1"/>
  <c r="M5" i="1" s="1"/>
  <c r="M6" i="1" a="1"/>
  <c r="M6" i="1" s="1"/>
  <c r="M7" i="1" a="1"/>
  <c r="M7" i="1" s="1"/>
  <c r="M8" i="1" a="1"/>
  <c r="M8" i="1" s="1"/>
  <c r="M9" i="1" a="1"/>
  <c r="M9" i="1" s="1"/>
  <c r="M10" i="1" a="1"/>
  <c r="M10" i="1" s="1"/>
  <c r="M11" i="1" a="1"/>
  <c r="M11" i="1" s="1"/>
  <c r="M12" i="1" a="1"/>
  <c r="M12" i="1" s="1"/>
  <c r="M13" i="1" a="1"/>
  <c r="M13" i="1" s="1"/>
  <c r="M14" i="1" a="1"/>
  <c r="M14" i="1" s="1"/>
  <c r="M15" i="1" a="1"/>
  <c r="M15" i="1" s="1"/>
  <c r="M16" i="1" a="1"/>
  <c r="M16" i="1" s="1"/>
  <c r="M17" i="1" a="1"/>
  <c r="M17" i="1" s="1"/>
  <c r="M18" i="1" a="1"/>
  <c r="M18" i="1" s="1"/>
  <c r="M19" i="1" a="1"/>
  <c r="M19" i="1" s="1"/>
  <c r="M20" i="1" a="1"/>
  <c r="M20" i="1" s="1"/>
  <c r="M21" i="1" a="1"/>
  <c r="M21" i="1" s="1"/>
  <c r="M22" i="1" a="1"/>
  <c r="M22" i="1" s="1"/>
  <c r="M23" i="1" a="1"/>
  <c r="M23" i="1" s="1"/>
  <c r="M24" i="1" a="1"/>
  <c r="M24" i="1" s="1"/>
  <c r="M25" i="1" a="1"/>
  <c r="M25" i="1" s="1"/>
  <c r="M26" i="1" a="1"/>
  <c r="M26" i="1" s="1"/>
  <c r="M27" i="1" a="1"/>
  <c r="M27" i="1" s="1"/>
  <c r="M28" i="1" a="1"/>
  <c r="M28" i="1" s="1"/>
  <c r="M29" i="1" a="1"/>
  <c r="M29" i="1" s="1"/>
  <c r="M30" i="1" a="1"/>
  <c r="M30" i="1" s="1"/>
  <c r="M31" i="1" a="1"/>
  <c r="M31" i="1" s="1"/>
  <c r="M32" i="1" a="1"/>
  <c r="M32" i="1" s="1"/>
  <c r="M33" i="1" a="1"/>
  <c r="M33" i="1" s="1"/>
  <c r="M34" i="1" a="1"/>
  <c r="M34" i="1" s="1"/>
  <c r="M35" i="1" a="1"/>
  <c r="M35" i="1" s="1"/>
  <c r="M36" i="1" a="1"/>
  <c r="M36" i="1" s="1"/>
  <c r="M37" i="1" a="1"/>
  <c r="M37" i="1" s="1"/>
  <c r="M38" i="1" a="1"/>
  <c r="M38" i="1" s="1"/>
  <c r="M39" i="1" a="1"/>
  <c r="M39" i="1" s="1"/>
  <c r="M40" i="1" a="1"/>
  <c r="M40" i="1" s="1"/>
  <c r="M41" i="1" a="1"/>
  <c r="M41" i="1" s="1"/>
  <c r="M42" i="1" a="1"/>
  <c r="M42" i="1" s="1"/>
  <c r="M43" i="1" a="1"/>
  <c r="M43" i="1" s="1"/>
  <c r="M44" i="1" a="1"/>
  <c r="M44" i="1" s="1"/>
  <c r="M45" i="1" a="1"/>
  <c r="M45" i="1" s="1"/>
  <c r="M46" i="1" a="1"/>
  <c r="M46" i="1" s="1"/>
  <c r="M47" i="1" a="1"/>
  <c r="M47" i="1" s="1"/>
  <c r="M48" i="1" a="1"/>
  <c r="M48" i="1" s="1"/>
  <c r="M49" i="1" a="1"/>
  <c r="M49" i="1" s="1"/>
  <c r="M50" i="1" a="1"/>
  <c r="M50" i="1" s="1"/>
  <c r="M51" i="1" a="1"/>
  <c r="M51" i="1" s="1"/>
  <c r="M52" i="1" a="1"/>
  <c r="M52" i="1" s="1"/>
  <c r="M53" i="1" a="1"/>
  <c r="M53" i="1" s="1"/>
  <c r="M54" i="1" a="1"/>
  <c r="M54" i="1" s="1"/>
  <c r="M55" i="1" a="1"/>
  <c r="M55" i="1" s="1"/>
  <c r="M56" i="1" a="1"/>
  <c r="M56" i="1" s="1"/>
  <c r="M57" i="1" a="1"/>
  <c r="M57" i="1" s="1"/>
  <c r="M58" i="1" a="1"/>
  <c r="M58" i="1" s="1"/>
  <c r="M59" i="1" a="1"/>
  <c r="M59" i="1" s="1"/>
  <c r="M60" i="1" a="1"/>
  <c r="M60" i="1" s="1"/>
  <c r="M61" i="1" a="1"/>
  <c r="M61" i="1" s="1"/>
  <c r="M62" i="1" a="1"/>
  <c r="M62" i="1" s="1"/>
  <c r="M63" i="1" a="1"/>
  <c r="M63" i="1" s="1"/>
  <c r="M64" i="1" a="1"/>
  <c r="M64" i="1" s="1"/>
  <c r="M65" i="1" a="1"/>
  <c r="M65" i="1" s="1"/>
  <c r="M66" i="1" a="1"/>
  <c r="M66" i="1" s="1"/>
  <c r="M67" i="1" a="1"/>
  <c r="M67" i="1" s="1"/>
  <c r="M68" i="1" a="1"/>
  <c r="M68" i="1" s="1"/>
  <c r="M69" i="1" a="1"/>
  <c r="M69" i="1" s="1"/>
  <c r="M70" i="1" a="1"/>
  <c r="M70" i="1" s="1"/>
  <c r="M71" i="1" a="1"/>
  <c r="M71" i="1" s="1"/>
  <c r="M72" i="1" a="1"/>
  <c r="M72" i="1" s="1"/>
  <c r="M73" i="1" a="1"/>
  <c r="M73" i="1" s="1"/>
  <c r="M74" i="1" a="1"/>
  <c r="M74" i="1" s="1"/>
  <c r="M75" i="1" a="1"/>
  <c r="M75" i="1" s="1"/>
  <c r="M76" i="1" a="1"/>
  <c r="M76" i="1" s="1"/>
  <c r="M77" i="1" a="1"/>
  <c r="M77" i="1" s="1"/>
  <c r="M78" i="1" a="1"/>
  <c r="M78" i="1" s="1"/>
  <c r="M79" i="1" a="1"/>
  <c r="M79" i="1" s="1"/>
  <c r="M80" i="1" a="1"/>
  <c r="M80" i="1" s="1"/>
  <c r="M81" i="1" a="1"/>
  <c r="M81" i="1" s="1"/>
  <c r="M82" i="1" a="1"/>
  <c r="M82" i="1" s="1"/>
  <c r="M83" i="1" a="1"/>
  <c r="M83" i="1" s="1"/>
  <c r="M84" i="1" a="1"/>
  <c r="M84" i="1" s="1"/>
  <c r="M85" i="1" a="1"/>
  <c r="M85" i="1" s="1"/>
  <c r="M86" i="1" a="1"/>
  <c r="M86" i="1" s="1"/>
  <c r="M87" i="1" a="1"/>
  <c r="M87" i="1" s="1"/>
  <c r="M88" i="1" a="1"/>
  <c r="M88" i="1" s="1"/>
  <c r="M89" i="1" a="1"/>
  <c r="M89" i="1" s="1"/>
  <c r="M90" i="1" a="1"/>
  <c r="M90" i="1" s="1"/>
  <c r="M91" i="1" a="1"/>
  <c r="M91" i="1" s="1"/>
  <c r="M92" i="1" a="1"/>
  <c r="M92" i="1" s="1"/>
  <c r="M93" i="1" a="1"/>
  <c r="M93" i="1" s="1"/>
  <c r="M94" i="1" a="1"/>
  <c r="M94" i="1" s="1"/>
  <c r="M95" i="1" a="1"/>
  <c r="M95" i="1" s="1"/>
  <c r="M96" i="1" a="1"/>
  <c r="M96" i="1" s="1"/>
  <c r="M97" i="1" a="1"/>
  <c r="M97" i="1" s="1"/>
  <c r="M98" i="1" a="1"/>
  <c r="M98" i="1" s="1"/>
  <c r="M99" i="1" a="1"/>
  <c r="M99" i="1" s="1"/>
  <c r="M100" i="1" a="1"/>
  <c r="M100" i="1" s="1"/>
  <c r="M101" i="1" a="1"/>
  <c r="M101" i="1" s="1"/>
  <c r="M102" i="1" a="1"/>
  <c r="M102" i="1" s="1"/>
  <c r="M103" i="1" a="1"/>
  <c r="M103" i="1" s="1"/>
  <c r="M104" i="1" a="1"/>
  <c r="M104" i="1" s="1"/>
  <c r="M105" i="1" a="1"/>
  <c r="M105" i="1" s="1"/>
  <c r="M106" i="1" a="1"/>
  <c r="M106" i="1" s="1"/>
  <c r="M107" i="1" a="1"/>
  <c r="M107" i="1" s="1"/>
  <c r="M108" i="1" a="1"/>
  <c r="M108" i="1" s="1"/>
  <c r="M109" i="1" a="1"/>
  <c r="M109" i="1" s="1"/>
  <c r="M110" i="1" a="1"/>
  <c r="M110" i="1" s="1"/>
  <c r="M111" i="1" a="1"/>
  <c r="M111" i="1" s="1"/>
  <c r="M112" i="1" a="1"/>
  <c r="M112" i="1" s="1"/>
  <c r="M113" i="1" a="1"/>
  <c r="M113" i="1" s="1"/>
  <c r="M114" i="1" a="1"/>
  <c r="M114" i="1" s="1"/>
  <c r="M115" i="1" a="1"/>
  <c r="M115" i="1" s="1"/>
  <c r="M116" i="1" a="1"/>
  <c r="M116" i="1" s="1"/>
  <c r="M117" i="1" a="1"/>
  <c r="M117" i="1" s="1"/>
  <c r="M118" i="1" a="1"/>
  <c r="M118" i="1" s="1"/>
  <c r="M119" i="1" a="1"/>
  <c r="M119" i="1" s="1"/>
  <c r="M120" i="1" a="1"/>
  <c r="M120" i="1" s="1"/>
  <c r="M121" i="1" a="1"/>
  <c r="M121" i="1" s="1"/>
  <c r="M122" i="1" a="1"/>
  <c r="M122" i="1" s="1"/>
  <c r="M123" i="1" a="1"/>
  <c r="M123" i="1" s="1"/>
  <c r="M124" i="1" a="1"/>
  <c r="M124" i="1" s="1"/>
  <c r="M125" i="1" a="1"/>
  <c r="M125" i="1" s="1"/>
  <c r="M126" i="1" a="1"/>
  <c r="M126" i="1" s="1"/>
  <c r="M127" i="1" a="1"/>
  <c r="M127" i="1" s="1"/>
  <c r="M128" i="1" a="1"/>
  <c r="M128" i="1" s="1"/>
  <c r="M129" i="1" a="1"/>
  <c r="M129" i="1" s="1"/>
  <c r="L2" i="1" a="1"/>
  <c r="L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H2" i="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F2" i="1" a="1"/>
  <c r="F2" i="1" s="1"/>
  <c r="F3" i="1" a="1"/>
  <c r="F3" i="1" s="1"/>
  <c r="F4" i="1" a="1"/>
  <c r="F4" i="1" s="1"/>
  <c r="F5" i="1" a="1"/>
  <c r="F5" i="1" s="1"/>
  <c r="F6" i="1" a="1"/>
  <c r="F6" i="1" s="1"/>
  <c r="F7" i="1" a="1"/>
  <c r="F7" i="1" s="1"/>
  <c r="F8" i="1" a="1"/>
  <c r="F8" i="1" s="1"/>
  <c r="F9" i="1" a="1"/>
  <c r="F9" i="1" s="1"/>
  <c r="F10" i="1" a="1"/>
  <c r="F10" i="1" s="1"/>
  <c r="F11" i="1" a="1"/>
  <c r="F11" i="1" s="1"/>
  <c r="F12" i="1" a="1"/>
  <c r="F12" i="1" s="1"/>
  <c r="F13" i="1" a="1"/>
  <c r="F13" i="1" s="1"/>
  <c r="F14" i="1" a="1"/>
  <c r="F14" i="1" s="1"/>
  <c r="F15" i="1" a="1"/>
  <c r="F15" i="1" s="1"/>
  <c r="F16" i="1" a="1"/>
  <c r="F16" i="1" s="1"/>
  <c r="F17" i="1" a="1"/>
  <c r="F17" i="1" s="1"/>
  <c r="F18" i="1" a="1"/>
  <c r="F18" i="1" s="1"/>
  <c r="F19" i="1" a="1"/>
  <c r="F19" i="1" s="1"/>
  <c r="F20" i="1" a="1"/>
  <c r="F20" i="1" s="1"/>
  <c r="F21" i="1" a="1"/>
  <c r="F21" i="1" s="1"/>
  <c r="F22" i="1" a="1"/>
  <c r="F22" i="1" s="1"/>
  <c r="F23" i="1" a="1"/>
  <c r="F23" i="1" s="1"/>
  <c r="F24" i="1" a="1"/>
  <c r="F24" i="1" s="1"/>
  <c r="F25" i="1" a="1"/>
  <c r="F25" i="1" s="1"/>
  <c r="F26" i="1" a="1"/>
  <c r="F26" i="1" s="1"/>
  <c r="F27" i="1" a="1"/>
  <c r="F27" i="1" s="1"/>
  <c r="F28" i="1" a="1"/>
  <c r="F28" i="1" s="1"/>
  <c r="F29" i="1" a="1"/>
  <c r="F29" i="1" s="1"/>
  <c r="F30" i="1" a="1"/>
  <c r="F30" i="1" s="1"/>
  <c r="F31" i="1" a="1"/>
  <c r="F31" i="1" s="1"/>
  <c r="F32" i="1" a="1"/>
  <c r="F32" i="1" s="1"/>
  <c r="F33" i="1" a="1"/>
  <c r="F33" i="1" s="1"/>
  <c r="F34" i="1" a="1"/>
  <c r="F34" i="1" s="1"/>
  <c r="F35" i="1" a="1"/>
  <c r="F35" i="1" s="1"/>
  <c r="F36" i="1" a="1"/>
  <c r="F36" i="1" s="1"/>
  <c r="F37" i="1" a="1"/>
  <c r="F37" i="1" s="1"/>
  <c r="F38" i="1" a="1"/>
  <c r="F38" i="1" s="1"/>
  <c r="F39" i="1" a="1"/>
  <c r="F39" i="1" s="1"/>
  <c r="F40" i="1" a="1"/>
  <c r="F40" i="1" s="1"/>
  <c r="F41" i="1" a="1"/>
  <c r="F41" i="1" s="1"/>
  <c r="F42" i="1" a="1"/>
  <c r="F42" i="1" s="1"/>
  <c r="F43" i="1" a="1"/>
  <c r="F43" i="1" s="1"/>
  <c r="F44" i="1" a="1"/>
  <c r="F44" i="1" s="1"/>
  <c r="F45" i="1" a="1"/>
  <c r="F45" i="1" s="1"/>
  <c r="F46" i="1" a="1"/>
  <c r="F46" i="1" s="1"/>
  <c r="F47" i="1" a="1"/>
  <c r="F47" i="1" s="1"/>
  <c r="F48" i="1" a="1"/>
  <c r="F48" i="1" s="1"/>
  <c r="F49" i="1" a="1"/>
  <c r="F49" i="1" s="1"/>
  <c r="F50" i="1" a="1"/>
  <c r="F50" i="1" s="1"/>
  <c r="F51" i="1" a="1"/>
  <c r="F51" i="1" s="1"/>
  <c r="F52" i="1" a="1"/>
  <c r="F52" i="1" s="1"/>
  <c r="F53" i="1" a="1"/>
  <c r="F53" i="1" s="1"/>
  <c r="F54" i="1" a="1"/>
  <c r="F54" i="1" s="1"/>
  <c r="F55" i="1" a="1"/>
  <c r="F55" i="1" s="1"/>
  <c r="F56" i="1" a="1"/>
  <c r="F56" i="1" s="1"/>
  <c r="F57" i="1" a="1"/>
  <c r="F57" i="1" s="1"/>
  <c r="F58" i="1" a="1"/>
  <c r="F58" i="1" s="1"/>
  <c r="F59" i="1" a="1"/>
  <c r="F59" i="1" s="1"/>
  <c r="F60" i="1" a="1"/>
  <c r="F60" i="1" s="1"/>
  <c r="F61" i="1" a="1"/>
  <c r="F61" i="1" s="1"/>
  <c r="F62" i="1" a="1"/>
  <c r="F62" i="1" s="1"/>
  <c r="F63" i="1" a="1"/>
  <c r="F63" i="1" s="1"/>
  <c r="F64" i="1" a="1"/>
  <c r="F64" i="1" s="1"/>
  <c r="F65" i="1" a="1"/>
  <c r="F65" i="1" s="1"/>
  <c r="F66" i="1" a="1"/>
  <c r="F66" i="1" s="1"/>
  <c r="F67" i="1" a="1"/>
  <c r="F67" i="1" s="1"/>
  <c r="F68" i="1" a="1"/>
  <c r="F68" i="1" s="1"/>
  <c r="F69" i="1" a="1"/>
  <c r="F69" i="1" s="1"/>
  <c r="F70" i="1" a="1"/>
  <c r="F70" i="1" s="1"/>
  <c r="F71" i="1" a="1"/>
  <c r="F71" i="1" s="1"/>
  <c r="F72" i="1" a="1"/>
  <c r="F72" i="1" s="1"/>
  <c r="F73" i="1" a="1"/>
  <c r="F73" i="1" s="1"/>
  <c r="F74" i="1" a="1"/>
  <c r="F74" i="1" s="1"/>
  <c r="F75" i="1" a="1"/>
  <c r="F75" i="1" s="1"/>
  <c r="F76" i="1" a="1"/>
  <c r="F76" i="1" s="1"/>
  <c r="F77" i="1" a="1"/>
  <c r="F77" i="1" s="1"/>
  <c r="F78" i="1" a="1"/>
  <c r="F78" i="1" s="1"/>
  <c r="F79" i="1" a="1"/>
  <c r="F79" i="1" s="1"/>
  <c r="F80" i="1" a="1"/>
  <c r="F80" i="1" s="1"/>
  <c r="F81" i="1" a="1"/>
  <c r="F81" i="1" s="1"/>
  <c r="F82" i="1" a="1"/>
  <c r="F82" i="1" s="1"/>
  <c r="F83" i="1" a="1"/>
  <c r="F83" i="1" s="1"/>
  <c r="F84" i="1" a="1"/>
  <c r="F84" i="1" s="1"/>
  <c r="F85" i="1" a="1"/>
  <c r="F85" i="1" s="1"/>
  <c r="F86" i="1" a="1"/>
  <c r="F86" i="1" s="1"/>
  <c r="F87" i="1" a="1"/>
  <c r="F87" i="1" s="1"/>
  <c r="F88" i="1" a="1"/>
  <c r="F88" i="1" s="1"/>
  <c r="F89" i="1" a="1"/>
  <c r="F89" i="1" s="1"/>
  <c r="F90" i="1" a="1"/>
  <c r="F90" i="1" s="1"/>
  <c r="F91" i="1" a="1"/>
  <c r="F91" i="1" s="1"/>
  <c r="F92" i="1" a="1"/>
  <c r="F92" i="1" s="1"/>
  <c r="F93" i="1" a="1"/>
  <c r="F93" i="1" s="1"/>
  <c r="F94" i="1" a="1"/>
  <c r="F94" i="1" s="1"/>
  <c r="F95" i="1" a="1"/>
  <c r="F95" i="1" s="1"/>
  <c r="F96" i="1" a="1"/>
  <c r="F96" i="1" s="1"/>
  <c r="F97" i="1" a="1"/>
  <c r="F97" i="1" s="1"/>
  <c r="F98" i="1" a="1"/>
  <c r="F98" i="1" s="1"/>
  <c r="F99" i="1" a="1"/>
  <c r="F99" i="1" s="1"/>
  <c r="F100" i="1" a="1"/>
  <c r="F100" i="1" s="1"/>
  <c r="F101" i="1" a="1"/>
  <c r="F101" i="1" s="1"/>
  <c r="F102" i="1" a="1"/>
  <c r="F102" i="1" s="1"/>
  <c r="F103" i="1" a="1"/>
  <c r="F103" i="1" s="1"/>
  <c r="F104" i="1" a="1"/>
  <c r="F104" i="1" s="1"/>
  <c r="F105" i="1" a="1"/>
  <c r="F105" i="1" s="1"/>
  <c r="F106" i="1" a="1"/>
  <c r="F106" i="1" s="1"/>
  <c r="F107" i="1" a="1"/>
  <c r="F107" i="1" s="1"/>
  <c r="F108" i="1" a="1"/>
  <c r="F108" i="1" s="1"/>
  <c r="F109" i="1" a="1"/>
  <c r="F109" i="1" s="1"/>
  <c r="F110" i="1" a="1"/>
  <c r="F110" i="1" s="1"/>
  <c r="F111" i="1" a="1"/>
  <c r="F111" i="1" s="1"/>
  <c r="F112" i="1" a="1"/>
  <c r="F112" i="1" s="1"/>
  <c r="F113" i="1" a="1"/>
  <c r="F113" i="1" s="1"/>
  <c r="F114" i="1" a="1"/>
  <c r="F114" i="1" s="1"/>
  <c r="F115" i="1" a="1"/>
  <c r="F115" i="1" s="1"/>
  <c r="F116" i="1" a="1"/>
  <c r="F116" i="1" s="1"/>
  <c r="F117" i="1" a="1"/>
  <c r="F117" i="1" s="1"/>
  <c r="F118" i="1" a="1"/>
  <c r="F118" i="1" s="1"/>
  <c r="E2" i="1" a="1"/>
  <c r="E2" i="1" s="1"/>
  <c r="E3" i="1" a="1"/>
  <c r="E3" i="1" s="1"/>
  <c r="E4" i="1" a="1"/>
  <c r="E4" i="1" s="1"/>
  <c r="E5" i="1" a="1"/>
  <c r="E5" i="1" s="1"/>
  <c r="E6" i="1" a="1"/>
  <c r="E6" i="1" s="1"/>
  <c r="E7" i="1" a="1"/>
  <c r="E7" i="1" s="1"/>
  <c r="E8" i="1" a="1"/>
  <c r="E8" i="1" s="1"/>
  <c r="E9" i="1" a="1"/>
  <c r="E9" i="1" s="1"/>
  <c r="E10" i="1" a="1"/>
  <c r="E10" i="1" s="1"/>
  <c r="E11" i="1" a="1"/>
  <c r="E11" i="1" s="1"/>
  <c r="E12" i="1" a="1"/>
  <c r="E12" i="1" s="1"/>
  <c r="E13" i="1" a="1"/>
  <c r="E13" i="1" s="1"/>
  <c r="E14" i="1" a="1"/>
  <c r="E14" i="1" s="1"/>
  <c r="E15" i="1" a="1"/>
  <c r="E15" i="1" s="1"/>
  <c r="E16" i="1" a="1"/>
  <c r="E16" i="1" s="1"/>
  <c r="E17" i="1" a="1"/>
  <c r="E17" i="1" s="1"/>
  <c r="E18" i="1" a="1"/>
  <c r="E18" i="1" s="1"/>
  <c r="E19" i="1" a="1"/>
  <c r="E19" i="1" s="1"/>
  <c r="E20" i="1" a="1"/>
  <c r="E20" i="1" s="1"/>
  <c r="E21" i="1" a="1"/>
  <c r="E21" i="1" s="1"/>
  <c r="E22" i="1" a="1"/>
  <c r="E22" i="1" s="1"/>
  <c r="E23" i="1" a="1"/>
  <c r="E23" i="1" s="1"/>
  <c r="E24" i="1" a="1"/>
  <c r="E24" i="1" s="1"/>
  <c r="E25" i="1" a="1"/>
  <c r="E25" i="1" s="1"/>
  <c r="E26" i="1" a="1"/>
  <c r="E26" i="1" s="1"/>
  <c r="E27" i="1" a="1"/>
  <c r="E27" i="1" s="1"/>
  <c r="E28" i="1" a="1"/>
  <c r="E28" i="1" s="1"/>
  <c r="E29" i="1" a="1"/>
  <c r="E29" i="1" s="1"/>
  <c r="E30" i="1" a="1"/>
  <c r="E30" i="1" s="1"/>
  <c r="E31" i="1" a="1"/>
  <c r="E31" i="1" s="1"/>
  <c r="E32" i="1" a="1"/>
  <c r="E32" i="1" s="1"/>
  <c r="E33" i="1" a="1"/>
  <c r="E33" i="1" s="1"/>
  <c r="E34" i="1" a="1"/>
  <c r="E34" i="1" s="1"/>
  <c r="E35" i="1" a="1"/>
  <c r="E35" i="1" s="1"/>
  <c r="E36" i="1" a="1"/>
  <c r="E36" i="1" s="1"/>
  <c r="E37" i="1" a="1"/>
  <c r="E37" i="1" s="1"/>
  <c r="E38" i="1" a="1"/>
  <c r="E38" i="1" s="1"/>
  <c r="E39" i="1" a="1"/>
  <c r="E39" i="1" s="1"/>
  <c r="E40" i="1" a="1"/>
  <c r="E40" i="1" s="1"/>
  <c r="E41" i="1" a="1"/>
  <c r="E41" i="1" s="1"/>
  <c r="E42" i="1" a="1"/>
  <c r="E42" i="1" s="1"/>
  <c r="E43" i="1" a="1"/>
  <c r="E43" i="1" s="1"/>
  <c r="E44" i="1" a="1"/>
  <c r="E44" i="1" s="1"/>
  <c r="E45" i="1" a="1"/>
  <c r="E45" i="1" s="1"/>
  <c r="E46" i="1" a="1"/>
  <c r="E46" i="1" s="1"/>
  <c r="E47" i="1" a="1"/>
  <c r="E47" i="1" s="1"/>
  <c r="E48" i="1" a="1"/>
  <c r="E48" i="1" s="1"/>
  <c r="E49" i="1" a="1"/>
  <c r="E49" i="1" s="1"/>
  <c r="E50" i="1" a="1"/>
  <c r="E50" i="1" s="1"/>
  <c r="E51" i="1" a="1"/>
  <c r="E51" i="1" s="1"/>
  <c r="E52" i="1" a="1"/>
  <c r="E52" i="1" s="1"/>
  <c r="E53" i="1" a="1"/>
  <c r="E53" i="1" s="1"/>
  <c r="E54" i="1" a="1"/>
  <c r="E54" i="1" s="1"/>
  <c r="E55" i="1" a="1"/>
  <c r="E55" i="1" s="1"/>
  <c r="E56" i="1" a="1"/>
  <c r="E56" i="1" s="1"/>
  <c r="E57" i="1" a="1"/>
  <c r="E57" i="1" s="1"/>
  <c r="E58" i="1" a="1"/>
  <c r="E58" i="1" s="1"/>
  <c r="E59" i="1" a="1"/>
  <c r="E59" i="1" s="1"/>
  <c r="E60" i="1" a="1"/>
  <c r="E60" i="1" s="1"/>
  <c r="E61" i="1" a="1"/>
  <c r="E61" i="1" s="1"/>
  <c r="E62" i="1" a="1"/>
  <c r="E62" i="1" s="1"/>
  <c r="E63" i="1" a="1"/>
  <c r="E63" i="1" s="1"/>
  <c r="E64" i="1" a="1"/>
  <c r="E64" i="1" s="1"/>
  <c r="E65" i="1" a="1"/>
  <c r="E65" i="1" s="1"/>
  <c r="E66" i="1" a="1"/>
  <c r="E66" i="1" s="1"/>
  <c r="E67" i="1" a="1"/>
  <c r="E67" i="1" s="1"/>
  <c r="E68" i="1" a="1"/>
  <c r="E68" i="1" s="1"/>
  <c r="E69" i="1" a="1"/>
  <c r="E69" i="1" s="1"/>
  <c r="E70" i="1" a="1"/>
  <c r="E70" i="1" s="1"/>
  <c r="E71" i="1" a="1"/>
  <c r="E71" i="1" s="1"/>
  <c r="E72" i="1" a="1"/>
  <c r="E72" i="1" s="1"/>
  <c r="E73" i="1" a="1"/>
  <c r="E73" i="1" s="1"/>
  <c r="E74" i="1" a="1"/>
  <c r="E74" i="1" s="1"/>
  <c r="E75" i="1" a="1"/>
  <c r="E75" i="1" s="1"/>
  <c r="E76" i="1" a="1"/>
  <c r="E76" i="1" s="1"/>
  <c r="E77" i="1" a="1"/>
  <c r="E77" i="1" s="1"/>
  <c r="E78" i="1" a="1"/>
  <c r="E78" i="1" s="1"/>
  <c r="E79" i="1" a="1"/>
  <c r="E79" i="1" s="1"/>
  <c r="E80" i="1" a="1"/>
  <c r="E80" i="1" s="1"/>
  <c r="E81" i="1" a="1"/>
  <c r="E81" i="1" s="1"/>
  <c r="E82" i="1" a="1"/>
  <c r="E82" i="1" s="1"/>
  <c r="E83" i="1" a="1"/>
  <c r="E83" i="1" s="1"/>
  <c r="E84" i="1" a="1"/>
  <c r="E84" i="1" s="1"/>
  <c r="E85" i="1" a="1"/>
  <c r="E85" i="1" s="1"/>
  <c r="E86" i="1" a="1"/>
  <c r="E86" i="1" s="1"/>
  <c r="E87" i="1" a="1"/>
  <c r="E87" i="1" s="1"/>
  <c r="E88" i="1" a="1"/>
  <c r="E88" i="1" s="1"/>
  <c r="E89" i="1" a="1"/>
  <c r="E89" i="1" s="1"/>
  <c r="E90" i="1" a="1"/>
  <c r="E90" i="1" s="1"/>
  <c r="E91" i="1" a="1"/>
  <c r="E91" i="1" s="1"/>
  <c r="E92" i="1" a="1"/>
  <c r="E92" i="1" s="1"/>
  <c r="E93" i="1" a="1"/>
  <c r="E93" i="1" s="1"/>
  <c r="E94" i="1" a="1"/>
  <c r="E94" i="1" s="1"/>
  <c r="E95" i="1" a="1"/>
  <c r="E95" i="1" s="1"/>
  <c r="E96" i="1" a="1"/>
  <c r="E96" i="1" s="1"/>
  <c r="E97" i="1" a="1"/>
  <c r="E97" i="1" s="1"/>
  <c r="E98" i="1" a="1"/>
  <c r="E98" i="1" s="1"/>
  <c r="E99" i="1" a="1"/>
  <c r="E99" i="1" s="1"/>
  <c r="E100" i="1" a="1"/>
  <c r="E100" i="1" s="1"/>
  <c r="E101" i="1" a="1"/>
  <c r="E101" i="1" s="1"/>
  <c r="E102" i="1" a="1"/>
  <c r="E102" i="1" s="1"/>
  <c r="E103" i="1" a="1"/>
  <c r="E103" i="1" s="1"/>
  <c r="E104" i="1" a="1"/>
  <c r="E104" i="1" s="1"/>
  <c r="E105" i="1" a="1"/>
  <c r="E105" i="1" s="1"/>
  <c r="E106" i="1" a="1"/>
  <c r="E106" i="1" s="1"/>
  <c r="E107" i="1" a="1"/>
  <c r="E107" i="1" s="1"/>
  <c r="E108" i="1" a="1"/>
  <c r="E108" i="1" s="1"/>
  <c r="E109" i="1" a="1"/>
  <c r="E109" i="1" s="1"/>
  <c r="E110" i="1" a="1"/>
  <c r="E110" i="1" s="1"/>
  <c r="E111" i="1" a="1"/>
  <c r="E111" i="1" s="1"/>
  <c r="E112" i="1" a="1"/>
  <c r="E112" i="1" s="1"/>
  <c r="E113" i="1" a="1"/>
  <c r="E113" i="1" s="1"/>
  <c r="E114" i="1" a="1"/>
  <c r="E114" i="1" s="1"/>
  <c r="E115" i="1" a="1"/>
  <c r="E115" i="1" s="1"/>
  <c r="E116" i="1" a="1"/>
  <c r="E116" i="1" s="1"/>
  <c r="E117" i="1" a="1"/>
  <c r="E117" i="1" s="1"/>
  <c r="E118" i="1" a="1"/>
  <c r="E118" i="1" s="1"/>
  <c r="D2" i="1" a="1"/>
  <c r="D2" i="1" s="1"/>
  <c r="D3" i="1" a="1"/>
  <c r="D3" i="1" s="1"/>
  <c r="D4" i="1" a="1"/>
  <c r="D4" i="1" s="1"/>
  <c r="D5" i="1" a="1"/>
  <c r="D5" i="1" s="1"/>
  <c r="D6" i="1" a="1"/>
  <c r="D6" i="1" s="1"/>
  <c r="D7" i="1" a="1"/>
  <c r="D7" i="1" s="1"/>
  <c r="D8" i="1" a="1"/>
  <c r="D8" i="1" s="1"/>
  <c r="D9" i="1" a="1"/>
  <c r="D9" i="1" s="1"/>
  <c r="D10" i="1" a="1"/>
  <c r="D10" i="1" s="1"/>
  <c r="D11" i="1" a="1"/>
  <c r="D11" i="1" s="1"/>
  <c r="D12" i="1" a="1"/>
  <c r="D12" i="1" s="1"/>
  <c r="D13" i="1" a="1"/>
  <c r="D13" i="1" s="1"/>
  <c r="D14" i="1" a="1"/>
  <c r="D14" i="1" s="1"/>
  <c r="D15" i="1" a="1"/>
  <c r="D15" i="1" s="1"/>
  <c r="D16" i="1" a="1"/>
  <c r="D16" i="1" s="1"/>
  <c r="D17" i="1" a="1"/>
  <c r="D17" i="1" s="1"/>
  <c r="D18" i="1" a="1"/>
  <c r="D18" i="1" s="1"/>
  <c r="D19" i="1" a="1"/>
  <c r="D19" i="1" s="1"/>
  <c r="D20" i="1" a="1"/>
  <c r="D20" i="1" s="1"/>
  <c r="D21" i="1" a="1"/>
  <c r="D21" i="1" s="1"/>
  <c r="D22" i="1" a="1"/>
  <c r="D22" i="1" s="1"/>
  <c r="D23" i="1" a="1"/>
  <c r="D23" i="1" s="1"/>
  <c r="D24" i="1" a="1"/>
  <c r="D24" i="1" s="1"/>
  <c r="D25" i="1" a="1"/>
  <c r="D25" i="1" s="1"/>
  <c r="D26" i="1" a="1"/>
  <c r="D26" i="1" s="1"/>
  <c r="D27" i="1" a="1"/>
  <c r="D27" i="1" s="1"/>
  <c r="D28" i="1" a="1"/>
  <c r="D28" i="1" s="1"/>
  <c r="D29" i="1" a="1"/>
  <c r="D29" i="1" s="1"/>
  <c r="D30" i="1" a="1"/>
  <c r="D30" i="1" s="1"/>
  <c r="D31" i="1" a="1"/>
  <c r="D31" i="1" s="1"/>
  <c r="D32" i="1" a="1"/>
  <c r="D32" i="1" s="1"/>
  <c r="D33" i="1" a="1"/>
  <c r="D33" i="1" s="1"/>
  <c r="D34" i="1" a="1"/>
  <c r="D34" i="1" s="1"/>
  <c r="D35" i="1" a="1"/>
  <c r="D35" i="1" s="1"/>
  <c r="D36" i="1" a="1"/>
  <c r="D36" i="1" s="1"/>
  <c r="D37" i="1" a="1"/>
  <c r="D37" i="1" s="1"/>
  <c r="D38" i="1" a="1"/>
  <c r="D38" i="1" s="1"/>
  <c r="D39" i="1" a="1"/>
  <c r="D39" i="1" s="1"/>
  <c r="D40" i="1" a="1"/>
  <c r="D40" i="1" s="1"/>
  <c r="D41" i="1" a="1"/>
  <c r="D41" i="1" s="1"/>
  <c r="D42" i="1" a="1"/>
  <c r="D42" i="1" s="1"/>
  <c r="D43" i="1" a="1"/>
  <c r="D43" i="1" s="1"/>
  <c r="D44" i="1" a="1"/>
  <c r="D44" i="1" s="1"/>
  <c r="D45" i="1" a="1"/>
  <c r="D45" i="1" s="1"/>
  <c r="D46" i="1" a="1"/>
  <c r="D46" i="1" s="1"/>
  <c r="D47" i="1" a="1"/>
  <c r="D47" i="1" s="1"/>
  <c r="D48" i="1" a="1"/>
  <c r="D48" i="1" s="1"/>
  <c r="D49" i="1" a="1"/>
  <c r="D49" i="1" s="1"/>
  <c r="D50" i="1" a="1"/>
  <c r="D50" i="1" s="1"/>
  <c r="D51" i="1" a="1"/>
  <c r="D51" i="1" s="1"/>
  <c r="D52" i="1" a="1"/>
  <c r="D52" i="1" s="1"/>
  <c r="D53" i="1" a="1"/>
  <c r="D53" i="1" s="1"/>
  <c r="D54" i="1" a="1"/>
  <c r="D54" i="1" s="1"/>
  <c r="D55" i="1" a="1"/>
  <c r="D55" i="1" s="1"/>
  <c r="D56" i="1" a="1"/>
  <c r="D56" i="1" s="1"/>
  <c r="D57" i="1" a="1"/>
  <c r="D57" i="1" s="1"/>
  <c r="D58" i="1" a="1"/>
  <c r="D58" i="1" s="1"/>
  <c r="D59" i="1" a="1"/>
  <c r="D59" i="1" s="1"/>
  <c r="D60" i="1" a="1"/>
  <c r="D60" i="1" s="1"/>
  <c r="D61" i="1" a="1"/>
  <c r="D61" i="1" s="1"/>
  <c r="D62" i="1" a="1"/>
  <c r="D62" i="1" s="1"/>
  <c r="D63" i="1" a="1"/>
  <c r="D63" i="1" s="1"/>
  <c r="D64" i="1" a="1"/>
  <c r="D64" i="1" s="1"/>
  <c r="D65" i="1" a="1"/>
  <c r="D65" i="1" s="1"/>
  <c r="D66" i="1" a="1"/>
  <c r="D66" i="1" s="1"/>
  <c r="D67" i="1" a="1"/>
  <c r="D67" i="1" s="1"/>
  <c r="D68" i="1" a="1"/>
  <c r="D68" i="1" s="1"/>
  <c r="D69" i="1" a="1"/>
  <c r="D69" i="1" s="1"/>
  <c r="D70" i="1" a="1"/>
  <c r="D70" i="1" s="1"/>
  <c r="D71" i="1" a="1"/>
  <c r="D71" i="1" s="1"/>
  <c r="D72" i="1" a="1"/>
  <c r="D72" i="1" s="1"/>
  <c r="D73" i="1" a="1"/>
  <c r="D73" i="1" s="1"/>
  <c r="D74" i="1" a="1"/>
  <c r="D74" i="1" s="1"/>
  <c r="D75" i="1" a="1"/>
  <c r="D75" i="1" s="1"/>
  <c r="D76" i="1" a="1"/>
  <c r="D76" i="1" s="1"/>
  <c r="D77" i="1" a="1"/>
  <c r="D77" i="1" s="1"/>
  <c r="D78" i="1" a="1"/>
  <c r="D78" i="1" s="1"/>
  <c r="D79" i="1" a="1"/>
  <c r="D79" i="1" s="1"/>
  <c r="D80" i="1" a="1"/>
  <c r="D80" i="1" s="1"/>
  <c r="D81" i="1" a="1"/>
  <c r="D81" i="1" s="1"/>
  <c r="D82" i="1" a="1"/>
  <c r="D82" i="1" s="1"/>
  <c r="D83" i="1" a="1"/>
  <c r="D83" i="1" s="1"/>
  <c r="D84" i="1" a="1"/>
  <c r="D84" i="1" s="1"/>
  <c r="D85" i="1" a="1"/>
  <c r="D85" i="1" s="1"/>
  <c r="D86" i="1" a="1"/>
  <c r="D86" i="1" s="1"/>
  <c r="D87" i="1" a="1"/>
  <c r="D87" i="1" s="1"/>
  <c r="D88" i="1" a="1"/>
  <c r="D88" i="1" s="1"/>
  <c r="D89" i="1" a="1"/>
  <c r="D89" i="1" s="1"/>
  <c r="D90" i="1" a="1"/>
  <c r="D90" i="1" s="1"/>
  <c r="D91" i="1" a="1"/>
  <c r="D91" i="1" s="1"/>
  <c r="D92" i="1" a="1"/>
  <c r="D92" i="1" s="1"/>
  <c r="D93" i="1" a="1"/>
  <c r="D93" i="1" s="1"/>
  <c r="D94" i="1" a="1"/>
  <c r="D94" i="1" s="1"/>
  <c r="D95" i="1" a="1"/>
  <c r="D95" i="1" s="1"/>
  <c r="D96" i="1" a="1"/>
  <c r="D96" i="1" s="1"/>
  <c r="D97" i="1" a="1"/>
  <c r="D97" i="1" s="1"/>
  <c r="D98" i="1" a="1"/>
  <c r="D98" i="1" s="1"/>
  <c r="D99" i="1" a="1"/>
  <c r="D99" i="1" s="1"/>
  <c r="D100" i="1" a="1"/>
  <c r="D100" i="1" s="1"/>
  <c r="D101" i="1" a="1"/>
  <c r="D101" i="1" s="1"/>
  <c r="D102" i="1" a="1"/>
  <c r="D102" i="1" s="1"/>
  <c r="D103" i="1" a="1"/>
  <c r="D103" i="1" s="1"/>
  <c r="D104" i="1" a="1"/>
  <c r="D104" i="1" s="1"/>
  <c r="D105" i="1" a="1"/>
  <c r="D105" i="1" s="1"/>
  <c r="D106" i="1" a="1"/>
  <c r="D106" i="1" s="1"/>
  <c r="D107" i="1" a="1"/>
  <c r="D107" i="1" s="1"/>
  <c r="D108" i="1" a="1"/>
  <c r="D108" i="1" s="1"/>
  <c r="D109" i="1" a="1"/>
  <c r="D109" i="1" s="1"/>
  <c r="D110" i="1" a="1"/>
  <c r="D110" i="1" s="1"/>
  <c r="D111" i="1" a="1"/>
  <c r="D111" i="1" s="1"/>
  <c r="D112" i="1" a="1"/>
  <c r="D112" i="1" s="1"/>
  <c r="D113" i="1" a="1"/>
  <c r="D113" i="1" s="1"/>
  <c r="D114" i="1" a="1"/>
  <c r="D114" i="1" s="1"/>
  <c r="D115" i="1" a="1"/>
  <c r="D115" i="1" s="1"/>
  <c r="D116" i="1" a="1"/>
  <c r="D116" i="1" s="1"/>
  <c r="D117" i="1" a="1"/>
  <c r="D117" i="1" s="1"/>
  <c r="D118" i="1" a="1"/>
  <c r="D118" i="1" s="1"/>
  <c r="C2" i="1" a="1"/>
  <c r="C2" i="1" s="1"/>
  <c r="C3" i="1" a="1"/>
  <c r="C3" i="1" s="1"/>
  <c r="C4" i="1" a="1"/>
  <c r="C4" i="1" s="1"/>
  <c r="C5" i="1" a="1"/>
  <c r="C5" i="1" s="1"/>
  <c r="C6" i="1" a="1"/>
  <c r="C6" i="1" s="1"/>
  <c r="C7" i="1" a="1"/>
  <c r="C7" i="1" s="1"/>
  <c r="C8" i="1" a="1"/>
  <c r="C8" i="1" s="1"/>
  <c r="C9" i="1" a="1"/>
  <c r="C9" i="1" s="1"/>
  <c r="C10" i="1" a="1"/>
  <c r="C10" i="1" s="1"/>
  <c r="C11" i="1" a="1"/>
  <c r="C11" i="1" s="1"/>
  <c r="C12" i="1" a="1"/>
  <c r="C12" i="1" s="1"/>
  <c r="C13" i="1" a="1"/>
  <c r="C13" i="1" s="1"/>
  <c r="C14" i="1" a="1"/>
  <c r="C14" i="1" s="1"/>
  <c r="C15" i="1" a="1"/>
  <c r="C15" i="1" s="1"/>
  <c r="C16" i="1" a="1"/>
  <c r="C16" i="1" s="1"/>
  <c r="C17" i="1" a="1"/>
  <c r="C17" i="1" s="1"/>
  <c r="C18" i="1" a="1"/>
  <c r="C18" i="1" s="1"/>
  <c r="C19" i="1" a="1"/>
  <c r="C19" i="1" s="1"/>
  <c r="C20" i="1" a="1"/>
  <c r="C20" i="1" s="1"/>
  <c r="C21" i="1" a="1"/>
  <c r="C21" i="1" s="1"/>
  <c r="C22" i="1" a="1"/>
  <c r="C22" i="1" s="1"/>
  <c r="C23" i="1" a="1"/>
  <c r="C23" i="1" s="1"/>
  <c r="C24" i="1" a="1"/>
  <c r="C24" i="1" s="1"/>
  <c r="C25" i="1" a="1"/>
  <c r="C25" i="1" s="1"/>
  <c r="C26" i="1" a="1"/>
  <c r="C26" i="1" s="1"/>
  <c r="C27" i="1" a="1"/>
  <c r="C27" i="1" s="1"/>
  <c r="C28" i="1" a="1"/>
  <c r="C28" i="1" s="1"/>
  <c r="C29" i="1" a="1"/>
  <c r="C29" i="1" s="1"/>
  <c r="C30" i="1" a="1"/>
  <c r="C30" i="1" s="1"/>
  <c r="C31" i="1" a="1"/>
  <c r="C31" i="1" s="1"/>
  <c r="C32" i="1" a="1"/>
  <c r="C32" i="1" s="1"/>
  <c r="C33" i="1" a="1"/>
  <c r="C33" i="1" s="1"/>
  <c r="C34" i="1" a="1"/>
  <c r="C34" i="1" s="1"/>
  <c r="C35" i="1" a="1"/>
  <c r="C35" i="1" s="1"/>
  <c r="C36" i="1" a="1"/>
  <c r="C36" i="1" s="1"/>
  <c r="C37" i="1" a="1"/>
  <c r="C37" i="1" s="1"/>
  <c r="C38" i="1" a="1"/>
  <c r="C38" i="1" s="1"/>
  <c r="C39" i="1" a="1"/>
  <c r="C39" i="1" s="1"/>
  <c r="C40" i="1" a="1"/>
  <c r="C40" i="1" s="1"/>
  <c r="C41" i="1" a="1"/>
  <c r="C41" i="1" s="1"/>
  <c r="C42" i="1" a="1"/>
  <c r="C42" i="1" s="1"/>
  <c r="C43" i="1" a="1"/>
  <c r="C43" i="1" s="1"/>
  <c r="C44" i="1" a="1"/>
  <c r="C44" i="1" s="1"/>
  <c r="C45" i="1" a="1"/>
  <c r="C45" i="1" s="1"/>
  <c r="C46" i="1" a="1"/>
  <c r="C46" i="1" s="1"/>
  <c r="C47" i="1" a="1"/>
  <c r="C47" i="1" s="1"/>
  <c r="C48" i="1" a="1"/>
  <c r="C48" i="1" s="1"/>
  <c r="C49" i="1" a="1"/>
  <c r="C49" i="1" s="1"/>
  <c r="C50" i="1" a="1"/>
  <c r="C50" i="1" s="1"/>
  <c r="C51" i="1" a="1"/>
  <c r="C51" i="1" s="1"/>
  <c r="C52" i="1" a="1"/>
  <c r="C52" i="1" s="1"/>
  <c r="C53" i="1" a="1"/>
  <c r="C53" i="1" s="1"/>
  <c r="C54" i="1" a="1"/>
  <c r="C54" i="1" s="1"/>
  <c r="C55" i="1" a="1"/>
  <c r="C55" i="1" s="1"/>
  <c r="C56" i="1" a="1"/>
  <c r="C56" i="1" s="1"/>
  <c r="C57" i="1" a="1"/>
  <c r="C57" i="1" s="1"/>
  <c r="C58" i="1" a="1"/>
  <c r="C58" i="1" s="1"/>
  <c r="C59" i="1" a="1"/>
  <c r="C59" i="1" s="1"/>
  <c r="C60" i="1" a="1"/>
  <c r="C60" i="1" s="1"/>
  <c r="C61" i="1" a="1"/>
  <c r="C61" i="1" s="1"/>
  <c r="C62" i="1" a="1"/>
  <c r="C62" i="1" s="1"/>
  <c r="C63" i="1" a="1"/>
  <c r="C63" i="1" s="1"/>
  <c r="C64" i="1" a="1"/>
  <c r="C64" i="1" s="1"/>
  <c r="C65" i="1" a="1"/>
  <c r="C65" i="1" s="1"/>
  <c r="C66" i="1" a="1"/>
  <c r="C66" i="1" s="1"/>
  <c r="C67" i="1" a="1"/>
  <c r="C67" i="1" s="1"/>
  <c r="C68" i="1" a="1"/>
  <c r="C68" i="1" s="1"/>
  <c r="C69" i="1" a="1"/>
  <c r="C69" i="1" s="1"/>
  <c r="C70" i="1" a="1"/>
  <c r="C70" i="1" s="1"/>
  <c r="C71" i="1" a="1"/>
  <c r="C71" i="1" s="1"/>
  <c r="C72" i="1" a="1"/>
  <c r="C72" i="1" s="1"/>
  <c r="C73" i="1" a="1"/>
  <c r="C73" i="1" s="1"/>
  <c r="C74" i="1" a="1"/>
  <c r="C74" i="1" s="1"/>
  <c r="C75" i="1" a="1"/>
  <c r="C75" i="1" s="1"/>
  <c r="C76" i="1" a="1"/>
  <c r="C76" i="1" s="1"/>
  <c r="C77" i="1" a="1"/>
  <c r="C77" i="1" s="1"/>
  <c r="C78" i="1" a="1"/>
  <c r="C78" i="1" s="1"/>
  <c r="C79" i="1" a="1"/>
  <c r="C79" i="1" s="1"/>
  <c r="C80" i="1" a="1"/>
  <c r="C80" i="1" s="1"/>
  <c r="C81" i="1" a="1"/>
  <c r="C81" i="1" s="1"/>
  <c r="C82" i="1" a="1"/>
  <c r="C82" i="1" s="1"/>
  <c r="C83" i="1" a="1"/>
  <c r="C83" i="1" s="1"/>
  <c r="C84" i="1" a="1"/>
  <c r="C84" i="1" s="1"/>
  <c r="C85" i="1" a="1"/>
  <c r="C85" i="1" s="1"/>
  <c r="C86" i="1" a="1"/>
  <c r="C86" i="1" s="1"/>
  <c r="C87" i="1" a="1"/>
  <c r="C87" i="1" s="1"/>
  <c r="C88" i="1" a="1"/>
  <c r="C88" i="1" s="1"/>
  <c r="C89" i="1" a="1"/>
  <c r="C89" i="1" s="1"/>
  <c r="C90" i="1" a="1"/>
  <c r="C90" i="1" s="1"/>
  <c r="C91" i="1" a="1"/>
  <c r="C91" i="1" s="1"/>
  <c r="C92" i="1" a="1"/>
  <c r="C92" i="1" s="1"/>
  <c r="C93" i="1" a="1"/>
  <c r="C93" i="1" s="1"/>
  <c r="C94" i="1" a="1"/>
  <c r="C94" i="1" s="1"/>
  <c r="C95" i="1" a="1"/>
  <c r="C95" i="1" s="1"/>
  <c r="C96" i="1" a="1"/>
  <c r="C96" i="1" s="1"/>
  <c r="C97" i="1" a="1"/>
  <c r="C97" i="1" s="1"/>
  <c r="C98" i="1" a="1"/>
  <c r="C98" i="1" s="1"/>
  <c r="C99" i="1" a="1"/>
  <c r="C99" i="1" s="1"/>
  <c r="C100" i="1" a="1"/>
  <c r="C100" i="1" s="1"/>
  <c r="C101" i="1" a="1"/>
  <c r="C101" i="1" s="1"/>
  <c r="C102" i="1" a="1"/>
  <c r="C102" i="1" s="1"/>
  <c r="C103" i="1" a="1"/>
  <c r="C103" i="1" s="1"/>
  <c r="C104" i="1" a="1"/>
  <c r="C104" i="1" s="1"/>
  <c r="C105" i="1" a="1"/>
  <c r="C105" i="1" s="1"/>
  <c r="C106" i="1" a="1"/>
  <c r="C106" i="1" s="1"/>
  <c r="C107" i="1" a="1"/>
  <c r="C107" i="1" s="1"/>
  <c r="C108" i="1" a="1"/>
  <c r="C108" i="1" s="1"/>
  <c r="C109" i="1" a="1"/>
  <c r="C109" i="1" s="1"/>
  <c r="C110" i="1" a="1"/>
  <c r="C110" i="1" s="1"/>
  <c r="C111" i="1" a="1"/>
  <c r="C111" i="1" s="1"/>
  <c r="C112" i="1" a="1"/>
  <c r="C112" i="1" s="1"/>
  <c r="C113" i="1" a="1"/>
  <c r="C113" i="1" s="1"/>
  <c r="C114" i="1" a="1"/>
  <c r="C114" i="1" s="1"/>
  <c r="C115" i="1" a="1"/>
  <c r="C115" i="1" s="1"/>
  <c r="C116" i="1" a="1"/>
  <c r="C116" i="1" s="1"/>
  <c r="C117" i="1" a="1"/>
  <c r="C117" i="1" s="1"/>
  <c r="C118" i="1" a="1"/>
  <c r="C118" i="1" s="1"/>
  <c r="B2" i="1" a="1"/>
  <c r="B2" i="1" s="1"/>
  <c r="B3" i="1" a="1"/>
  <c r="B3" i="1" s="1"/>
  <c r="B4" i="1" a="1"/>
  <c r="B4" i="1" s="1"/>
  <c r="B5" i="1" a="1"/>
  <c r="B5" i="1" s="1"/>
  <c r="B6" i="1" a="1"/>
  <c r="B6" i="1" s="1"/>
  <c r="B7" i="1" a="1"/>
  <c r="B7" i="1" s="1"/>
  <c r="B8" i="1" a="1"/>
  <c r="B8" i="1" s="1"/>
  <c r="B9" i="1" a="1"/>
  <c r="B9" i="1" s="1"/>
  <c r="B10" i="1" a="1"/>
  <c r="B10" i="1" s="1"/>
  <c r="B11" i="1" a="1"/>
  <c r="B11" i="1" s="1"/>
  <c r="B12" i="1" a="1"/>
  <c r="B12" i="1" s="1"/>
  <c r="B13" i="1" a="1"/>
  <c r="B13" i="1" s="1"/>
  <c r="B14" i="1" a="1"/>
  <c r="B14" i="1" s="1"/>
  <c r="B15" i="1" a="1"/>
  <c r="B15" i="1" s="1"/>
  <c r="B16" i="1" a="1"/>
  <c r="B16" i="1" s="1"/>
  <c r="B17" i="1" a="1"/>
  <c r="B17" i="1" s="1"/>
  <c r="B18" i="1" a="1"/>
  <c r="B18" i="1" s="1"/>
  <c r="B19" i="1" a="1"/>
  <c r="B19" i="1" s="1"/>
  <c r="B20" i="1" a="1"/>
  <c r="B20" i="1" s="1"/>
  <c r="B21" i="1" a="1"/>
  <c r="B21" i="1" s="1"/>
  <c r="B22" i="1" a="1"/>
  <c r="B22" i="1" s="1"/>
  <c r="B23" i="1" a="1"/>
  <c r="B23" i="1" s="1"/>
  <c r="B24" i="1" a="1"/>
  <c r="B24" i="1" s="1"/>
  <c r="B25" i="1" a="1"/>
  <c r="B25" i="1" s="1"/>
  <c r="B26" i="1" a="1"/>
  <c r="B26" i="1" s="1"/>
  <c r="B27" i="1" a="1"/>
  <c r="B27" i="1" s="1"/>
  <c r="B28" i="1" a="1"/>
  <c r="B28" i="1" s="1"/>
  <c r="B29" i="1" a="1"/>
  <c r="B29" i="1" s="1"/>
  <c r="B30" i="1" a="1"/>
  <c r="B30" i="1" s="1"/>
  <c r="B31" i="1" a="1"/>
  <c r="B31" i="1" s="1"/>
  <c r="B32" i="1" a="1"/>
  <c r="B32" i="1" s="1"/>
  <c r="B33" i="1" a="1"/>
  <c r="B33" i="1" s="1"/>
  <c r="B34" i="1" a="1"/>
  <c r="B34" i="1" s="1"/>
  <c r="B35" i="1" a="1"/>
  <c r="B35" i="1" s="1"/>
  <c r="B36" i="1" a="1"/>
  <c r="B36" i="1" s="1"/>
  <c r="B37" i="1" a="1"/>
  <c r="B37" i="1" s="1"/>
  <c r="B38" i="1" a="1"/>
  <c r="B38" i="1" s="1"/>
  <c r="B39" i="1" a="1"/>
  <c r="B39" i="1" s="1"/>
  <c r="B40" i="1" a="1"/>
  <c r="B40" i="1" s="1"/>
  <c r="B41" i="1" a="1"/>
  <c r="B41" i="1" s="1"/>
  <c r="B42" i="1" a="1"/>
  <c r="B42" i="1" s="1"/>
  <c r="B43" i="1" a="1"/>
  <c r="B43" i="1" s="1"/>
  <c r="B44" i="1" a="1"/>
  <c r="B44" i="1" s="1"/>
  <c r="B45" i="1" a="1"/>
  <c r="B45" i="1" s="1"/>
  <c r="B46" i="1" a="1"/>
  <c r="B46" i="1" s="1"/>
  <c r="B47" i="1" a="1"/>
  <c r="B47" i="1" s="1"/>
  <c r="B48" i="1" a="1"/>
  <c r="B48" i="1" s="1"/>
  <c r="B49" i="1" a="1"/>
  <c r="B49" i="1" s="1"/>
  <c r="B50" i="1" a="1"/>
  <c r="B50" i="1" s="1"/>
  <c r="B51" i="1" a="1"/>
  <c r="B51" i="1" s="1"/>
  <c r="B52" i="1" a="1"/>
  <c r="B52" i="1" s="1"/>
  <c r="B53" i="1" a="1"/>
  <c r="B53" i="1" s="1"/>
  <c r="B54" i="1" a="1"/>
  <c r="B54" i="1" s="1"/>
  <c r="B55" i="1" a="1"/>
  <c r="B55" i="1" s="1"/>
  <c r="B56" i="1" a="1"/>
  <c r="B56" i="1" s="1"/>
  <c r="B57" i="1" a="1"/>
  <c r="B57" i="1" s="1"/>
  <c r="B58" i="1" a="1"/>
  <c r="B58" i="1" s="1"/>
  <c r="B59" i="1" a="1"/>
  <c r="B59" i="1" s="1"/>
  <c r="B60" i="1" a="1"/>
  <c r="B60" i="1" s="1"/>
  <c r="B61" i="1" a="1"/>
  <c r="B61" i="1" s="1"/>
  <c r="B62" i="1" a="1"/>
  <c r="B62" i="1" s="1"/>
  <c r="B63" i="1" a="1"/>
  <c r="B63" i="1" s="1"/>
  <c r="B64" i="1" a="1"/>
  <c r="B64" i="1" s="1"/>
  <c r="B65" i="1" a="1"/>
  <c r="B65" i="1" s="1"/>
  <c r="B66" i="1" a="1"/>
  <c r="B66" i="1" s="1"/>
  <c r="B67" i="1" a="1"/>
  <c r="B67" i="1" s="1"/>
  <c r="B68" i="1" a="1"/>
  <c r="B68" i="1" s="1"/>
  <c r="B69" i="1" a="1"/>
  <c r="B69" i="1" s="1"/>
  <c r="B70" i="1" a="1"/>
  <c r="B70" i="1" s="1"/>
  <c r="B71" i="1" a="1"/>
  <c r="B71" i="1" s="1"/>
  <c r="B72" i="1" a="1"/>
  <c r="B72" i="1" s="1"/>
  <c r="B73" i="1" a="1"/>
  <c r="B73" i="1" s="1"/>
  <c r="B74" i="1" a="1"/>
  <c r="B74" i="1" s="1"/>
  <c r="B75" i="1" a="1"/>
  <c r="B75" i="1" s="1"/>
  <c r="B76" i="1" a="1"/>
  <c r="B76" i="1" s="1"/>
  <c r="B77" i="1" a="1"/>
  <c r="B77" i="1" s="1"/>
  <c r="B78" i="1" a="1"/>
  <c r="B78" i="1" s="1"/>
  <c r="B79" i="1" a="1"/>
  <c r="B79" i="1" s="1"/>
  <c r="B80" i="1" a="1"/>
  <c r="B80" i="1" s="1"/>
  <c r="B81" i="1" a="1"/>
  <c r="B81" i="1" s="1"/>
  <c r="B82" i="1" a="1"/>
  <c r="B82" i="1" s="1"/>
  <c r="B83" i="1" a="1"/>
  <c r="B83" i="1" s="1"/>
  <c r="B84" i="1" a="1"/>
  <c r="B84" i="1" s="1"/>
  <c r="B85" i="1" a="1"/>
  <c r="B85" i="1" s="1"/>
  <c r="B86" i="1" a="1"/>
  <c r="B86" i="1" s="1"/>
  <c r="B87" i="1" a="1"/>
  <c r="B87" i="1" s="1"/>
  <c r="B88" i="1" a="1"/>
  <c r="B88" i="1" s="1"/>
  <c r="B89" i="1" a="1"/>
  <c r="B89" i="1" s="1"/>
  <c r="B90" i="1" a="1"/>
  <c r="B90" i="1" s="1"/>
  <c r="B91" i="1" a="1"/>
  <c r="B91" i="1" s="1"/>
  <c r="B92" i="1" a="1"/>
  <c r="B92" i="1" s="1"/>
  <c r="B93" i="1" a="1"/>
  <c r="B93" i="1" s="1"/>
  <c r="B94" i="1" a="1"/>
  <c r="B94" i="1" s="1"/>
  <c r="B95" i="1" a="1"/>
  <c r="B95" i="1" s="1"/>
  <c r="B96" i="1" a="1"/>
  <c r="B96" i="1" s="1"/>
  <c r="B97" i="1" a="1"/>
  <c r="B97" i="1" s="1"/>
  <c r="B98" i="1" a="1"/>
  <c r="B98" i="1" s="1"/>
  <c r="B99" i="1" a="1"/>
  <c r="B99" i="1" s="1"/>
  <c r="B100" i="1" a="1"/>
  <c r="B100" i="1" s="1"/>
  <c r="B101" i="1" a="1"/>
  <c r="B101" i="1" s="1"/>
  <c r="B102" i="1" a="1"/>
  <c r="B102" i="1" s="1"/>
  <c r="B103" i="1" a="1"/>
  <c r="B103" i="1" s="1"/>
  <c r="B104" i="1" a="1"/>
  <c r="B104" i="1" s="1"/>
  <c r="B105" i="1" a="1"/>
  <c r="B105" i="1" s="1"/>
  <c r="B106" i="1" a="1"/>
  <c r="B106" i="1" s="1"/>
  <c r="B107" i="1" a="1"/>
  <c r="B107" i="1" s="1"/>
  <c r="B108" i="1" a="1"/>
  <c r="B108" i="1" s="1"/>
  <c r="B109" i="1" a="1"/>
  <c r="B109" i="1" s="1"/>
  <c r="B110" i="1" a="1"/>
  <c r="B110" i="1" s="1"/>
  <c r="B111" i="1" a="1"/>
  <c r="B111" i="1" s="1"/>
  <c r="B112" i="1" a="1"/>
  <c r="B112" i="1" s="1"/>
  <c r="B113" i="1" a="1"/>
  <c r="B113" i="1" s="1"/>
  <c r="B114" i="1" a="1"/>
  <c r="B114" i="1" s="1"/>
  <c r="B115" i="1" a="1"/>
  <c r="B115" i="1" s="1"/>
  <c r="B116" i="1" a="1"/>
  <c r="B116" i="1" s="1"/>
  <c r="B117" i="1" a="1"/>
  <c r="B117" i="1" s="1"/>
  <c r="B118" i="1" a="1"/>
  <c r="B118"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785">
    <bk>
      <extLst>
        <ext uri="{3e2802c4-a4d2-4d8b-9148-e3be6c30e623}">
          <xlrd:rvb i="0"/>
        </ext>
      </extLst>
    </bk>
    <bk>
      <extLst>
        <ext uri="{3e2802c4-a4d2-4d8b-9148-e3be6c30e623}">
          <xlrd:rvb i="5"/>
        </ext>
      </extLst>
    </bk>
    <bk>
      <extLst>
        <ext uri="{3e2802c4-a4d2-4d8b-9148-e3be6c30e623}">
          <xlrd:rvb i="15"/>
        </ext>
      </extLst>
    </bk>
    <bk>
      <extLst>
        <ext uri="{3e2802c4-a4d2-4d8b-9148-e3be6c30e623}">
          <xlrd:rvb i="20"/>
        </ext>
      </extLst>
    </bk>
    <bk>
      <extLst>
        <ext uri="{3e2802c4-a4d2-4d8b-9148-e3be6c30e623}">
          <xlrd:rvb i="99"/>
        </ext>
      </extLst>
    </bk>
    <bk>
      <extLst>
        <ext uri="{3e2802c4-a4d2-4d8b-9148-e3be6c30e623}">
          <xlrd:rvb i="6"/>
        </ext>
      </extLst>
    </bk>
    <bk>
      <extLst>
        <ext uri="{3e2802c4-a4d2-4d8b-9148-e3be6c30e623}">
          <xlrd:rvb i="101"/>
        </ext>
      </extLst>
    </bk>
    <bk>
      <extLst>
        <ext uri="{3e2802c4-a4d2-4d8b-9148-e3be6c30e623}">
          <xlrd:rvb i="104"/>
        </ext>
      </extLst>
    </bk>
    <bk>
      <extLst>
        <ext uri="{3e2802c4-a4d2-4d8b-9148-e3be6c30e623}">
          <xlrd:rvb i="105"/>
        </ext>
      </extLst>
    </bk>
    <bk>
      <extLst>
        <ext uri="{3e2802c4-a4d2-4d8b-9148-e3be6c30e623}">
          <xlrd:rvb i="110"/>
        </ext>
      </extLst>
    </bk>
    <bk>
      <extLst>
        <ext uri="{3e2802c4-a4d2-4d8b-9148-e3be6c30e623}">
          <xlrd:rvb i="120"/>
        </ext>
      </extLst>
    </bk>
    <bk>
      <extLst>
        <ext uri="{3e2802c4-a4d2-4d8b-9148-e3be6c30e623}">
          <xlrd:rvb i="111"/>
        </ext>
      </extLst>
    </bk>
    <bk>
      <extLst>
        <ext uri="{3e2802c4-a4d2-4d8b-9148-e3be6c30e623}">
          <xlrd:rvb i="197"/>
        </ext>
      </extLst>
    </bk>
    <bk>
      <extLst>
        <ext uri="{3e2802c4-a4d2-4d8b-9148-e3be6c30e623}">
          <xlrd:rvb i="199"/>
        </ext>
      </extLst>
    </bk>
    <bk>
      <extLst>
        <ext uri="{3e2802c4-a4d2-4d8b-9148-e3be6c30e623}">
          <xlrd:rvb i="202"/>
        </ext>
      </extLst>
    </bk>
    <bk>
      <extLst>
        <ext uri="{3e2802c4-a4d2-4d8b-9148-e3be6c30e623}">
          <xlrd:rvb i="203"/>
        </ext>
      </extLst>
    </bk>
    <bk>
      <extLst>
        <ext uri="{3e2802c4-a4d2-4d8b-9148-e3be6c30e623}">
          <xlrd:rvb i="208"/>
        </ext>
      </extLst>
    </bk>
    <bk>
      <extLst>
        <ext uri="{3e2802c4-a4d2-4d8b-9148-e3be6c30e623}">
          <xlrd:rvb i="218"/>
        </ext>
      </extLst>
    </bk>
    <bk>
      <extLst>
        <ext uri="{3e2802c4-a4d2-4d8b-9148-e3be6c30e623}">
          <xlrd:rvb i="209"/>
        </ext>
      </extLst>
    </bk>
    <bk>
      <extLst>
        <ext uri="{3e2802c4-a4d2-4d8b-9148-e3be6c30e623}">
          <xlrd:rvb i="290"/>
        </ext>
      </extLst>
    </bk>
    <bk>
      <extLst>
        <ext uri="{3e2802c4-a4d2-4d8b-9148-e3be6c30e623}">
          <xlrd:rvb i="292"/>
        </ext>
      </extLst>
    </bk>
    <bk>
      <extLst>
        <ext uri="{3e2802c4-a4d2-4d8b-9148-e3be6c30e623}">
          <xlrd:rvb i="295"/>
        </ext>
      </extLst>
    </bk>
    <bk>
      <extLst>
        <ext uri="{3e2802c4-a4d2-4d8b-9148-e3be6c30e623}">
          <xlrd:rvb i="296"/>
        </ext>
      </extLst>
    </bk>
    <bk>
      <extLst>
        <ext uri="{3e2802c4-a4d2-4d8b-9148-e3be6c30e623}">
          <xlrd:rvb i="301"/>
        </ext>
      </extLst>
    </bk>
    <bk>
      <extLst>
        <ext uri="{3e2802c4-a4d2-4d8b-9148-e3be6c30e623}">
          <xlrd:rvb i="311"/>
        </ext>
      </extLst>
    </bk>
    <bk>
      <extLst>
        <ext uri="{3e2802c4-a4d2-4d8b-9148-e3be6c30e623}">
          <xlrd:rvb i="302"/>
        </ext>
      </extLst>
    </bk>
    <bk>
      <extLst>
        <ext uri="{3e2802c4-a4d2-4d8b-9148-e3be6c30e623}">
          <xlrd:rvb i="371"/>
        </ext>
      </extLst>
    </bk>
    <bk>
      <extLst>
        <ext uri="{3e2802c4-a4d2-4d8b-9148-e3be6c30e623}">
          <xlrd:rvb i="373"/>
        </ext>
      </extLst>
    </bk>
    <bk>
      <extLst>
        <ext uri="{3e2802c4-a4d2-4d8b-9148-e3be6c30e623}">
          <xlrd:rvb i="376"/>
        </ext>
      </extLst>
    </bk>
    <bk>
      <extLst>
        <ext uri="{3e2802c4-a4d2-4d8b-9148-e3be6c30e623}">
          <xlrd:rvb i="377"/>
        </ext>
      </extLst>
    </bk>
    <bk>
      <extLst>
        <ext uri="{3e2802c4-a4d2-4d8b-9148-e3be6c30e623}">
          <xlrd:rvb i="382"/>
        </ext>
      </extLst>
    </bk>
    <bk>
      <extLst>
        <ext uri="{3e2802c4-a4d2-4d8b-9148-e3be6c30e623}">
          <xlrd:rvb i="392"/>
        </ext>
      </extLst>
    </bk>
    <bk>
      <extLst>
        <ext uri="{3e2802c4-a4d2-4d8b-9148-e3be6c30e623}">
          <xlrd:rvb i="383"/>
        </ext>
      </extLst>
    </bk>
    <bk>
      <extLst>
        <ext uri="{3e2802c4-a4d2-4d8b-9148-e3be6c30e623}">
          <xlrd:rvb i="457"/>
        </ext>
      </extLst>
    </bk>
    <bk>
      <extLst>
        <ext uri="{3e2802c4-a4d2-4d8b-9148-e3be6c30e623}">
          <xlrd:rvb i="459"/>
        </ext>
      </extLst>
    </bk>
    <bk>
      <extLst>
        <ext uri="{3e2802c4-a4d2-4d8b-9148-e3be6c30e623}">
          <xlrd:rvb i="466"/>
        </ext>
      </extLst>
    </bk>
    <bk>
      <extLst>
        <ext uri="{3e2802c4-a4d2-4d8b-9148-e3be6c30e623}">
          <xlrd:rvb i="467"/>
        </ext>
      </extLst>
    </bk>
    <bk>
      <extLst>
        <ext uri="{3e2802c4-a4d2-4d8b-9148-e3be6c30e623}">
          <xlrd:rvb i="472"/>
        </ext>
      </extLst>
    </bk>
    <bk>
      <extLst>
        <ext uri="{3e2802c4-a4d2-4d8b-9148-e3be6c30e623}">
          <xlrd:rvb i="482"/>
        </ext>
      </extLst>
    </bk>
    <bk>
      <extLst>
        <ext uri="{3e2802c4-a4d2-4d8b-9148-e3be6c30e623}">
          <xlrd:rvb i="473"/>
        </ext>
      </extLst>
    </bk>
    <bk>
      <extLst>
        <ext uri="{3e2802c4-a4d2-4d8b-9148-e3be6c30e623}">
          <xlrd:rvb i="529"/>
        </ext>
      </extLst>
    </bk>
    <bk>
      <extLst>
        <ext uri="{3e2802c4-a4d2-4d8b-9148-e3be6c30e623}">
          <xlrd:rvb i="531"/>
        </ext>
      </extLst>
    </bk>
    <bk>
      <extLst>
        <ext uri="{3e2802c4-a4d2-4d8b-9148-e3be6c30e623}">
          <xlrd:rvb i="534"/>
        </ext>
      </extLst>
    </bk>
    <bk>
      <extLst>
        <ext uri="{3e2802c4-a4d2-4d8b-9148-e3be6c30e623}">
          <xlrd:rvb i="535"/>
        </ext>
      </extLst>
    </bk>
    <bk>
      <extLst>
        <ext uri="{3e2802c4-a4d2-4d8b-9148-e3be6c30e623}">
          <xlrd:rvb i="540"/>
        </ext>
      </extLst>
    </bk>
    <bk>
      <extLst>
        <ext uri="{3e2802c4-a4d2-4d8b-9148-e3be6c30e623}">
          <xlrd:rvb i="550"/>
        </ext>
      </extLst>
    </bk>
    <bk>
      <extLst>
        <ext uri="{3e2802c4-a4d2-4d8b-9148-e3be6c30e623}">
          <xlrd:rvb i="541"/>
        </ext>
      </extLst>
    </bk>
    <bk>
      <extLst>
        <ext uri="{3e2802c4-a4d2-4d8b-9148-e3be6c30e623}">
          <xlrd:rvb i="609"/>
        </ext>
      </extLst>
    </bk>
    <bk>
      <extLst>
        <ext uri="{3e2802c4-a4d2-4d8b-9148-e3be6c30e623}">
          <xlrd:rvb i="611"/>
        </ext>
      </extLst>
    </bk>
    <bk>
      <extLst>
        <ext uri="{3e2802c4-a4d2-4d8b-9148-e3be6c30e623}">
          <xlrd:rvb i="614"/>
        </ext>
      </extLst>
    </bk>
    <bk>
      <extLst>
        <ext uri="{3e2802c4-a4d2-4d8b-9148-e3be6c30e623}">
          <xlrd:rvb i="615"/>
        </ext>
      </extLst>
    </bk>
    <bk>
      <extLst>
        <ext uri="{3e2802c4-a4d2-4d8b-9148-e3be6c30e623}">
          <xlrd:rvb i="620"/>
        </ext>
      </extLst>
    </bk>
    <bk>
      <extLst>
        <ext uri="{3e2802c4-a4d2-4d8b-9148-e3be6c30e623}">
          <xlrd:rvb i="630"/>
        </ext>
      </extLst>
    </bk>
    <bk>
      <extLst>
        <ext uri="{3e2802c4-a4d2-4d8b-9148-e3be6c30e623}">
          <xlrd:rvb i="621"/>
        </ext>
      </extLst>
    </bk>
    <bk>
      <extLst>
        <ext uri="{3e2802c4-a4d2-4d8b-9148-e3be6c30e623}">
          <xlrd:rvb i="671"/>
        </ext>
      </extLst>
    </bk>
    <bk>
      <extLst>
        <ext uri="{3e2802c4-a4d2-4d8b-9148-e3be6c30e623}">
          <xlrd:rvb i="673"/>
        </ext>
      </extLst>
    </bk>
    <bk>
      <extLst>
        <ext uri="{3e2802c4-a4d2-4d8b-9148-e3be6c30e623}">
          <xlrd:rvb i="676"/>
        </ext>
      </extLst>
    </bk>
    <bk>
      <extLst>
        <ext uri="{3e2802c4-a4d2-4d8b-9148-e3be6c30e623}">
          <xlrd:rvb i="677"/>
        </ext>
      </extLst>
    </bk>
    <bk>
      <extLst>
        <ext uri="{3e2802c4-a4d2-4d8b-9148-e3be6c30e623}">
          <xlrd:rvb i="682"/>
        </ext>
      </extLst>
    </bk>
    <bk>
      <extLst>
        <ext uri="{3e2802c4-a4d2-4d8b-9148-e3be6c30e623}">
          <xlrd:rvb i="692"/>
        </ext>
      </extLst>
    </bk>
    <bk>
      <extLst>
        <ext uri="{3e2802c4-a4d2-4d8b-9148-e3be6c30e623}">
          <xlrd:rvb i="683"/>
        </ext>
      </extLst>
    </bk>
    <bk>
      <extLst>
        <ext uri="{3e2802c4-a4d2-4d8b-9148-e3be6c30e623}">
          <xlrd:rvb i="774"/>
        </ext>
      </extLst>
    </bk>
    <bk>
      <extLst>
        <ext uri="{3e2802c4-a4d2-4d8b-9148-e3be6c30e623}">
          <xlrd:rvb i="776"/>
        </ext>
      </extLst>
    </bk>
    <bk>
      <extLst>
        <ext uri="{3e2802c4-a4d2-4d8b-9148-e3be6c30e623}">
          <xlrd:rvb i="779"/>
        </ext>
      </extLst>
    </bk>
    <bk>
      <extLst>
        <ext uri="{3e2802c4-a4d2-4d8b-9148-e3be6c30e623}">
          <xlrd:rvb i="780"/>
        </ext>
      </extLst>
    </bk>
    <bk>
      <extLst>
        <ext uri="{3e2802c4-a4d2-4d8b-9148-e3be6c30e623}">
          <xlrd:rvb i="785"/>
        </ext>
      </extLst>
    </bk>
    <bk>
      <extLst>
        <ext uri="{3e2802c4-a4d2-4d8b-9148-e3be6c30e623}">
          <xlrd:rvb i="795"/>
        </ext>
      </extLst>
    </bk>
    <bk>
      <extLst>
        <ext uri="{3e2802c4-a4d2-4d8b-9148-e3be6c30e623}">
          <xlrd:rvb i="786"/>
        </ext>
      </extLst>
    </bk>
    <bk>
      <extLst>
        <ext uri="{3e2802c4-a4d2-4d8b-9148-e3be6c30e623}">
          <xlrd:rvb i="848"/>
        </ext>
      </extLst>
    </bk>
    <bk>
      <extLst>
        <ext uri="{3e2802c4-a4d2-4d8b-9148-e3be6c30e623}">
          <xlrd:rvb i="850"/>
        </ext>
      </extLst>
    </bk>
    <bk>
      <extLst>
        <ext uri="{3e2802c4-a4d2-4d8b-9148-e3be6c30e623}">
          <xlrd:rvb i="853"/>
        </ext>
      </extLst>
    </bk>
    <bk>
      <extLst>
        <ext uri="{3e2802c4-a4d2-4d8b-9148-e3be6c30e623}">
          <xlrd:rvb i="854"/>
        </ext>
      </extLst>
    </bk>
    <bk>
      <extLst>
        <ext uri="{3e2802c4-a4d2-4d8b-9148-e3be6c30e623}">
          <xlrd:rvb i="859"/>
        </ext>
      </extLst>
    </bk>
    <bk>
      <extLst>
        <ext uri="{3e2802c4-a4d2-4d8b-9148-e3be6c30e623}">
          <xlrd:rvb i="869"/>
        </ext>
      </extLst>
    </bk>
    <bk>
      <extLst>
        <ext uri="{3e2802c4-a4d2-4d8b-9148-e3be6c30e623}">
          <xlrd:rvb i="874"/>
        </ext>
      </extLst>
    </bk>
    <bk>
      <extLst>
        <ext uri="{3e2802c4-a4d2-4d8b-9148-e3be6c30e623}">
          <xlrd:rvb i="926"/>
        </ext>
      </extLst>
    </bk>
    <bk>
      <extLst>
        <ext uri="{3e2802c4-a4d2-4d8b-9148-e3be6c30e623}">
          <xlrd:rvb i="860"/>
        </ext>
      </extLst>
    </bk>
    <bk>
      <extLst>
        <ext uri="{3e2802c4-a4d2-4d8b-9148-e3be6c30e623}">
          <xlrd:rvb i="928"/>
        </ext>
      </extLst>
    </bk>
    <bk>
      <extLst>
        <ext uri="{3e2802c4-a4d2-4d8b-9148-e3be6c30e623}">
          <xlrd:rvb i="931"/>
        </ext>
      </extLst>
    </bk>
    <bk>
      <extLst>
        <ext uri="{3e2802c4-a4d2-4d8b-9148-e3be6c30e623}">
          <xlrd:rvb i="932"/>
        </ext>
      </extLst>
    </bk>
    <bk>
      <extLst>
        <ext uri="{3e2802c4-a4d2-4d8b-9148-e3be6c30e623}">
          <xlrd:rvb i="937"/>
        </ext>
      </extLst>
    </bk>
    <bk>
      <extLst>
        <ext uri="{3e2802c4-a4d2-4d8b-9148-e3be6c30e623}">
          <xlrd:rvb i="947"/>
        </ext>
      </extLst>
    </bk>
    <bk>
      <extLst>
        <ext uri="{3e2802c4-a4d2-4d8b-9148-e3be6c30e623}">
          <xlrd:rvb i="938"/>
        </ext>
      </extLst>
    </bk>
    <bk>
      <extLst>
        <ext uri="{3e2802c4-a4d2-4d8b-9148-e3be6c30e623}">
          <xlrd:rvb i="987"/>
        </ext>
      </extLst>
    </bk>
    <bk>
      <extLst>
        <ext uri="{3e2802c4-a4d2-4d8b-9148-e3be6c30e623}">
          <xlrd:rvb i="989"/>
        </ext>
      </extLst>
    </bk>
    <bk>
      <extLst>
        <ext uri="{3e2802c4-a4d2-4d8b-9148-e3be6c30e623}">
          <xlrd:rvb i="992"/>
        </ext>
      </extLst>
    </bk>
    <bk>
      <extLst>
        <ext uri="{3e2802c4-a4d2-4d8b-9148-e3be6c30e623}">
          <xlrd:rvb i="993"/>
        </ext>
      </extLst>
    </bk>
    <bk>
      <extLst>
        <ext uri="{3e2802c4-a4d2-4d8b-9148-e3be6c30e623}">
          <xlrd:rvb i="997"/>
        </ext>
      </extLst>
    </bk>
    <bk>
      <extLst>
        <ext uri="{3e2802c4-a4d2-4d8b-9148-e3be6c30e623}">
          <xlrd:rvb i="1005"/>
        </ext>
      </extLst>
    </bk>
    <bk>
      <extLst>
        <ext uri="{3e2802c4-a4d2-4d8b-9148-e3be6c30e623}">
          <xlrd:rvb i="998"/>
        </ext>
      </extLst>
    </bk>
    <bk>
      <extLst>
        <ext uri="{3e2802c4-a4d2-4d8b-9148-e3be6c30e623}">
          <xlrd:rvb i="1038"/>
        </ext>
      </extLst>
    </bk>
    <bk>
      <extLst>
        <ext uri="{3e2802c4-a4d2-4d8b-9148-e3be6c30e623}">
          <xlrd:rvb i="1040"/>
        </ext>
      </extLst>
    </bk>
    <bk>
      <extLst>
        <ext uri="{3e2802c4-a4d2-4d8b-9148-e3be6c30e623}">
          <xlrd:rvb i="1043"/>
        </ext>
      </extLst>
    </bk>
    <bk>
      <extLst>
        <ext uri="{3e2802c4-a4d2-4d8b-9148-e3be6c30e623}">
          <xlrd:rvb i="1044"/>
        </ext>
      </extLst>
    </bk>
    <bk>
      <extLst>
        <ext uri="{3e2802c4-a4d2-4d8b-9148-e3be6c30e623}">
          <xlrd:rvb i="1046"/>
        </ext>
      </extLst>
    </bk>
    <bk>
      <extLst>
        <ext uri="{3e2802c4-a4d2-4d8b-9148-e3be6c30e623}">
          <xlrd:rvb i="1048"/>
        </ext>
      </extLst>
    </bk>
    <bk>
      <extLst>
        <ext uri="{3e2802c4-a4d2-4d8b-9148-e3be6c30e623}">
          <xlrd:rvb i="1047"/>
        </ext>
      </extLst>
    </bk>
    <bk>
      <extLst>
        <ext uri="{3e2802c4-a4d2-4d8b-9148-e3be6c30e623}">
          <xlrd:rvb i="1076"/>
        </ext>
      </extLst>
    </bk>
    <bk>
      <extLst>
        <ext uri="{3e2802c4-a4d2-4d8b-9148-e3be6c30e623}">
          <xlrd:rvb i="1078"/>
        </ext>
      </extLst>
    </bk>
    <bk>
      <extLst>
        <ext uri="{3e2802c4-a4d2-4d8b-9148-e3be6c30e623}">
          <xlrd:rvb i="1081"/>
        </ext>
      </extLst>
    </bk>
    <bk>
      <extLst>
        <ext uri="{3e2802c4-a4d2-4d8b-9148-e3be6c30e623}">
          <xlrd:rvb i="1082"/>
        </ext>
      </extLst>
    </bk>
    <bk>
      <extLst>
        <ext uri="{3e2802c4-a4d2-4d8b-9148-e3be6c30e623}">
          <xlrd:rvb i="1087"/>
        </ext>
      </extLst>
    </bk>
    <bk>
      <extLst>
        <ext uri="{3e2802c4-a4d2-4d8b-9148-e3be6c30e623}">
          <xlrd:rvb i="1097"/>
        </ext>
      </extLst>
    </bk>
    <bk>
      <extLst>
        <ext uri="{3e2802c4-a4d2-4d8b-9148-e3be6c30e623}">
          <xlrd:rvb i="1088"/>
        </ext>
      </extLst>
    </bk>
    <bk>
      <extLst>
        <ext uri="{3e2802c4-a4d2-4d8b-9148-e3be6c30e623}">
          <xlrd:rvb i="1131"/>
        </ext>
      </extLst>
    </bk>
    <bk>
      <extLst>
        <ext uri="{3e2802c4-a4d2-4d8b-9148-e3be6c30e623}">
          <xlrd:rvb i="1133"/>
        </ext>
      </extLst>
    </bk>
    <bk>
      <extLst>
        <ext uri="{3e2802c4-a4d2-4d8b-9148-e3be6c30e623}">
          <xlrd:rvb i="1136"/>
        </ext>
      </extLst>
    </bk>
    <bk>
      <extLst>
        <ext uri="{3e2802c4-a4d2-4d8b-9148-e3be6c30e623}">
          <xlrd:rvb i="1137"/>
        </ext>
      </extLst>
    </bk>
    <bk>
      <extLst>
        <ext uri="{3e2802c4-a4d2-4d8b-9148-e3be6c30e623}">
          <xlrd:rvb i="1142"/>
        </ext>
      </extLst>
    </bk>
    <bk>
      <extLst>
        <ext uri="{3e2802c4-a4d2-4d8b-9148-e3be6c30e623}">
          <xlrd:rvb i="1152"/>
        </ext>
      </extLst>
    </bk>
    <bk>
      <extLst>
        <ext uri="{3e2802c4-a4d2-4d8b-9148-e3be6c30e623}">
          <xlrd:rvb i="1143"/>
        </ext>
      </extLst>
    </bk>
    <bk>
      <extLst>
        <ext uri="{3e2802c4-a4d2-4d8b-9148-e3be6c30e623}">
          <xlrd:rvb i="1194"/>
        </ext>
      </extLst>
    </bk>
    <bk>
      <extLst>
        <ext uri="{3e2802c4-a4d2-4d8b-9148-e3be6c30e623}">
          <xlrd:rvb i="1196"/>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6"/>
        </ext>
      </extLst>
    </bk>
    <bk>
      <extLst>
        <ext uri="{3e2802c4-a4d2-4d8b-9148-e3be6c30e623}">
          <xlrd:rvb i="1214"/>
        </ext>
      </extLst>
    </bk>
    <bk>
      <extLst>
        <ext uri="{3e2802c4-a4d2-4d8b-9148-e3be6c30e623}">
          <xlrd:rvb i="1207"/>
        </ext>
      </extLst>
    </bk>
    <bk>
      <extLst>
        <ext uri="{3e2802c4-a4d2-4d8b-9148-e3be6c30e623}">
          <xlrd:rvb i="1271"/>
        </ext>
      </extLst>
    </bk>
    <bk>
      <extLst>
        <ext uri="{3e2802c4-a4d2-4d8b-9148-e3be6c30e623}">
          <xlrd:rvb i="1273"/>
        </ext>
      </extLst>
    </bk>
    <bk>
      <extLst>
        <ext uri="{3e2802c4-a4d2-4d8b-9148-e3be6c30e623}">
          <xlrd:rvb i="1276"/>
        </ext>
      </extLst>
    </bk>
    <bk>
      <extLst>
        <ext uri="{3e2802c4-a4d2-4d8b-9148-e3be6c30e623}">
          <xlrd:rvb i="1277"/>
        </ext>
      </extLst>
    </bk>
    <bk>
      <extLst>
        <ext uri="{3e2802c4-a4d2-4d8b-9148-e3be6c30e623}">
          <xlrd:rvb i="1282"/>
        </ext>
      </extLst>
    </bk>
    <bk>
      <extLst>
        <ext uri="{3e2802c4-a4d2-4d8b-9148-e3be6c30e623}">
          <xlrd:rvb i="1292"/>
        </ext>
      </extLst>
    </bk>
    <bk>
      <extLst>
        <ext uri="{3e2802c4-a4d2-4d8b-9148-e3be6c30e623}">
          <xlrd:rvb i="1283"/>
        </ext>
      </extLst>
    </bk>
    <bk>
      <extLst>
        <ext uri="{3e2802c4-a4d2-4d8b-9148-e3be6c30e623}">
          <xlrd:rvb i="1421"/>
        </ext>
      </extLst>
    </bk>
    <bk>
      <extLst>
        <ext uri="{3e2802c4-a4d2-4d8b-9148-e3be6c30e623}">
          <xlrd:rvb i="1423"/>
        </ext>
      </extLst>
    </bk>
    <bk>
      <extLst>
        <ext uri="{3e2802c4-a4d2-4d8b-9148-e3be6c30e623}">
          <xlrd:rvb i="1426"/>
        </ext>
      </extLst>
    </bk>
    <bk>
      <extLst>
        <ext uri="{3e2802c4-a4d2-4d8b-9148-e3be6c30e623}">
          <xlrd:rvb i="1427"/>
        </ext>
      </extLst>
    </bk>
    <bk>
      <extLst>
        <ext uri="{3e2802c4-a4d2-4d8b-9148-e3be6c30e623}">
          <xlrd:rvb i="1432"/>
        </ext>
      </extLst>
    </bk>
    <bk>
      <extLst>
        <ext uri="{3e2802c4-a4d2-4d8b-9148-e3be6c30e623}">
          <xlrd:rvb i="1442"/>
        </ext>
      </extLst>
    </bk>
    <bk>
      <extLst>
        <ext uri="{3e2802c4-a4d2-4d8b-9148-e3be6c30e623}">
          <xlrd:rvb i="1433"/>
        </ext>
      </extLst>
    </bk>
    <bk>
      <extLst>
        <ext uri="{3e2802c4-a4d2-4d8b-9148-e3be6c30e623}">
          <xlrd:rvb i="1485"/>
        </ext>
      </extLst>
    </bk>
    <bk>
      <extLst>
        <ext uri="{3e2802c4-a4d2-4d8b-9148-e3be6c30e623}">
          <xlrd:rvb i="1487"/>
        </ext>
      </extLst>
    </bk>
    <bk>
      <extLst>
        <ext uri="{3e2802c4-a4d2-4d8b-9148-e3be6c30e623}">
          <xlrd:rvb i="1490"/>
        </ext>
      </extLst>
    </bk>
    <bk>
      <extLst>
        <ext uri="{3e2802c4-a4d2-4d8b-9148-e3be6c30e623}">
          <xlrd:rvb i="1491"/>
        </ext>
      </extLst>
    </bk>
    <bk>
      <extLst>
        <ext uri="{3e2802c4-a4d2-4d8b-9148-e3be6c30e623}">
          <xlrd:rvb i="1496"/>
        </ext>
      </extLst>
    </bk>
    <bk>
      <extLst>
        <ext uri="{3e2802c4-a4d2-4d8b-9148-e3be6c30e623}">
          <xlrd:rvb i="1504"/>
        </ext>
      </extLst>
    </bk>
    <bk>
      <extLst>
        <ext uri="{3e2802c4-a4d2-4d8b-9148-e3be6c30e623}">
          <xlrd:rvb i="1497"/>
        </ext>
      </extLst>
    </bk>
    <bk>
      <extLst>
        <ext uri="{3e2802c4-a4d2-4d8b-9148-e3be6c30e623}">
          <xlrd:rvb i="1549"/>
        </ext>
      </extLst>
    </bk>
    <bk>
      <extLst>
        <ext uri="{3e2802c4-a4d2-4d8b-9148-e3be6c30e623}">
          <xlrd:rvb i="1551"/>
        </ext>
      </extLst>
    </bk>
    <bk>
      <extLst>
        <ext uri="{3e2802c4-a4d2-4d8b-9148-e3be6c30e623}">
          <xlrd:rvb i="1557"/>
        </ext>
      </extLst>
    </bk>
    <bk>
      <extLst>
        <ext uri="{3e2802c4-a4d2-4d8b-9148-e3be6c30e623}">
          <xlrd:rvb i="1558"/>
        </ext>
      </extLst>
    </bk>
    <bk>
      <extLst>
        <ext uri="{3e2802c4-a4d2-4d8b-9148-e3be6c30e623}">
          <xlrd:rvb i="1562"/>
        </ext>
      </extLst>
    </bk>
    <bk>
      <extLst>
        <ext uri="{3e2802c4-a4d2-4d8b-9148-e3be6c30e623}">
          <xlrd:rvb i="1570"/>
        </ext>
      </extLst>
    </bk>
    <bk>
      <extLst>
        <ext uri="{3e2802c4-a4d2-4d8b-9148-e3be6c30e623}">
          <xlrd:rvb i="1563"/>
        </ext>
      </extLst>
    </bk>
    <bk>
      <extLst>
        <ext uri="{3e2802c4-a4d2-4d8b-9148-e3be6c30e623}">
          <xlrd:rvb i="1624"/>
        </ext>
      </extLst>
    </bk>
    <bk>
      <extLst>
        <ext uri="{3e2802c4-a4d2-4d8b-9148-e3be6c30e623}">
          <xlrd:rvb i="1626"/>
        </ext>
      </extLst>
    </bk>
    <bk>
      <extLst>
        <ext uri="{3e2802c4-a4d2-4d8b-9148-e3be6c30e623}">
          <xlrd:rvb i="1629"/>
        </ext>
      </extLst>
    </bk>
    <bk>
      <extLst>
        <ext uri="{3e2802c4-a4d2-4d8b-9148-e3be6c30e623}">
          <xlrd:rvb i="1630"/>
        </ext>
      </extLst>
    </bk>
    <bk>
      <extLst>
        <ext uri="{3e2802c4-a4d2-4d8b-9148-e3be6c30e623}">
          <xlrd:rvb i="1635"/>
        </ext>
      </extLst>
    </bk>
    <bk>
      <extLst>
        <ext uri="{3e2802c4-a4d2-4d8b-9148-e3be6c30e623}">
          <xlrd:rvb i="1645"/>
        </ext>
      </extLst>
    </bk>
    <bk>
      <extLst>
        <ext uri="{3e2802c4-a4d2-4d8b-9148-e3be6c30e623}">
          <xlrd:rvb i="1636"/>
        </ext>
      </extLst>
    </bk>
    <bk>
      <extLst>
        <ext uri="{3e2802c4-a4d2-4d8b-9148-e3be6c30e623}">
          <xlrd:rvb i="1697"/>
        </ext>
      </extLst>
    </bk>
    <bk>
      <extLst>
        <ext uri="{3e2802c4-a4d2-4d8b-9148-e3be6c30e623}">
          <xlrd:rvb i="1699"/>
        </ext>
      </extLst>
    </bk>
    <bk>
      <extLst>
        <ext uri="{3e2802c4-a4d2-4d8b-9148-e3be6c30e623}">
          <xlrd:rvb i="1702"/>
        </ext>
      </extLst>
    </bk>
    <bk>
      <extLst>
        <ext uri="{3e2802c4-a4d2-4d8b-9148-e3be6c30e623}">
          <xlrd:rvb i="1703"/>
        </ext>
      </extLst>
    </bk>
    <bk>
      <extLst>
        <ext uri="{3e2802c4-a4d2-4d8b-9148-e3be6c30e623}">
          <xlrd:rvb i="1707"/>
        </ext>
      </extLst>
    </bk>
    <bk>
      <extLst>
        <ext uri="{3e2802c4-a4d2-4d8b-9148-e3be6c30e623}">
          <xlrd:rvb i="1713"/>
        </ext>
      </extLst>
    </bk>
    <bk>
      <extLst>
        <ext uri="{3e2802c4-a4d2-4d8b-9148-e3be6c30e623}">
          <xlrd:rvb i="1717"/>
        </ext>
      </extLst>
    </bk>
    <bk>
      <extLst>
        <ext uri="{3e2802c4-a4d2-4d8b-9148-e3be6c30e623}">
          <xlrd:rvb i="1750"/>
        </ext>
      </extLst>
    </bk>
    <bk>
      <extLst>
        <ext uri="{3e2802c4-a4d2-4d8b-9148-e3be6c30e623}">
          <xlrd:rvb i="1708"/>
        </ext>
      </extLst>
    </bk>
    <bk>
      <extLst>
        <ext uri="{3e2802c4-a4d2-4d8b-9148-e3be6c30e623}">
          <xlrd:rvb i="1752"/>
        </ext>
      </extLst>
    </bk>
    <bk>
      <extLst>
        <ext uri="{3e2802c4-a4d2-4d8b-9148-e3be6c30e623}">
          <xlrd:rvb i="1755"/>
        </ext>
      </extLst>
    </bk>
    <bk>
      <extLst>
        <ext uri="{3e2802c4-a4d2-4d8b-9148-e3be6c30e623}">
          <xlrd:rvb i="1756"/>
        </ext>
      </extLst>
    </bk>
    <bk>
      <extLst>
        <ext uri="{3e2802c4-a4d2-4d8b-9148-e3be6c30e623}">
          <xlrd:rvb i="1760"/>
        </ext>
      </extLst>
    </bk>
    <bk>
      <extLst>
        <ext uri="{3e2802c4-a4d2-4d8b-9148-e3be6c30e623}">
          <xlrd:rvb i="1769"/>
        </ext>
      </extLst>
    </bk>
    <bk>
      <extLst>
        <ext uri="{3e2802c4-a4d2-4d8b-9148-e3be6c30e623}">
          <xlrd:rvb i="1761"/>
        </ext>
      </extLst>
    </bk>
    <bk>
      <extLst>
        <ext uri="{3e2802c4-a4d2-4d8b-9148-e3be6c30e623}">
          <xlrd:rvb i="1812"/>
        </ext>
      </extLst>
    </bk>
    <bk>
      <extLst>
        <ext uri="{3e2802c4-a4d2-4d8b-9148-e3be6c30e623}">
          <xlrd:rvb i="1814"/>
        </ext>
      </extLst>
    </bk>
    <bk>
      <extLst>
        <ext uri="{3e2802c4-a4d2-4d8b-9148-e3be6c30e623}">
          <xlrd:rvb i="1817"/>
        </ext>
      </extLst>
    </bk>
    <bk>
      <extLst>
        <ext uri="{3e2802c4-a4d2-4d8b-9148-e3be6c30e623}">
          <xlrd:rvb i="1818"/>
        </ext>
      </extLst>
    </bk>
    <bk>
      <extLst>
        <ext uri="{3e2802c4-a4d2-4d8b-9148-e3be6c30e623}">
          <xlrd:rvb i="1822"/>
        </ext>
      </extLst>
    </bk>
    <bk>
      <extLst>
        <ext uri="{3e2802c4-a4d2-4d8b-9148-e3be6c30e623}">
          <xlrd:rvb i="1832"/>
        </ext>
      </extLst>
    </bk>
    <bk>
      <extLst>
        <ext uri="{3e2802c4-a4d2-4d8b-9148-e3be6c30e623}">
          <xlrd:rvb i="1823"/>
        </ext>
      </extLst>
    </bk>
    <bk>
      <extLst>
        <ext uri="{3e2802c4-a4d2-4d8b-9148-e3be6c30e623}">
          <xlrd:rvb i="1880"/>
        </ext>
      </extLst>
    </bk>
    <bk>
      <extLst>
        <ext uri="{3e2802c4-a4d2-4d8b-9148-e3be6c30e623}">
          <xlrd:rvb i="1882"/>
        </ext>
      </extLst>
    </bk>
    <bk>
      <extLst>
        <ext uri="{3e2802c4-a4d2-4d8b-9148-e3be6c30e623}">
          <xlrd:rvb i="1885"/>
        </ext>
      </extLst>
    </bk>
    <bk>
      <extLst>
        <ext uri="{3e2802c4-a4d2-4d8b-9148-e3be6c30e623}">
          <xlrd:rvb i="1886"/>
        </ext>
      </extLst>
    </bk>
    <bk>
      <extLst>
        <ext uri="{3e2802c4-a4d2-4d8b-9148-e3be6c30e623}">
          <xlrd:rvb i="1891"/>
        </ext>
      </extLst>
    </bk>
    <bk>
      <extLst>
        <ext uri="{3e2802c4-a4d2-4d8b-9148-e3be6c30e623}">
          <xlrd:rvb i="1898"/>
        </ext>
      </extLst>
    </bk>
    <bk>
      <extLst>
        <ext uri="{3e2802c4-a4d2-4d8b-9148-e3be6c30e623}">
          <xlrd:rvb i="1892"/>
        </ext>
      </extLst>
    </bk>
    <bk>
      <extLst>
        <ext uri="{3e2802c4-a4d2-4d8b-9148-e3be6c30e623}">
          <xlrd:rvb i="1941"/>
        </ext>
      </extLst>
    </bk>
    <bk>
      <extLst>
        <ext uri="{3e2802c4-a4d2-4d8b-9148-e3be6c30e623}">
          <xlrd:rvb i="1943"/>
        </ext>
      </extLst>
    </bk>
    <bk>
      <extLst>
        <ext uri="{3e2802c4-a4d2-4d8b-9148-e3be6c30e623}">
          <xlrd:rvb i="1946"/>
        </ext>
      </extLst>
    </bk>
    <bk>
      <extLst>
        <ext uri="{3e2802c4-a4d2-4d8b-9148-e3be6c30e623}">
          <xlrd:rvb i="1947"/>
        </ext>
      </extLst>
    </bk>
    <bk>
      <extLst>
        <ext uri="{3e2802c4-a4d2-4d8b-9148-e3be6c30e623}">
          <xlrd:rvb i="1952"/>
        </ext>
      </extLst>
    </bk>
    <bk>
      <extLst>
        <ext uri="{3e2802c4-a4d2-4d8b-9148-e3be6c30e623}">
          <xlrd:rvb i="1960"/>
        </ext>
      </extLst>
    </bk>
    <bk>
      <extLst>
        <ext uri="{3e2802c4-a4d2-4d8b-9148-e3be6c30e623}">
          <xlrd:rvb i="1953"/>
        </ext>
      </extLst>
    </bk>
    <bk>
      <extLst>
        <ext uri="{3e2802c4-a4d2-4d8b-9148-e3be6c30e623}">
          <xlrd:rvb i="1998"/>
        </ext>
      </extLst>
    </bk>
    <bk>
      <extLst>
        <ext uri="{3e2802c4-a4d2-4d8b-9148-e3be6c30e623}">
          <xlrd:rvb i="2004"/>
        </ext>
      </extLst>
    </bk>
    <bk>
      <extLst>
        <ext uri="{3e2802c4-a4d2-4d8b-9148-e3be6c30e623}">
          <xlrd:rvb i="2005"/>
        </ext>
      </extLst>
    </bk>
    <bk>
      <extLst>
        <ext uri="{3e2802c4-a4d2-4d8b-9148-e3be6c30e623}">
          <xlrd:rvb i="2010"/>
        </ext>
      </extLst>
    </bk>
    <bk>
      <extLst>
        <ext uri="{3e2802c4-a4d2-4d8b-9148-e3be6c30e623}">
          <xlrd:rvb i="2020"/>
        </ext>
      </extLst>
    </bk>
    <bk>
      <extLst>
        <ext uri="{3e2802c4-a4d2-4d8b-9148-e3be6c30e623}">
          <xlrd:rvb i="2011"/>
        </ext>
      </extLst>
    </bk>
    <bk>
      <extLst>
        <ext uri="{3e2802c4-a4d2-4d8b-9148-e3be6c30e623}">
          <xlrd:rvb i="2067"/>
        </ext>
      </extLst>
    </bk>
    <bk>
      <extLst>
        <ext uri="{3e2802c4-a4d2-4d8b-9148-e3be6c30e623}">
          <xlrd:rvb i="2070"/>
        </ext>
      </extLst>
    </bk>
    <bk>
      <extLst>
        <ext uri="{3e2802c4-a4d2-4d8b-9148-e3be6c30e623}">
          <xlrd:rvb i="2071"/>
        </ext>
      </extLst>
    </bk>
    <bk>
      <extLst>
        <ext uri="{3e2802c4-a4d2-4d8b-9148-e3be6c30e623}">
          <xlrd:rvb i="2076"/>
        </ext>
      </extLst>
    </bk>
    <bk>
      <extLst>
        <ext uri="{3e2802c4-a4d2-4d8b-9148-e3be6c30e623}">
          <xlrd:rvb i="2084"/>
        </ext>
      </extLst>
    </bk>
    <bk>
      <extLst>
        <ext uri="{3e2802c4-a4d2-4d8b-9148-e3be6c30e623}">
          <xlrd:rvb i="2077"/>
        </ext>
      </extLst>
    </bk>
    <bk>
      <extLst>
        <ext uri="{3e2802c4-a4d2-4d8b-9148-e3be6c30e623}">
          <xlrd:rvb i="2139"/>
        </ext>
      </extLst>
    </bk>
    <bk>
      <extLst>
        <ext uri="{3e2802c4-a4d2-4d8b-9148-e3be6c30e623}">
          <xlrd:rvb i="2141"/>
        </ext>
      </extLst>
    </bk>
    <bk>
      <extLst>
        <ext uri="{3e2802c4-a4d2-4d8b-9148-e3be6c30e623}">
          <xlrd:rvb i="2144"/>
        </ext>
      </extLst>
    </bk>
    <bk>
      <extLst>
        <ext uri="{3e2802c4-a4d2-4d8b-9148-e3be6c30e623}">
          <xlrd:rvb i="2145"/>
        </ext>
      </extLst>
    </bk>
    <bk>
      <extLst>
        <ext uri="{3e2802c4-a4d2-4d8b-9148-e3be6c30e623}">
          <xlrd:rvb i="2150"/>
        </ext>
      </extLst>
    </bk>
    <bk>
      <extLst>
        <ext uri="{3e2802c4-a4d2-4d8b-9148-e3be6c30e623}">
          <xlrd:rvb i="2158"/>
        </ext>
      </extLst>
    </bk>
    <bk>
      <extLst>
        <ext uri="{3e2802c4-a4d2-4d8b-9148-e3be6c30e623}">
          <xlrd:rvb i="2151"/>
        </ext>
      </extLst>
    </bk>
    <bk>
      <extLst>
        <ext uri="{3e2802c4-a4d2-4d8b-9148-e3be6c30e623}">
          <xlrd:rvb i="2198"/>
        </ext>
      </extLst>
    </bk>
    <bk>
      <extLst>
        <ext uri="{3e2802c4-a4d2-4d8b-9148-e3be6c30e623}">
          <xlrd:rvb i="2200"/>
        </ext>
      </extLst>
    </bk>
    <bk>
      <extLst>
        <ext uri="{3e2802c4-a4d2-4d8b-9148-e3be6c30e623}">
          <xlrd:rvb i="2203"/>
        </ext>
      </extLst>
    </bk>
    <bk>
      <extLst>
        <ext uri="{3e2802c4-a4d2-4d8b-9148-e3be6c30e623}">
          <xlrd:rvb i="2204"/>
        </ext>
      </extLst>
    </bk>
    <bk>
      <extLst>
        <ext uri="{3e2802c4-a4d2-4d8b-9148-e3be6c30e623}">
          <xlrd:rvb i="2208"/>
        </ext>
      </extLst>
    </bk>
    <bk>
      <extLst>
        <ext uri="{3e2802c4-a4d2-4d8b-9148-e3be6c30e623}">
          <xlrd:rvb i="2218"/>
        </ext>
      </extLst>
    </bk>
    <bk>
      <extLst>
        <ext uri="{3e2802c4-a4d2-4d8b-9148-e3be6c30e623}">
          <xlrd:rvb i="2254"/>
        </ext>
      </extLst>
    </bk>
    <bk>
      <extLst>
        <ext uri="{3e2802c4-a4d2-4d8b-9148-e3be6c30e623}">
          <xlrd:rvb i="2255"/>
        </ext>
      </extLst>
    </bk>
    <bk>
      <extLst>
        <ext uri="{3e2802c4-a4d2-4d8b-9148-e3be6c30e623}">
          <xlrd:rvb i="2209"/>
        </ext>
      </extLst>
    </bk>
    <bk>
      <extLst>
        <ext uri="{3e2802c4-a4d2-4d8b-9148-e3be6c30e623}">
          <xlrd:rvb i="2257"/>
        </ext>
      </extLst>
    </bk>
    <bk>
      <extLst>
        <ext uri="{3e2802c4-a4d2-4d8b-9148-e3be6c30e623}">
          <xlrd:rvb i="2260"/>
        </ext>
      </extLst>
    </bk>
    <bk>
      <extLst>
        <ext uri="{3e2802c4-a4d2-4d8b-9148-e3be6c30e623}">
          <xlrd:rvb i="2261"/>
        </ext>
      </extLst>
    </bk>
    <bk>
      <extLst>
        <ext uri="{3e2802c4-a4d2-4d8b-9148-e3be6c30e623}">
          <xlrd:rvb i="2265"/>
        </ext>
      </extLst>
    </bk>
    <bk>
      <extLst>
        <ext uri="{3e2802c4-a4d2-4d8b-9148-e3be6c30e623}">
          <xlrd:rvb i="2271"/>
        </ext>
      </extLst>
    </bk>
    <bk>
      <extLst>
        <ext uri="{3e2802c4-a4d2-4d8b-9148-e3be6c30e623}">
          <xlrd:rvb i="2266"/>
        </ext>
      </extLst>
    </bk>
    <bk>
      <extLst>
        <ext uri="{3e2802c4-a4d2-4d8b-9148-e3be6c30e623}">
          <xlrd:rvb i="2324"/>
        </ext>
      </extLst>
    </bk>
    <bk>
      <extLst>
        <ext uri="{3e2802c4-a4d2-4d8b-9148-e3be6c30e623}">
          <xlrd:rvb i="2326"/>
        </ext>
      </extLst>
    </bk>
    <bk>
      <extLst>
        <ext uri="{3e2802c4-a4d2-4d8b-9148-e3be6c30e623}">
          <xlrd:rvb i="2329"/>
        </ext>
      </extLst>
    </bk>
    <bk>
      <extLst>
        <ext uri="{3e2802c4-a4d2-4d8b-9148-e3be6c30e623}">
          <xlrd:rvb i="2330"/>
        </ext>
      </extLst>
    </bk>
    <bk>
      <extLst>
        <ext uri="{3e2802c4-a4d2-4d8b-9148-e3be6c30e623}">
          <xlrd:rvb i="2334"/>
        </ext>
      </extLst>
    </bk>
    <bk>
      <extLst>
        <ext uri="{3e2802c4-a4d2-4d8b-9148-e3be6c30e623}">
          <xlrd:rvb i="2342"/>
        </ext>
      </extLst>
    </bk>
    <bk>
      <extLst>
        <ext uri="{3e2802c4-a4d2-4d8b-9148-e3be6c30e623}">
          <xlrd:rvb i="2335"/>
        </ext>
      </extLst>
    </bk>
    <bk>
      <extLst>
        <ext uri="{3e2802c4-a4d2-4d8b-9148-e3be6c30e623}">
          <xlrd:rvb i="2388"/>
        </ext>
      </extLst>
    </bk>
    <bk>
      <extLst>
        <ext uri="{3e2802c4-a4d2-4d8b-9148-e3be6c30e623}">
          <xlrd:rvb i="2390"/>
        </ext>
      </extLst>
    </bk>
    <bk>
      <extLst>
        <ext uri="{3e2802c4-a4d2-4d8b-9148-e3be6c30e623}">
          <xlrd:rvb i="2393"/>
        </ext>
      </extLst>
    </bk>
    <bk>
      <extLst>
        <ext uri="{3e2802c4-a4d2-4d8b-9148-e3be6c30e623}">
          <xlrd:rvb i="2394"/>
        </ext>
      </extLst>
    </bk>
    <bk>
      <extLst>
        <ext uri="{3e2802c4-a4d2-4d8b-9148-e3be6c30e623}">
          <xlrd:rvb i="2399"/>
        </ext>
      </extLst>
    </bk>
    <bk>
      <extLst>
        <ext uri="{3e2802c4-a4d2-4d8b-9148-e3be6c30e623}">
          <xlrd:rvb i="2408"/>
        </ext>
      </extLst>
    </bk>
    <bk>
      <extLst>
        <ext uri="{3e2802c4-a4d2-4d8b-9148-e3be6c30e623}">
          <xlrd:rvb i="2400"/>
        </ext>
      </extLst>
    </bk>
    <bk>
      <extLst>
        <ext uri="{3e2802c4-a4d2-4d8b-9148-e3be6c30e623}">
          <xlrd:rvb i="2451"/>
        </ext>
      </extLst>
    </bk>
    <bk>
      <extLst>
        <ext uri="{3e2802c4-a4d2-4d8b-9148-e3be6c30e623}">
          <xlrd:rvb i="2453"/>
        </ext>
      </extLst>
    </bk>
    <bk>
      <extLst>
        <ext uri="{3e2802c4-a4d2-4d8b-9148-e3be6c30e623}">
          <xlrd:rvb i="2454"/>
        </ext>
      </extLst>
    </bk>
    <bk>
      <extLst>
        <ext uri="{3e2802c4-a4d2-4d8b-9148-e3be6c30e623}">
          <xlrd:rvb i="2459"/>
        </ext>
      </extLst>
    </bk>
    <bk>
      <extLst>
        <ext uri="{3e2802c4-a4d2-4d8b-9148-e3be6c30e623}">
          <xlrd:rvb i="2469"/>
        </ext>
      </extLst>
    </bk>
    <bk>
      <extLst>
        <ext uri="{3e2802c4-a4d2-4d8b-9148-e3be6c30e623}">
          <xlrd:rvb i="2460"/>
        </ext>
      </extLst>
    </bk>
    <bk>
      <extLst>
        <ext uri="{3e2802c4-a4d2-4d8b-9148-e3be6c30e623}">
          <xlrd:rvb i="2538"/>
        </ext>
      </extLst>
    </bk>
    <bk>
      <extLst>
        <ext uri="{3e2802c4-a4d2-4d8b-9148-e3be6c30e623}">
          <xlrd:rvb i="2540"/>
        </ext>
      </extLst>
    </bk>
    <bk>
      <extLst>
        <ext uri="{3e2802c4-a4d2-4d8b-9148-e3be6c30e623}">
          <xlrd:rvb i="2543"/>
        </ext>
      </extLst>
    </bk>
    <bk>
      <extLst>
        <ext uri="{3e2802c4-a4d2-4d8b-9148-e3be6c30e623}">
          <xlrd:rvb i="2544"/>
        </ext>
      </extLst>
    </bk>
    <bk>
      <extLst>
        <ext uri="{3e2802c4-a4d2-4d8b-9148-e3be6c30e623}">
          <xlrd:rvb i="2548"/>
        </ext>
      </extLst>
    </bk>
    <bk>
      <extLst>
        <ext uri="{3e2802c4-a4d2-4d8b-9148-e3be6c30e623}">
          <xlrd:rvb i="2554"/>
        </ext>
      </extLst>
    </bk>
    <bk>
      <extLst>
        <ext uri="{3e2802c4-a4d2-4d8b-9148-e3be6c30e623}">
          <xlrd:rvb i="2549"/>
        </ext>
      </extLst>
    </bk>
    <bk>
      <extLst>
        <ext uri="{3e2802c4-a4d2-4d8b-9148-e3be6c30e623}">
          <xlrd:rvb i="2586"/>
        </ext>
      </extLst>
    </bk>
    <bk>
      <extLst>
        <ext uri="{3e2802c4-a4d2-4d8b-9148-e3be6c30e623}">
          <xlrd:rvb i="2588"/>
        </ext>
      </extLst>
    </bk>
    <bk>
      <extLst>
        <ext uri="{3e2802c4-a4d2-4d8b-9148-e3be6c30e623}">
          <xlrd:rvb i="2591"/>
        </ext>
      </extLst>
    </bk>
    <bk>
      <extLst>
        <ext uri="{3e2802c4-a4d2-4d8b-9148-e3be6c30e623}">
          <xlrd:rvb i="2592"/>
        </ext>
      </extLst>
    </bk>
    <bk>
      <extLst>
        <ext uri="{3e2802c4-a4d2-4d8b-9148-e3be6c30e623}">
          <xlrd:rvb i="2597"/>
        </ext>
      </extLst>
    </bk>
    <bk>
      <extLst>
        <ext uri="{3e2802c4-a4d2-4d8b-9148-e3be6c30e623}">
          <xlrd:rvb i="2606"/>
        </ext>
      </extLst>
    </bk>
    <bk>
      <extLst>
        <ext uri="{3e2802c4-a4d2-4d8b-9148-e3be6c30e623}">
          <xlrd:rvb i="2598"/>
        </ext>
      </extLst>
    </bk>
    <bk>
      <extLst>
        <ext uri="{3e2802c4-a4d2-4d8b-9148-e3be6c30e623}">
          <xlrd:rvb i="2670"/>
        </ext>
      </extLst>
    </bk>
    <bk>
      <extLst>
        <ext uri="{3e2802c4-a4d2-4d8b-9148-e3be6c30e623}">
          <xlrd:rvb i="2672"/>
        </ext>
      </extLst>
    </bk>
    <bk>
      <extLst>
        <ext uri="{3e2802c4-a4d2-4d8b-9148-e3be6c30e623}">
          <xlrd:rvb i="2675"/>
        </ext>
      </extLst>
    </bk>
    <bk>
      <extLst>
        <ext uri="{3e2802c4-a4d2-4d8b-9148-e3be6c30e623}">
          <xlrd:rvb i="2676"/>
        </ext>
      </extLst>
    </bk>
    <bk>
      <extLst>
        <ext uri="{3e2802c4-a4d2-4d8b-9148-e3be6c30e623}">
          <xlrd:rvb i="2679"/>
        </ext>
      </extLst>
    </bk>
    <bk>
      <extLst>
        <ext uri="{3e2802c4-a4d2-4d8b-9148-e3be6c30e623}">
          <xlrd:rvb i="2681"/>
        </ext>
      </extLst>
    </bk>
    <bk>
      <extLst>
        <ext uri="{3e2802c4-a4d2-4d8b-9148-e3be6c30e623}">
          <xlrd:rvb i="2680"/>
        </ext>
      </extLst>
    </bk>
    <bk>
      <extLst>
        <ext uri="{3e2802c4-a4d2-4d8b-9148-e3be6c30e623}">
          <xlrd:rvb i="2701"/>
        </ext>
      </extLst>
    </bk>
    <bk>
      <extLst>
        <ext uri="{3e2802c4-a4d2-4d8b-9148-e3be6c30e623}">
          <xlrd:rvb i="2703"/>
        </ext>
      </extLst>
    </bk>
    <bk>
      <extLst>
        <ext uri="{3e2802c4-a4d2-4d8b-9148-e3be6c30e623}">
          <xlrd:rvb i="2706"/>
        </ext>
      </extLst>
    </bk>
    <bk>
      <extLst>
        <ext uri="{3e2802c4-a4d2-4d8b-9148-e3be6c30e623}">
          <xlrd:rvb i="2707"/>
        </ext>
      </extLst>
    </bk>
    <bk>
      <extLst>
        <ext uri="{3e2802c4-a4d2-4d8b-9148-e3be6c30e623}">
          <xlrd:rvb i="2711"/>
        </ext>
      </extLst>
    </bk>
    <bk>
      <extLst>
        <ext uri="{3e2802c4-a4d2-4d8b-9148-e3be6c30e623}">
          <xlrd:rvb i="2721"/>
        </ext>
      </extLst>
    </bk>
    <bk>
      <extLst>
        <ext uri="{3e2802c4-a4d2-4d8b-9148-e3be6c30e623}">
          <xlrd:rvb i="2712"/>
        </ext>
      </extLst>
    </bk>
    <bk>
      <extLst>
        <ext uri="{3e2802c4-a4d2-4d8b-9148-e3be6c30e623}">
          <xlrd:rvb i="2771"/>
        </ext>
      </extLst>
    </bk>
    <bk>
      <extLst>
        <ext uri="{3e2802c4-a4d2-4d8b-9148-e3be6c30e623}">
          <xlrd:rvb i="2773"/>
        </ext>
      </extLst>
    </bk>
    <bk>
      <extLst>
        <ext uri="{3e2802c4-a4d2-4d8b-9148-e3be6c30e623}">
          <xlrd:rvb i="2776"/>
        </ext>
      </extLst>
    </bk>
    <bk>
      <extLst>
        <ext uri="{3e2802c4-a4d2-4d8b-9148-e3be6c30e623}">
          <xlrd:rvb i="2777"/>
        </ext>
      </extLst>
    </bk>
    <bk>
      <extLst>
        <ext uri="{3e2802c4-a4d2-4d8b-9148-e3be6c30e623}">
          <xlrd:rvb i="2782"/>
        </ext>
      </extLst>
    </bk>
    <bk>
      <extLst>
        <ext uri="{3e2802c4-a4d2-4d8b-9148-e3be6c30e623}">
          <xlrd:rvb i="2791"/>
        </ext>
      </extLst>
    </bk>
    <bk>
      <extLst>
        <ext uri="{3e2802c4-a4d2-4d8b-9148-e3be6c30e623}">
          <xlrd:rvb i="2783"/>
        </ext>
      </extLst>
    </bk>
    <bk>
      <extLst>
        <ext uri="{3e2802c4-a4d2-4d8b-9148-e3be6c30e623}">
          <xlrd:rvb i="2849"/>
        </ext>
      </extLst>
    </bk>
    <bk>
      <extLst>
        <ext uri="{3e2802c4-a4d2-4d8b-9148-e3be6c30e623}">
          <xlrd:rvb i="2851"/>
        </ext>
      </extLst>
    </bk>
    <bk>
      <extLst>
        <ext uri="{3e2802c4-a4d2-4d8b-9148-e3be6c30e623}">
          <xlrd:rvb i="2854"/>
        </ext>
      </extLst>
    </bk>
    <bk>
      <extLst>
        <ext uri="{3e2802c4-a4d2-4d8b-9148-e3be6c30e623}">
          <xlrd:rvb i="2855"/>
        </ext>
      </extLst>
    </bk>
    <bk>
      <extLst>
        <ext uri="{3e2802c4-a4d2-4d8b-9148-e3be6c30e623}">
          <xlrd:rvb i="2860"/>
        </ext>
      </extLst>
    </bk>
    <bk>
      <extLst>
        <ext uri="{3e2802c4-a4d2-4d8b-9148-e3be6c30e623}">
          <xlrd:rvb i="2870"/>
        </ext>
      </extLst>
    </bk>
    <bk>
      <extLst>
        <ext uri="{3e2802c4-a4d2-4d8b-9148-e3be6c30e623}">
          <xlrd:rvb i="2875"/>
        </ext>
      </extLst>
    </bk>
    <bk>
      <extLst>
        <ext uri="{3e2802c4-a4d2-4d8b-9148-e3be6c30e623}">
          <xlrd:rvb i="2929"/>
        </ext>
      </extLst>
    </bk>
    <bk>
      <extLst>
        <ext uri="{3e2802c4-a4d2-4d8b-9148-e3be6c30e623}">
          <xlrd:rvb i="2861"/>
        </ext>
      </extLst>
    </bk>
    <bk>
      <extLst>
        <ext uri="{3e2802c4-a4d2-4d8b-9148-e3be6c30e623}">
          <xlrd:rvb i="2931"/>
        </ext>
      </extLst>
    </bk>
    <bk>
      <extLst>
        <ext uri="{3e2802c4-a4d2-4d8b-9148-e3be6c30e623}">
          <xlrd:rvb i="2934"/>
        </ext>
      </extLst>
    </bk>
    <bk>
      <extLst>
        <ext uri="{3e2802c4-a4d2-4d8b-9148-e3be6c30e623}">
          <xlrd:rvb i="2935"/>
        </ext>
      </extLst>
    </bk>
    <bk>
      <extLst>
        <ext uri="{3e2802c4-a4d2-4d8b-9148-e3be6c30e623}">
          <xlrd:rvb i="2940"/>
        </ext>
      </extLst>
    </bk>
    <bk>
      <extLst>
        <ext uri="{3e2802c4-a4d2-4d8b-9148-e3be6c30e623}">
          <xlrd:rvb i="2949"/>
        </ext>
      </extLst>
    </bk>
    <bk>
      <extLst>
        <ext uri="{3e2802c4-a4d2-4d8b-9148-e3be6c30e623}">
          <xlrd:rvb i="2941"/>
        </ext>
      </extLst>
    </bk>
    <bk>
      <extLst>
        <ext uri="{3e2802c4-a4d2-4d8b-9148-e3be6c30e623}">
          <xlrd:rvb i="2995"/>
        </ext>
      </extLst>
    </bk>
    <bk>
      <extLst>
        <ext uri="{3e2802c4-a4d2-4d8b-9148-e3be6c30e623}">
          <xlrd:rvb i="2997"/>
        </ext>
      </extLst>
    </bk>
    <bk>
      <extLst>
        <ext uri="{3e2802c4-a4d2-4d8b-9148-e3be6c30e623}">
          <xlrd:rvb i="3003"/>
        </ext>
      </extLst>
    </bk>
    <bk>
      <extLst>
        <ext uri="{3e2802c4-a4d2-4d8b-9148-e3be6c30e623}">
          <xlrd:rvb i="3004"/>
        </ext>
      </extLst>
    </bk>
    <bk>
      <extLst>
        <ext uri="{3e2802c4-a4d2-4d8b-9148-e3be6c30e623}">
          <xlrd:rvb i="3009"/>
        </ext>
      </extLst>
    </bk>
    <bk>
      <extLst>
        <ext uri="{3e2802c4-a4d2-4d8b-9148-e3be6c30e623}">
          <xlrd:rvb i="3019"/>
        </ext>
      </extLst>
    </bk>
    <bk>
      <extLst>
        <ext uri="{3e2802c4-a4d2-4d8b-9148-e3be6c30e623}">
          <xlrd:rvb i="3024"/>
        </ext>
      </extLst>
    </bk>
    <bk>
      <extLst>
        <ext uri="{3e2802c4-a4d2-4d8b-9148-e3be6c30e623}">
          <xlrd:rvb i="3079"/>
        </ext>
      </extLst>
    </bk>
    <bk>
      <extLst>
        <ext uri="{3e2802c4-a4d2-4d8b-9148-e3be6c30e623}">
          <xlrd:rvb i="3010"/>
        </ext>
      </extLst>
    </bk>
    <bk>
      <extLst>
        <ext uri="{3e2802c4-a4d2-4d8b-9148-e3be6c30e623}">
          <xlrd:rvb i="3081"/>
        </ext>
      </extLst>
    </bk>
    <bk>
      <extLst>
        <ext uri="{3e2802c4-a4d2-4d8b-9148-e3be6c30e623}">
          <xlrd:rvb i="3084"/>
        </ext>
      </extLst>
    </bk>
    <bk>
      <extLst>
        <ext uri="{3e2802c4-a4d2-4d8b-9148-e3be6c30e623}">
          <xlrd:rvb i="3085"/>
        </ext>
      </extLst>
    </bk>
    <bk>
      <extLst>
        <ext uri="{3e2802c4-a4d2-4d8b-9148-e3be6c30e623}">
          <xlrd:rvb i="3090"/>
        </ext>
      </extLst>
    </bk>
    <bk>
      <extLst>
        <ext uri="{3e2802c4-a4d2-4d8b-9148-e3be6c30e623}">
          <xlrd:rvb i="3100"/>
        </ext>
      </extLst>
    </bk>
    <bk>
      <extLst>
        <ext uri="{3e2802c4-a4d2-4d8b-9148-e3be6c30e623}">
          <xlrd:rvb i="3091"/>
        </ext>
      </extLst>
    </bk>
    <bk>
      <extLst>
        <ext uri="{3e2802c4-a4d2-4d8b-9148-e3be6c30e623}">
          <xlrd:rvb i="3149"/>
        </ext>
      </extLst>
    </bk>
    <bk>
      <extLst>
        <ext uri="{3e2802c4-a4d2-4d8b-9148-e3be6c30e623}">
          <xlrd:rvb i="3151"/>
        </ext>
      </extLst>
    </bk>
    <bk>
      <extLst>
        <ext uri="{3e2802c4-a4d2-4d8b-9148-e3be6c30e623}">
          <xlrd:rvb i="3154"/>
        </ext>
      </extLst>
    </bk>
    <bk>
      <extLst>
        <ext uri="{3e2802c4-a4d2-4d8b-9148-e3be6c30e623}">
          <xlrd:rvb i="3155"/>
        </ext>
      </extLst>
    </bk>
    <bk>
      <extLst>
        <ext uri="{3e2802c4-a4d2-4d8b-9148-e3be6c30e623}">
          <xlrd:rvb i="3157"/>
        </ext>
      </extLst>
    </bk>
    <bk>
      <extLst>
        <ext uri="{3e2802c4-a4d2-4d8b-9148-e3be6c30e623}">
          <xlrd:rvb i="3159"/>
        </ext>
      </extLst>
    </bk>
    <bk>
      <extLst>
        <ext uri="{3e2802c4-a4d2-4d8b-9148-e3be6c30e623}">
          <xlrd:rvb i="3161"/>
        </ext>
      </extLst>
    </bk>
    <bk>
      <extLst>
        <ext uri="{3e2802c4-a4d2-4d8b-9148-e3be6c30e623}">
          <xlrd:rvb i="3192"/>
        </ext>
      </extLst>
    </bk>
    <bk>
      <extLst>
        <ext uri="{3e2802c4-a4d2-4d8b-9148-e3be6c30e623}">
          <xlrd:rvb i="3158"/>
        </ext>
      </extLst>
    </bk>
    <bk>
      <extLst>
        <ext uri="{3e2802c4-a4d2-4d8b-9148-e3be6c30e623}">
          <xlrd:rvb i="3194"/>
        </ext>
      </extLst>
    </bk>
    <bk>
      <extLst>
        <ext uri="{3e2802c4-a4d2-4d8b-9148-e3be6c30e623}">
          <xlrd:rvb i="3195"/>
        </ext>
      </extLst>
    </bk>
    <bk>
      <extLst>
        <ext uri="{3e2802c4-a4d2-4d8b-9148-e3be6c30e623}">
          <xlrd:rvb i="3200"/>
        </ext>
      </extLst>
    </bk>
    <bk>
      <extLst>
        <ext uri="{3e2802c4-a4d2-4d8b-9148-e3be6c30e623}">
          <xlrd:rvb i="3210"/>
        </ext>
      </extLst>
    </bk>
    <bk>
      <extLst>
        <ext uri="{3e2802c4-a4d2-4d8b-9148-e3be6c30e623}">
          <xlrd:rvb i="3201"/>
        </ext>
      </extLst>
    </bk>
    <bk>
      <extLst>
        <ext uri="{3e2802c4-a4d2-4d8b-9148-e3be6c30e623}">
          <xlrd:rvb i="3246"/>
        </ext>
      </extLst>
    </bk>
    <bk>
      <extLst>
        <ext uri="{3e2802c4-a4d2-4d8b-9148-e3be6c30e623}">
          <xlrd:rvb i="3248"/>
        </ext>
      </extLst>
    </bk>
    <bk>
      <extLst>
        <ext uri="{3e2802c4-a4d2-4d8b-9148-e3be6c30e623}">
          <xlrd:rvb i="3251"/>
        </ext>
      </extLst>
    </bk>
    <bk>
      <extLst>
        <ext uri="{3e2802c4-a4d2-4d8b-9148-e3be6c30e623}">
          <xlrd:rvb i="3252"/>
        </ext>
      </extLst>
    </bk>
    <bk>
      <extLst>
        <ext uri="{3e2802c4-a4d2-4d8b-9148-e3be6c30e623}">
          <xlrd:rvb i="3257"/>
        </ext>
      </extLst>
    </bk>
    <bk>
      <extLst>
        <ext uri="{3e2802c4-a4d2-4d8b-9148-e3be6c30e623}">
          <xlrd:rvb i="3267"/>
        </ext>
      </extLst>
    </bk>
    <bk>
      <extLst>
        <ext uri="{3e2802c4-a4d2-4d8b-9148-e3be6c30e623}">
          <xlrd:rvb i="3258"/>
        </ext>
      </extLst>
    </bk>
    <bk>
      <extLst>
        <ext uri="{3e2802c4-a4d2-4d8b-9148-e3be6c30e623}">
          <xlrd:rvb i="3316"/>
        </ext>
      </extLst>
    </bk>
    <bk>
      <extLst>
        <ext uri="{3e2802c4-a4d2-4d8b-9148-e3be6c30e623}">
          <xlrd:rvb i="3318"/>
        </ext>
      </extLst>
    </bk>
    <bk>
      <extLst>
        <ext uri="{3e2802c4-a4d2-4d8b-9148-e3be6c30e623}">
          <xlrd:rvb i="3321"/>
        </ext>
      </extLst>
    </bk>
    <bk>
      <extLst>
        <ext uri="{3e2802c4-a4d2-4d8b-9148-e3be6c30e623}">
          <xlrd:rvb i="3322"/>
        </ext>
      </extLst>
    </bk>
    <bk>
      <extLst>
        <ext uri="{3e2802c4-a4d2-4d8b-9148-e3be6c30e623}">
          <xlrd:rvb i="3326"/>
        </ext>
      </extLst>
    </bk>
    <bk>
      <extLst>
        <ext uri="{3e2802c4-a4d2-4d8b-9148-e3be6c30e623}">
          <xlrd:rvb i="3336"/>
        </ext>
      </extLst>
    </bk>
    <bk>
      <extLst>
        <ext uri="{3e2802c4-a4d2-4d8b-9148-e3be6c30e623}">
          <xlrd:rvb i="3341"/>
        </ext>
      </extLst>
    </bk>
    <bk>
      <extLst>
        <ext uri="{3e2802c4-a4d2-4d8b-9148-e3be6c30e623}">
          <xlrd:rvb i="3392"/>
        </ext>
      </extLst>
    </bk>
    <bk>
      <extLst>
        <ext uri="{3e2802c4-a4d2-4d8b-9148-e3be6c30e623}">
          <xlrd:rvb i="3327"/>
        </ext>
      </extLst>
    </bk>
    <bk>
      <extLst>
        <ext uri="{3e2802c4-a4d2-4d8b-9148-e3be6c30e623}">
          <xlrd:rvb i="3394"/>
        </ext>
      </extLst>
    </bk>
    <bk>
      <extLst>
        <ext uri="{3e2802c4-a4d2-4d8b-9148-e3be6c30e623}">
          <xlrd:rvb i="3397"/>
        </ext>
      </extLst>
    </bk>
    <bk>
      <extLst>
        <ext uri="{3e2802c4-a4d2-4d8b-9148-e3be6c30e623}">
          <xlrd:rvb i="3398"/>
        </ext>
      </extLst>
    </bk>
    <bk>
      <extLst>
        <ext uri="{3e2802c4-a4d2-4d8b-9148-e3be6c30e623}">
          <xlrd:rvb i="3402"/>
        </ext>
      </extLst>
    </bk>
    <bk>
      <extLst>
        <ext uri="{3e2802c4-a4d2-4d8b-9148-e3be6c30e623}">
          <xlrd:rvb i="3411"/>
        </ext>
      </extLst>
    </bk>
    <bk>
      <extLst>
        <ext uri="{3e2802c4-a4d2-4d8b-9148-e3be6c30e623}">
          <xlrd:rvb i="3403"/>
        </ext>
      </extLst>
    </bk>
    <bk>
      <extLst>
        <ext uri="{3e2802c4-a4d2-4d8b-9148-e3be6c30e623}">
          <xlrd:rvb i="3461"/>
        </ext>
      </extLst>
    </bk>
    <bk>
      <extLst>
        <ext uri="{3e2802c4-a4d2-4d8b-9148-e3be6c30e623}">
          <xlrd:rvb i="3463"/>
        </ext>
      </extLst>
    </bk>
    <bk>
      <extLst>
        <ext uri="{3e2802c4-a4d2-4d8b-9148-e3be6c30e623}">
          <xlrd:rvb i="3469"/>
        </ext>
      </extLst>
    </bk>
    <bk>
      <extLst>
        <ext uri="{3e2802c4-a4d2-4d8b-9148-e3be6c30e623}">
          <xlrd:rvb i="3470"/>
        </ext>
      </extLst>
    </bk>
    <bk>
      <extLst>
        <ext uri="{3e2802c4-a4d2-4d8b-9148-e3be6c30e623}">
          <xlrd:rvb i="3475"/>
        </ext>
      </extLst>
    </bk>
    <bk>
      <extLst>
        <ext uri="{3e2802c4-a4d2-4d8b-9148-e3be6c30e623}">
          <xlrd:rvb i="3484"/>
        </ext>
      </extLst>
    </bk>
    <bk>
      <extLst>
        <ext uri="{3e2802c4-a4d2-4d8b-9148-e3be6c30e623}">
          <xlrd:rvb i="3476"/>
        </ext>
      </extLst>
    </bk>
    <bk>
      <extLst>
        <ext uri="{3e2802c4-a4d2-4d8b-9148-e3be6c30e623}">
          <xlrd:rvb i="3523"/>
        </ext>
      </extLst>
    </bk>
    <bk>
      <extLst>
        <ext uri="{3e2802c4-a4d2-4d8b-9148-e3be6c30e623}">
          <xlrd:rvb i="3525"/>
        </ext>
      </extLst>
    </bk>
    <bk>
      <extLst>
        <ext uri="{3e2802c4-a4d2-4d8b-9148-e3be6c30e623}">
          <xlrd:rvb i="3528"/>
        </ext>
      </extLst>
    </bk>
    <bk>
      <extLst>
        <ext uri="{3e2802c4-a4d2-4d8b-9148-e3be6c30e623}">
          <xlrd:rvb i="3529"/>
        </ext>
      </extLst>
    </bk>
    <bk>
      <extLst>
        <ext uri="{3e2802c4-a4d2-4d8b-9148-e3be6c30e623}">
          <xlrd:rvb i="3534"/>
        </ext>
      </extLst>
    </bk>
    <bk>
      <extLst>
        <ext uri="{3e2802c4-a4d2-4d8b-9148-e3be6c30e623}">
          <xlrd:rvb i="3544"/>
        </ext>
      </extLst>
    </bk>
    <bk>
      <extLst>
        <ext uri="{3e2802c4-a4d2-4d8b-9148-e3be6c30e623}">
          <xlrd:rvb i="3549"/>
        </ext>
      </extLst>
    </bk>
    <bk>
      <extLst>
        <ext uri="{3e2802c4-a4d2-4d8b-9148-e3be6c30e623}">
          <xlrd:rvb i="3625"/>
        </ext>
      </extLst>
    </bk>
    <bk>
      <extLst>
        <ext uri="{3e2802c4-a4d2-4d8b-9148-e3be6c30e623}">
          <xlrd:rvb i="3535"/>
        </ext>
      </extLst>
    </bk>
    <bk>
      <extLst>
        <ext uri="{3e2802c4-a4d2-4d8b-9148-e3be6c30e623}">
          <xlrd:rvb i="3627"/>
        </ext>
      </extLst>
    </bk>
    <bk>
      <extLst>
        <ext uri="{3e2802c4-a4d2-4d8b-9148-e3be6c30e623}">
          <xlrd:rvb i="3628"/>
        </ext>
      </extLst>
    </bk>
    <bk>
      <extLst>
        <ext uri="{3e2802c4-a4d2-4d8b-9148-e3be6c30e623}">
          <xlrd:rvb i="3633"/>
        </ext>
      </extLst>
    </bk>
    <bk>
      <extLst>
        <ext uri="{3e2802c4-a4d2-4d8b-9148-e3be6c30e623}">
          <xlrd:rvb i="3641"/>
        </ext>
      </extLst>
    </bk>
    <bk>
      <extLst>
        <ext uri="{3e2802c4-a4d2-4d8b-9148-e3be6c30e623}">
          <xlrd:rvb i="3634"/>
        </ext>
      </extLst>
    </bk>
    <bk>
      <extLst>
        <ext uri="{3e2802c4-a4d2-4d8b-9148-e3be6c30e623}">
          <xlrd:rvb i="3678"/>
        </ext>
      </extLst>
    </bk>
    <bk>
      <extLst>
        <ext uri="{3e2802c4-a4d2-4d8b-9148-e3be6c30e623}">
          <xlrd:rvb i="3680"/>
        </ext>
      </extLst>
    </bk>
    <bk>
      <extLst>
        <ext uri="{3e2802c4-a4d2-4d8b-9148-e3be6c30e623}">
          <xlrd:rvb i="3683"/>
        </ext>
      </extLst>
    </bk>
    <bk>
      <extLst>
        <ext uri="{3e2802c4-a4d2-4d8b-9148-e3be6c30e623}">
          <xlrd:rvb i="3684"/>
        </ext>
      </extLst>
    </bk>
    <bk>
      <extLst>
        <ext uri="{3e2802c4-a4d2-4d8b-9148-e3be6c30e623}">
          <xlrd:rvb i="3686"/>
        </ext>
      </extLst>
    </bk>
    <bk>
      <extLst>
        <ext uri="{3e2802c4-a4d2-4d8b-9148-e3be6c30e623}">
          <xlrd:rvb i="3688"/>
        </ext>
      </extLst>
    </bk>
    <bk>
      <extLst>
        <ext uri="{3e2802c4-a4d2-4d8b-9148-e3be6c30e623}">
          <xlrd:rvb i="3687"/>
        </ext>
      </extLst>
    </bk>
    <bk>
      <extLst>
        <ext uri="{3e2802c4-a4d2-4d8b-9148-e3be6c30e623}">
          <xlrd:rvb i="3783"/>
        </ext>
      </extLst>
    </bk>
    <bk>
      <extLst>
        <ext uri="{3e2802c4-a4d2-4d8b-9148-e3be6c30e623}">
          <xlrd:rvb i="3785"/>
        </ext>
      </extLst>
    </bk>
    <bk>
      <extLst>
        <ext uri="{3e2802c4-a4d2-4d8b-9148-e3be6c30e623}">
          <xlrd:rvb i="3791"/>
        </ext>
      </extLst>
    </bk>
    <bk>
      <extLst>
        <ext uri="{3e2802c4-a4d2-4d8b-9148-e3be6c30e623}">
          <xlrd:rvb i="3792"/>
        </ext>
      </extLst>
    </bk>
    <bk>
      <extLst>
        <ext uri="{3e2802c4-a4d2-4d8b-9148-e3be6c30e623}">
          <xlrd:rvb i="3797"/>
        </ext>
      </extLst>
    </bk>
    <bk>
      <extLst>
        <ext uri="{3e2802c4-a4d2-4d8b-9148-e3be6c30e623}">
          <xlrd:rvb i="3807"/>
        </ext>
      </extLst>
    </bk>
    <bk>
      <extLst>
        <ext uri="{3e2802c4-a4d2-4d8b-9148-e3be6c30e623}">
          <xlrd:rvb i="3798"/>
        </ext>
      </extLst>
    </bk>
    <bk>
      <extLst>
        <ext uri="{3e2802c4-a4d2-4d8b-9148-e3be6c30e623}">
          <xlrd:rvb i="3853"/>
        </ext>
      </extLst>
    </bk>
    <bk>
      <extLst>
        <ext uri="{3e2802c4-a4d2-4d8b-9148-e3be6c30e623}">
          <xlrd:rvb i="3855"/>
        </ext>
      </extLst>
    </bk>
    <bk>
      <extLst>
        <ext uri="{3e2802c4-a4d2-4d8b-9148-e3be6c30e623}">
          <xlrd:rvb i="3858"/>
        </ext>
      </extLst>
    </bk>
    <bk>
      <extLst>
        <ext uri="{3e2802c4-a4d2-4d8b-9148-e3be6c30e623}">
          <xlrd:rvb i="3859"/>
        </ext>
      </extLst>
    </bk>
    <bk>
      <extLst>
        <ext uri="{3e2802c4-a4d2-4d8b-9148-e3be6c30e623}">
          <xlrd:rvb i="3860"/>
        </ext>
      </extLst>
    </bk>
    <bk>
      <extLst>
        <ext uri="{3e2802c4-a4d2-4d8b-9148-e3be6c30e623}">
          <xlrd:rvb i="3861"/>
        </ext>
      </extLst>
    </bk>
    <bk>
      <extLst>
        <ext uri="{3e2802c4-a4d2-4d8b-9148-e3be6c30e623}">
          <xlrd:rvb i="3866"/>
        </ext>
      </extLst>
    </bk>
    <bk>
      <extLst>
        <ext uri="{3e2802c4-a4d2-4d8b-9148-e3be6c30e623}">
          <xlrd:rvb i="3875"/>
        </ext>
      </extLst>
    </bk>
    <bk>
      <extLst>
        <ext uri="{3e2802c4-a4d2-4d8b-9148-e3be6c30e623}">
          <xlrd:rvb i="3867"/>
        </ext>
      </extLst>
    </bk>
    <bk>
      <extLst>
        <ext uri="{3e2802c4-a4d2-4d8b-9148-e3be6c30e623}">
          <xlrd:rvb i="3913"/>
        </ext>
      </extLst>
    </bk>
    <bk>
      <extLst>
        <ext uri="{3e2802c4-a4d2-4d8b-9148-e3be6c30e623}">
          <xlrd:rvb i="3915"/>
        </ext>
      </extLst>
    </bk>
    <bk>
      <extLst>
        <ext uri="{3e2802c4-a4d2-4d8b-9148-e3be6c30e623}">
          <xlrd:rvb i="3921"/>
        </ext>
      </extLst>
    </bk>
    <bk>
      <extLst>
        <ext uri="{3e2802c4-a4d2-4d8b-9148-e3be6c30e623}">
          <xlrd:rvb i="3922"/>
        </ext>
      </extLst>
    </bk>
    <bk>
      <extLst>
        <ext uri="{3e2802c4-a4d2-4d8b-9148-e3be6c30e623}">
          <xlrd:rvb i="3927"/>
        </ext>
      </extLst>
    </bk>
    <bk>
      <extLst>
        <ext uri="{3e2802c4-a4d2-4d8b-9148-e3be6c30e623}">
          <xlrd:rvb i="3937"/>
        </ext>
      </extLst>
    </bk>
    <bk>
      <extLst>
        <ext uri="{3e2802c4-a4d2-4d8b-9148-e3be6c30e623}">
          <xlrd:rvb i="3942"/>
        </ext>
      </extLst>
    </bk>
    <bk>
      <extLst>
        <ext uri="{3e2802c4-a4d2-4d8b-9148-e3be6c30e623}">
          <xlrd:rvb i="3995"/>
        </ext>
      </extLst>
    </bk>
    <bk>
      <extLst>
        <ext uri="{3e2802c4-a4d2-4d8b-9148-e3be6c30e623}">
          <xlrd:rvb i="3928"/>
        </ext>
      </extLst>
    </bk>
    <bk>
      <extLst>
        <ext uri="{3e2802c4-a4d2-4d8b-9148-e3be6c30e623}">
          <xlrd:rvb i="3997"/>
        </ext>
      </extLst>
    </bk>
    <bk>
      <extLst>
        <ext uri="{3e2802c4-a4d2-4d8b-9148-e3be6c30e623}">
          <xlrd:rvb i="3998"/>
        </ext>
      </extLst>
    </bk>
    <bk>
      <extLst>
        <ext uri="{3e2802c4-a4d2-4d8b-9148-e3be6c30e623}">
          <xlrd:rvb i="4002"/>
        </ext>
      </extLst>
    </bk>
    <bk>
      <extLst>
        <ext uri="{3e2802c4-a4d2-4d8b-9148-e3be6c30e623}">
          <xlrd:rvb i="4009"/>
        </ext>
      </extLst>
    </bk>
    <bk>
      <extLst>
        <ext uri="{3e2802c4-a4d2-4d8b-9148-e3be6c30e623}">
          <xlrd:rvb i="4051"/>
        </ext>
      </extLst>
    </bk>
    <bk>
      <extLst>
        <ext uri="{3e2802c4-a4d2-4d8b-9148-e3be6c30e623}">
          <xlrd:rvb i="4052"/>
        </ext>
      </extLst>
    </bk>
    <bk>
      <extLst>
        <ext uri="{3e2802c4-a4d2-4d8b-9148-e3be6c30e623}">
          <xlrd:rvb i="4003"/>
        </ext>
      </extLst>
    </bk>
    <bk>
      <extLst>
        <ext uri="{3e2802c4-a4d2-4d8b-9148-e3be6c30e623}">
          <xlrd:rvb i="4054"/>
        </ext>
      </extLst>
    </bk>
    <bk>
      <extLst>
        <ext uri="{3e2802c4-a4d2-4d8b-9148-e3be6c30e623}">
          <xlrd:rvb i="4057"/>
        </ext>
      </extLst>
    </bk>
    <bk>
      <extLst>
        <ext uri="{3e2802c4-a4d2-4d8b-9148-e3be6c30e623}">
          <xlrd:rvb i="4058"/>
        </ext>
      </extLst>
    </bk>
    <bk>
      <extLst>
        <ext uri="{3e2802c4-a4d2-4d8b-9148-e3be6c30e623}">
          <xlrd:rvb i="4063"/>
        </ext>
      </extLst>
    </bk>
    <bk>
      <extLst>
        <ext uri="{3e2802c4-a4d2-4d8b-9148-e3be6c30e623}">
          <xlrd:rvb i="4072"/>
        </ext>
      </extLst>
    </bk>
    <bk>
      <extLst>
        <ext uri="{3e2802c4-a4d2-4d8b-9148-e3be6c30e623}">
          <xlrd:rvb i="4064"/>
        </ext>
      </extLst>
    </bk>
    <bk>
      <extLst>
        <ext uri="{3e2802c4-a4d2-4d8b-9148-e3be6c30e623}">
          <xlrd:rvb i="4123"/>
        </ext>
      </extLst>
    </bk>
    <bk>
      <extLst>
        <ext uri="{3e2802c4-a4d2-4d8b-9148-e3be6c30e623}">
          <xlrd:rvb i="4125"/>
        </ext>
      </extLst>
    </bk>
    <bk>
      <extLst>
        <ext uri="{3e2802c4-a4d2-4d8b-9148-e3be6c30e623}">
          <xlrd:rvb i="4128"/>
        </ext>
      </extLst>
    </bk>
    <bk>
      <extLst>
        <ext uri="{3e2802c4-a4d2-4d8b-9148-e3be6c30e623}">
          <xlrd:rvb i="4129"/>
        </ext>
      </extLst>
    </bk>
    <bk>
      <extLst>
        <ext uri="{3e2802c4-a4d2-4d8b-9148-e3be6c30e623}">
          <xlrd:rvb i="4133"/>
        </ext>
      </extLst>
    </bk>
    <bk>
      <extLst>
        <ext uri="{3e2802c4-a4d2-4d8b-9148-e3be6c30e623}">
          <xlrd:rvb i="4140"/>
        </ext>
      </extLst>
    </bk>
    <bk>
      <extLst>
        <ext uri="{3e2802c4-a4d2-4d8b-9148-e3be6c30e623}">
          <xlrd:rvb i="4134"/>
        </ext>
      </extLst>
    </bk>
    <bk>
      <extLst>
        <ext uri="{3e2802c4-a4d2-4d8b-9148-e3be6c30e623}">
          <xlrd:rvb i="4194"/>
        </ext>
      </extLst>
    </bk>
    <bk>
      <extLst>
        <ext uri="{3e2802c4-a4d2-4d8b-9148-e3be6c30e623}">
          <xlrd:rvb i="4196"/>
        </ext>
      </extLst>
    </bk>
    <bk>
      <extLst>
        <ext uri="{3e2802c4-a4d2-4d8b-9148-e3be6c30e623}">
          <xlrd:rvb i="4197"/>
        </ext>
      </extLst>
    </bk>
    <bk>
      <extLst>
        <ext uri="{3e2802c4-a4d2-4d8b-9148-e3be6c30e623}">
          <xlrd:rvb i="4198"/>
        </ext>
      </extLst>
    </bk>
    <bk>
      <extLst>
        <ext uri="{3e2802c4-a4d2-4d8b-9148-e3be6c30e623}">
          <xlrd:rvb i="4199"/>
        </ext>
      </extLst>
    </bk>
    <bk>
      <extLst>
        <ext uri="{3e2802c4-a4d2-4d8b-9148-e3be6c30e623}">
          <xlrd:rvb i="4200"/>
        </ext>
      </extLst>
    </bk>
    <bk>
      <extLst>
        <ext uri="{3e2802c4-a4d2-4d8b-9148-e3be6c30e623}">
          <xlrd:rvb i="4201"/>
        </ext>
      </extLst>
    </bk>
    <bk>
      <extLst>
        <ext uri="{3e2802c4-a4d2-4d8b-9148-e3be6c30e623}">
          <xlrd:rvb i="4202"/>
        </ext>
      </extLst>
    </bk>
    <bk>
      <extLst>
        <ext uri="{3e2802c4-a4d2-4d8b-9148-e3be6c30e623}">
          <xlrd:rvb i="4203"/>
        </ext>
      </extLst>
    </bk>
    <bk>
      <extLst>
        <ext uri="{3e2802c4-a4d2-4d8b-9148-e3be6c30e623}">
          <xlrd:rvb i="4208"/>
        </ext>
      </extLst>
    </bk>
    <bk>
      <extLst>
        <ext uri="{3e2802c4-a4d2-4d8b-9148-e3be6c30e623}">
          <xlrd:rvb i="4218"/>
        </ext>
      </extLst>
    </bk>
    <bk>
      <extLst>
        <ext uri="{3e2802c4-a4d2-4d8b-9148-e3be6c30e623}">
          <xlrd:rvb i="4209"/>
        </ext>
      </extLst>
    </bk>
    <bk>
      <extLst>
        <ext uri="{3e2802c4-a4d2-4d8b-9148-e3be6c30e623}">
          <xlrd:rvb i="4266"/>
        </ext>
      </extLst>
    </bk>
    <bk>
      <extLst>
        <ext uri="{3e2802c4-a4d2-4d8b-9148-e3be6c30e623}">
          <xlrd:rvb i="4268"/>
        </ext>
      </extLst>
    </bk>
    <bk>
      <extLst>
        <ext uri="{3e2802c4-a4d2-4d8b-9148-e3be6c30e623}">
          <xlrd:rvb i="4269"/>
        </ext>
      </extLst>
    </bk>
    <bk>
      <extLst>
        <ext uri="{3e2802c4-a4d2-4d8b-9148-e3be6c30e623}">
          <xlrd:rvb i="4274"/>
        </ext>
      </extLst>
    </bk>
    <bk>
      <extLst>
        <ext uri="{3e2802c4-a4d2-4d8b-9148-e3be6c30e623}">
          <xlrd:rvb i="4283"/>
        </ext>
      </extLst>
    </bk>
    <bk>
      <extLst>
        <ext uri="{3e2802c4-a4d2-4d8b-9148-e3be6c30e623}">
          <xlrd:rvb i="4275"/>
        </ext>
      </extLst>
    </bk>
    <bk>
      <extLst>
        <ext uri="{3e2802c4-a4d2-4d8b-9148-e3be6c30e623}">
          <xlrd:rvb i="4344"/>
        </ext>
      </extLst>
    </bk>
    <bk>
      <extLst>
        <ext uri="{3e2802c4-a4d2-4d8b-9148-e3be6c30e623}">
          <xlrd:rvb i="4345"/>
        </ext>
      </extLst>
    </bk>
    <bk>
      <extLst>
        <ext uri="{3e2802c4-a4d2-4d8b-9148-e3be6c30e623}">
          <xlrd:rvb i="4350"/>
        </ext>
      </extLst>
    </bk>
    <bk>
      <extLst>
        <ext uri="{3e2802c4-a4d2-4d8b-9148-e3be6c30e623}">
          <xlrd:rvb i="4360"/>
        </ext>
      </extLst>
    </bk>
    <bk>
      <extLst>
        <ext uri="{3e2802c4-a4d2-4d8b-9148-e3be6c30e623}">
          <xlrd:rvb i="4364"/>
        </ext>
      </extLst>
    </bk>
    <bk>
      <extLst>
        <ext uri="{3e2802c4-a4d2-4d8b-9148-e3be6c30e623}">
          <xlrd:rvb i="4407"/>
        </ext>
      </extLst>
    </bk>
    <bk>
      <extLst>
        <ext uri="{3e2802c4-a4d2-4d8b-9148-e3be6c30e623}">
          <xlrd:rvb i="4351"/>
        </ext>
      </extLst>
    </bk>
    <bk>
      <extLst>
        <ext uri="{3e2802c4-a4d2-4d8b-9148-e3be6c30e623}">
          <xlrd:rvb i="4408"/>
        </ext>
      </extLst>
    </bk>
    <bk>
      <extLst>
        <ext uri="{3e2802c4-a4d2-4d8b-9148-e3be6c30e623}">
          <xlrd:rvb i="4412"/>
        </ext>
      </extLst>
    </bk>
    <bk>
      <extLst>
        <ext uri="{3e2802c4-a4d2-4d8b-9148-e3be6c30e623}">
          <xlrd:rvb i="4422"/>
        </ext>
      </extLst>
    </bk>
    <bk>
      <extLst>
        <ext uri="{3e2802c4-a4d2-4d8b-9148-e3be6c30e623}">
          <xlrd:rvb i="4413"/>
        </ext>
      </extLst>
    </bk>
    <bk>
      <extLst>
        <ext uri="{3e2802c4-a4d2-4d8b-9148-e3be6c30e623}">
          <xlrd:rvb i="4470"/>
        </ext>
      </extLst>
    </bk>
    <bk>
      <extLst>
        <ext uri="{3e2802c4-a4d2-4d8b-9148-e3be6c30e623}">
          <xlrd:rvb i="4472"/>
        </ext>
      </extLst>
    </bk>
    <bk>
      <extLst>
        <ext uri="{3e2802c4-a4d2-4d8b-9148-e3be6c30e623}">
          <xlrd:rvb i="4473"/>
        </ext>
      </extLst>
    </bk>
    <bk>
      <extLst>
        <ext uri="{3e2802c4-a4d2-4d8b-9148-e3be6c30e623}">
          <xlrd:rvb i="4478"/>
        </ext>
      </extLst>
    </bk>
    <bk>
      <extLst>
        <ext uri="{3e2802c4-a4d2-4d8b-9148-e3be6c30e623}">
          <xlrd:rvb i="4488"/>
        </ext>
      </extLst>
    </bk>
    <bk>
      <extLst>
        <ext uri="{3e2802c4-a4d2-4d8b-9148-e3be6c30e623}">
          <xlrd:rvb i="4479"/>
        </ext>
      </extLst>
    </bk>
    <bk>
      <extLst>
        <ext uri="{3e2802c4-a4d2-4d8b-9148-e3be6c30e623}">
          <xlrd:rvb i="4535"/>
        </ext>
      </extLst>
    </bk>
    <bk>
      <extLst>
        <ext uri="{3e2802c4-a4d2-4d8b-9148-e3be6c30e623}">
          <xlrd:rvb i="4537"/>
        </ext>
      </extLst>
    </bk>
    <bk>
      <extLst>
        <ext uri="{3e2802c4-a4d2-4d8b-9148-e3be6c30e623}">
          <xlrd:rvb i="4538"/>
        </ext>
      </extLst>
    </bk>
    <bk>
      <extLst>
        <ext uri="{3e2802c4-a4d2-4d8b-9148-e3be6c30e623}">
          <xlrd:rvb i="4542"/>
        </ext>
      </extLst>
    </bk>
    <bk>
      <extLst>
        <ext uri="{3e2802c4-a4d2-4d8b-9148-e3be6c30e623}">
          <xlrd:rvb i="4552"/>
        </ext>
      </extLst>
    </bk>
    <bk>
      <extLst>
        <ext uri="{3e2802c4-a4d2-4d8b-9148-e3be6c30e623}">
          <xlrd:rvb i="4543"/>
        </ext>
      </extLst>
    </bk>
    <bk>
      <extLst>
        <ext uri="{3e2802c4-a4d2-4d8b-9148-e3be6c30e623}">
          <xlrd:rvb i="4584"/>
        </ext>
      </extLst>
    </bk>
    <bk>
      <extLst>
        <ext uri="{3e2802c4-a4d2-4d8b-9148-e3be6c30e623}">
          <xlrd:rvb i="4586"/>
        </ext>
      </extLst>
    </bk>
    <bk>
      <extLst>
        <ext uri="{3e2802c4-a4d2-4d8b-9148-e3be6c30e623}">
          <xlrd:rvb i="4587"/>
        </ext>
      </extLst>
    </bk>
    <bk>
      <extLst>
        <ext uri="{3e2802c4-a4d2-4d8b-9148-e3be6c30e623}">
          <xlrd:rvb i="4592"/>
        </ext>
      </extLst>
    </bk>
    <bk>
      <extLst>
        <ext uri="{3e2802c4-a4d2-4d8b-9148-e3be6c30e623}">
          <xlrd:rvb i="4600"/>
        </ext>
      </extLst>
    </bk>
    <bk>
      <extLst>
        <ext uri="{3e2802c4-a4d2-4d8b-9148-e3be6c30e623}">
          <xlrd:rvb i="4593"/>
        </ext>
      </extLst>
    </bk>
    <bk>
      <extLst>
        <ext uri="{3e2802c4-a4d2-4d8b-9148-e3be6c30e623}">
          <xlrd:rvb i="4671"/>
        </ext>
      </extLst>
    </bk>
    <bk>
      <extLst>
        <ext uri="{3e2802c4-a4d2-4d8b-9148-e3be6c30e623}">
          <xlrd:rvb i="4673"/>
        </ext>
      </extLst>
    </bk>
    <bk>
      <extLst>
        <ext uri="{3e2802c4-a4d2-4d8b-9148-e3be6c30e623}">
          <xlrd:rvb i="4674"/>
        </ext>
      </extLst>
    </bk>
    <bk>
      <extLst>
        <ext uri="{3e2802c4-a4d2-4d8b-9148-e3be6c30e623}">
          <xlrd:rvb i="4688"/>
        </ext>
      </extLst>
    </bk>
    <bk>
      <extLst>
        <ext uri="{3e2802c4-a4d2-4d8b-9148-e3be6c30e623}">
          <xlrd:rvb i="4679"/>
        </ext>
      </extLst>
    </bk>
    <bk>
      <extLst>
        <ext uri="{3e2802c4-a4d2-4d8b-9148-e3be6c30e623}">
          <xlrd:rvb i="4803"/>
        </ext>
      </extLst>
    </bk>
    <bk>
      <extLst>
        <ext uri="{3e2802c4-a4d2-4d8b-9148-e3be6c30e623}">
          <xlrd:rvb i="4805"/>
        </ext>
      </extLst>
    </bk>
    <bk>
      <extLst>
        <ext uri="{3e2802c4-a4d2-4d8b-9148-e3be6c30e623}">
          <xlrd:rvb i="4806"/>
        </ext>
      </extLst>
    </bk>
    <bk>
      <extLst>
        <ext uri="{3e2802c4-a4d2-4d8b-9148-e3be6c30e623}">
          <xlrd:rvb i="4811"/>
        </ext>
      </extLst>
    </bk>
    <bk>
      <extLst>
        <ext uri="{3e2802c4-a4d2-4d8b-9148-e3be6c30e623}">
          <xlrd:rvb i="4819"/>
        </ext>
      </extLst>
    </bk>
    <bk>
      <extLst>
        <ext uri="{3e2802c4-a4d2-4d8b-9148-e3be6c30e623}">
          <xlrd:rvb i="4812"/>
        </ext>
      </extLst>
    </bk>
    <bk>
      <extLst>
        <ext uri="{3e2802c4-a4d2-4d8b-9148-e3be6c30e623}">
          <xlrd:rvb i="4857"/>
        </ext>
      </extLst>
    </bk>
    <bk>
      <extLst>
        <ext uri="{3e2802c4-a4d2-4d8b-9148-e3be6c30e623}">
          <xlrd:rvb i="4859"/>
        </ext>
      </extLst>
    </bk>
    <bk>
      <extLst>
        <ext uri="{3e2802c4-a4d2-4d8b-9148-e3be6c30e623}">
          <xlrd:rvb i="4860"/>
        </ext>
      </extLst>
    </bk>
    <bk>
      <extLst>
        <ext uri="{3e2802c4-a4d2-4d8b-9148-e3be6c30e623}">
          <xlrd:rvb i="4864"/>
        </ext>
      </extLst>
    </bk>
    <bk>
      <extLst>
        <ext uri="{3e2802c4-a4d2-4d8b-9148-e3be6c30e623}">
          <xlrd:rvb i="4871"/>
        </ext>
      </extLst>
    </bk>
    <bk>
      <extLst>
        <ext uri="{3e2802c4-a4d2-4d8b-9148-e3be6c30e623}">
          <xlrd:rvb i="4865"/>
        </ext>
      </extLst>
    </bk>
    <bk>
      <extLst>
        <ext uri="{3e2802c4-a4d2-4d8b-9148-e3be6c30e623}">
          <xlrd:rvb i="4909"/>
        </ext>
      </extLst>
    </bk>
    <bk>
      <extLst>
        <ext uri="{3e2802c4-a4d2-4d8b-9148-e3be6c30e623}">
          <xlrd:rvb i="4911"/>
        </ext>
      </extLst>
    </bk>
    <bk>
      <extLst>
        <ext uri="{3e2802c4-a4d2-4d8b-9148-e3be6c30e623}">
          <xlrd:rvb i="4912"/>
        </ext>
      </extLst>
    </bk>
    <bk>
      <extLst>
        <ext uri="{3e2802c4-a4d2-4d8b-9148-e3be6c30e623}">
          <xlrd:rvb i="4916"/>
        </ext>
      </extLst>
    </bk>
    <bk>
      <extLst>
        <ext uri="{3e2802c4-a4d2-4d8b-9148-e3be6c30e623}">
          <xlrd:rvb i="4924"/>
        </ext>
      </extLst>
    </bk>
    <bk>
      <extLst>
        <ext uri="{3e2802c4-a4d2-4d8b-9148-e3be6c30e623}">
          <xlrd:rvb i="4917"/>
        </ext>
      </extLst>
    </bk>
    <bk>
      <extLst>
        <ext uri="{3e2802c4-a4d2-4d8b-9148-e3be6c30e623}">
          <xlrd:rvb i="4966"/>
        </ext>
      </extLst>
    </bk>
    <bk>
      <extLst>
        <ext uri="{3e2802c4-a4d2-4d8b-9148-e3be6c30e623}">
          <xlrd:rvb i="4968"/>
        </ext>
      </extLst>
    </bk>
    <bk>
      <extLst>
        <ext uri="{3e2802c4-a4d2-4d8b-9148-e3be6c30e623}">
          <xlrd:rvb i="4969"/>
        </ext>
      </extLst>
    </bk>
    <bk>
      <extLst>
        <ext uri="{3e2802c4-a4d2-4d8b-9148-e3be6c30e623}">
          <xlrd:rvb i="4973"/>
        </ext>
      </extLst>
    </bk>
    <bk>
      <extLst>
        <ext uri="{3e2802c4-a4d2-4d8b-9148-e3be6c30e623}">
          <xlrd:rvb i="4980"/>
        </ext>
      </extLst>
    </bk>
    <bk>
      <extLst>
        <ext uri="{3e2802c4-a4d2-4d8b-9148-e3be6c30e623}">
          <xlrd:rvb i="4974"/>
        </ext>
      </extLst>
    </bk>
    <bk>
      <extLst>
        <ext uri="{3e2802c4-a4d2-4d8b-9148-e3be6c30e623}">
          <xlrd:rvb i="5012"/>
        </ext>
      </extLst>
    </bk>
    <bk>
      <extLst>
        <ext uri="{3e2802c4-a4d2-4d8b-9148-e3be6c30e623}">
          <xlrd:rvb i="5014"/>
        </ext>
      </extLst>
    </bk>
    <bk>
      <extLst>
        <ext uri="{3e2802c4-a4d2-4d8b-9148-e3be6c30e623}">
          <xlrd:rvb i="5015"/>
        </ext>
      </extLst>
    </bk>
    <bk>
      <extLst>
        <ext uri="{3e2802c4-a4d2-4d8b-9148-e3be6c30e623}">
          <xlrd:rvb i="5019"/>
        </ext>
      </extLst>
    </bk>
    <bk>
      <extLst>
        <ext uri="{3e2802c4-a4d2-4d8b-9148-e3be6c30e623}">
          <xlrd:rvb i="5026"/>
        </ext>
      </extLst>
    </bk>
    <bk>
      <extLst>
        <ext uri="{3e2802c4-a4d2-4d8b-9148-e3be6c30e623}">
          <xlrd:rvb i="5020"/>
        </ext>
      </extLst>
    </bk>
    <bk>
      <extLst>
        <ext uri="{3e2802c4-a4d2-4d8b-9148-e3be6c30e623}">
          <xlrd:rvb i="5068"/>
        </ext>
      </extLst>
    </bk>
    <bk>
      <extLst>
        <ext uri="{3e2802c4-a4d2-4d8b-9148-e3be6c30e623}">
          <xlrd:rvb i="5070"/>
        </ext>
      </extLst>
    </bk>
    <bk>
      <extLst>
        <ext uri="{3e2802c4-a4d2-4d8b-9148-e3be6c30e623}">
          <xlrd:rvb i="5071"/>
        </ext>
      </extLst>
    </bk>
    <bk>
      <extLst>
        <ext uri="{3e2802c4-a4d2-4d8b-9148-e3be6c30e623}">
          <xlrd:rvb i="5075"/>
        </ext>
      </extLst>
    </bk>
    <bk>
      <extLst>
        <ext uri="{3e2802c4-a4d2-4d8b-9148-e3be6c30e623}">
          <xlrd:rvb i="5080"/>
        </ext>
      </extLst>
    </bk>
    <bk>
      <extLst>
        <ext uri="{3e2802c4-a4d2-4d8b-9148-e3be6c30e623}">
          <xlrd:rvb i="5076"/>
        </ext>
      </extLst>
    </bk>
    <bk>
      <extLst>
        <ext uri="{3e2802c4-a4d2-4d8b-9148-e3be6c30e623}">
          <xlrd:rvb i="5107"/>
        </ext>
      </extLst>
    </bk>
    <bk>
      <extLst>
        <ext uri="{3e2802c4-a4d2-4d8b-9148-e3be6c30e623}">
          <xlrd:rvb i="5108"/>
        </ext>
      </extLst>
    </bk>
    <bk>
      <extLst>
        <ext uri="{3e2802c4-a4d2-4d8b-9148-e3be6c30e623}">
          <xlrd:rvb i="5110"/>
        </ext>
      </extLst>
    </bk>
    <bk>
      <extLst>
        <ext uri="{3e2802c4-a4d2-4d8b-9148-e3be6c30e623}">
          <xlrd:rvb i="5111"/>
        </ext>
      </extLst>
    </bk>
    <bk>
      <extLst>
        <ext uri="{3e2802c4-a4d2-4d8b-9148-e3be6c30e623}">
          <xlrd:rvb i="5116"/>
        </ext>
      </extLst>
    </bk>
    <bk>
      <extLst>
        <ext uri="{3e2802c4-a4d2-4d8b-9148-e3be6c30e623}">
          <xlrd:rvb i="5123"/>
        </ext>
      </extLst>
    </bk>
    <bk>
      <extLst>
        <ext uri="{3e2802c4-a4d2-4d8b-9148-e3be6c30e623}">
          <xlrd:rvb i="5117"/>
        </ext>
      </extLst>
    </bk>
    <bk>
      <extLst>
        <ext uri="{3e2802c4-a4d2-4d8b-9148-e3be6c30e623}">
          <xlrd:rvb i="5160"/>
        </ext>
      </extLst>
    </bk>
    <bk>
      <extLst>
        <ext uri="{3e2802c4-a4d2-4d8b-9148-e3be6c30e623}">
          <xlrd:rvb i="5162"/>
        </ext>
      </extLst>
    </bk>
    <bk>
      <extLst>
        <ext uri="{3e2802c4-a4d2-4d8b-9148-e3be6c30e623}">
          <xlrd:rvb i="5163"/>
        </ext>
      </extLst>
    </bk>
    <bk>
      <extLst>
        <ext uri="{3e2802c4-a4d2-4d8b-9148-e3be6c30e623}">
          <xlrd:rvb i="5168"/>
        </ext>
      </extLst>
    </bk>
    <bk>
      <extLst>
        <ext uri="{3e2802c4-a4d2-4d8b-9148-e3be6c30e623}">
          <xlrd:rvb i="5178"/>
        </ext>
      </extLst>
    </bk>
    <bk>
      <extLst>
        <ext uri="{3e2802c4-a4d2-4d8b-9148-e3be6c30e623}">
          <xlrd:rvb i="5169"/>
        </ext>
      </extLst>
    </bk>
    <bk>
      <extLst>
        <ext uri="{3e2802c4-a4d2-4d8b-9148-e3be6c30e623}">
          <xlrd:rvb i="5220"/>
        </ext>
      </extLst>
    </bk>
    <bk>
      <extLst>
        <ext uri="{3e2802c4-a4d2-4d8b-9148-e3be6c30e623}">
          <xlrd:rvb i="5222"/>
        </ext>
      </extLst>
    </bk>
    <bk>
      <extLst>
        <ext uri="{3e2802c4-a4d2-4d8b-9148-e3be6c30e623}">
          <xlrd:rvb i="5223"/>
        </ext>
      </extLst>
    </bk>
    <bk>
      <extLst>
        <ext uri="{3e2802c4-a4d2-4d8b-9148-e3be6c30e623}">
          <xlrd:rvb i="5228"/>
        </ext>
      </extLst>
    </bk>
    <bk>
      <extLst>
        <ext uri="{3e2802c4-a4d2-4d8b-9148-e3be6c30e623}">
          <xlrd:rvb i="5238"/>
        </ext>
      </extLst>
    </bk>
    <bk>
      <extLst>
        <ext uri="{3e2802c4-a4d2-4d8b-9148-e3be6c30e623}">
          <xlrd:rvb i="5229"/>
        </ext>
      </extLst>
    </bk>
    <bk>
      <extLst>
        <ext uri="{3e2802c4-a4d2-4d8b-9148-e3be6c30e623}">
          <xlrd:rvb i="5287"/>
        </ext>
      </extLst>
    </bk>
    <bk>
      <extLst>
        <ext uri="{3e2802c4-a4d2-4d8b-9148-e3be6c30e623}">
          <xlrd:rvb i="5289"/>
        </ext>
      </extLst>
    </bk>
    <bk>
      <extLst>
        <ext uri="{3e2802c4-a4d2-4d8b-9148-e3be6c30e623}">
          <xlrd:rvb i="5290"/>
        </ext>
      </extLst>
    </bk>
    <bk>
      <extLst>
        <ext uri="{3e2802c4-a4d2-4d8b-9148-e3be6c30e623}">
          <xlrd:rvb i="5294"/>
        </ext>
      </extLst>
    </bk>
    <bk>
      <extLst>
        <ext uri="{3e2802c4-a4d2-4d8b-9148-e3be6c30e623}">
          <xlrd:rvb i="5303"/>
        </ext>
      </extLst>
    </bk>
    <bk>
      <extLst>
        <ext uri="{3e2802c4-a4d2-4d8b-9148-e3be6c30e623}">
          <xlrd:rvb i="5295"/>
        </ext>
      </extLst>
    </bk>
    <bk>
      <extLst>
        <ext uri="{3e2802c4-a4d2-4d8b-9148-e3be6c30e623}">
          <xlrd:rvb i="5359"/>
        </ext>
      </extLst>
    </bk>
    <bk>
      <extLst>
        <ext uri="{3e2802c4-a4d2-4d8b-9148-e3be6c30e623}">
          <xlrd:rvb i="5361"/>
        </ext>
      </extLst>
    </bk>
    <bk>
      <extLst>
        <ext uri="{3e2802c4-a4d2-4d8b-9148-e3be6c30e623}">
          <xlrd:rvb i="5362"/>
        </ext>
      </extLst>
    </bk>
    <bk>
      <extLst>
        <ext uri="{3e2802c4-a4d2-4d8b-9148-e3be6c30e623}">
          <xlrd:rvb i="5366"/>
        </ext>
      </extLst>
    </bk>
    <bk>
      <extLst>
        <ext uri="{3e2802c4-a4d2-4d8b-9148-e3be6c30e623}">
          <xlrd:rvb i="5373"/>
        </ext>
      </extLst>
    </bk>
    <bk>
      <extLst>
        <ext uri="{3e2802c4-a4d2-4d8b-9148-e3be6c30e623}">
          <xlrd:rvb i="5367"/>
        </ext>
      </extLst>
    </bk>
    <bk>
      <extLst>
        <ext uri="{3e2802c4-a4d2-4d8b-9148-e3be6c30e623}">
          <xlrd:rvb i="5426"/>
        </ext>
      </extLst>
    </bk>
    <bk>
      <extLst>
        <ext uri="{3e2802c4-a4d2-4d8b-9148-e3be6c30e623}">
          <xlrd:rvb i="5428"/>
        </ext>
      </extLst>
    </bk>
    <bk>
      <extLst>
        <ext uri="{3e2802c4-a4d2-4d8b-9148-e3be6c30e623}">
          <xlrd:rvb i="5429"/>
        </ext>
      </extLst>
    </bk>
    <bk>
      <extLst>
        <ext uri="{3e2802c4-a4d2-4d8b-9148-e3be6c30e623}">
          <xlrd:rvb i="5433"/>
        </ext>
      </extLst>
    </bk>
    <bk>
      <extLst>
        <ext uri="{3e2802c4-a4d2-4d8b-9148-e3be6c30e623}">
          <xlrd:rvb i="5441"/>
        </ext>
      </extLst>
    </bk>
    <bk>
      <extLst>
        <ext uri="{3e2802c4-a4d2-4d8b-9148-e3be6c30e623}">
          <xlrd:rvb i="5434"/>
        </ext>
      </extLst>
    </bk>
    <bk>
      <extLst>
        <ext uri="{3e2802c4-a4d2-4d8b-9148-e3be6c30e623}">
          <xlrd:rvb i="5478"/>
        </ext>
      </extLst>
    </bk>
    <bk>
      <extLst>
        <ext uri="{3e2802c4-a4d2-4d8b-9148-e3be6c30e623}">
          <xlrd:rvb i="5480"/>
        </ext>
      </extLst>
    </bk>
    <bk>
      <extLst>
        <ext uri="{3e2802c4-a4d2-4d8b-9148-e3be6c30e623}">
          <xlrd:rvb i="5481"/>
        </ext>
      </extLst>
    </bk>
    <bk>
      <extLst>
        <ext uri="{3e2802c4-a4d2-4d8b-9148-e3be6c30e623}">
          <xlrd:rvb i="5486"/>
        </ext>
      </extLst>
    </bk>
    <bk>
      <extLst>
        <ext uri="{3e2802c4-a4d2-4d8b-9148-e3be6c30e623}">
          <xlrd:rvb i="5496"/>
        </ext>
      </extLst>
    </bk>
    <bk>
      <extLst>
        <ext uri="{3e2802c4-a4d2-4d8b-9148-e3be6c30e623}">
          <xlrd:rvb i="5516"/>
        </ext>
      </extLst>
    </bk>
    <bk>
      <extLst>
        <ext uri="{3e2802c4-a4d2-4d8b-9148-e3be6c30e623}">
          <xlrd:rvb i="5518"/>
        </ext>
      </extLst>
    </bk>
    <bk>
      <extLst>
        <ext uri="{3e2802c4-a4d2-4d8b-9148-e3be6c30e623}">
          <xlrd:rvb i="5519"/>
        </ext>
      </extLst>
    </bk>
    <bk>
      <extLst>
        <ext uri="{3e2802c4-a4d2-4d8b-9148-e3be6c30e623}">
          <xlrd:rvb i="5523"/>
        </ext>
      </extLst>
    </bk>
    <bk>
      <extLst>
        <ext uri="{3e2802c4-a4d2-4d8b-9148-e3be6c30e623}">
          <xlrd:rvb i="5533"/>
        </ext>
      </extLst>
    </bk>
    <bk>
      <extLst>
        <ext uri="{3e2802c4-a4d2-4d8b-9148-e3be6c30e623}">
          <xlrd:rvb i="5524"/>
        </ext>
      </extLst>
    </bk>
    <bk>
      <extLst>
        <ext uri="{3e2802c4-a4d2-4d8b-9148-e3be6c30e623}">
          <xlrd:rvb i="5579"/>
        </ext>
      </extLst>
    </bk>
    <bk>
      <extLst>
        <ext uri="{3e2802c4-a4d2-4d8b-9148-e3be6c30e623}">
          <xlrd:rvb i="5581"/>
        </ext>
      </extLst>
    </bk>
    <bk>
      <extLst>
        <ext uri="{3e2802c4-a4d2-4d8b-9148-e3be6c30e623}">
          <xlrd:rvb i="5582"/>
        </ext>
      </extLst>
    </bk>
    <bk>
      <extLst>
        <ext uri="{3e2802c4-a4d2-4d8b-9148-e3be6c30e623}">
          <xlrd:rvb i="5586"/>
        </ext>
      </extLst>
    </bk>
    <bk>
      <extLst>
        <ext uri="{3e2802c4-a4d2-4d8b-9148-e3be6c30e623}">
          <xlrd:rvb i="5594"/>
        </ext>
      </extLst>
    </bk>
    <bk>
      <extLst>
        <ext uri="{3e2802c4-a4d2-4d8b-9148-e3be6c30e623}">
          <xlrd:rvb i="5587"/>
        </ext>
      </extLst>
    </bk>
    <bk>
      <extLst>
        <ext uri="{3e2802c4-a4d2-4d8b-9148-e3be6c30e623}">
          <xlrd:rvb i="5754"/>
        </ext>
      </extLst>
    </bk>
    <bk>
      <extLst>
        <ext uri="{3e2802c4-a4d2-4d8b-9148-e3be6c30e623}">
          <xlrd:rvb i="5756"/>
        </ext>
      </extLst>
    </bk>
    <bk>
      <extLst>
        <ext uri="{3e2802c4-a4d2-4d8b-9148-e3be6c30e623}">
          <xlrd:rvb i="5757"/>
        </ext>
      </extLst>
    </bk>
    <bk>
      <extLst>
        <ext uri="{3e2802c4-a4d2-4d8b-9148-e3be6c30e623}">
          <xlrd:rvb i="5761"/>
        </ext>
      </extLst>
    </bk>
    <bk>
      <extLst>
        <ext uri="{3e2802c4-a4d2-4d8b-9148-e3be6c30e623}">
          <xlrd:rvb i="5768"/>
        </ext>
      </extLst>
    </bk>
    <bk>
      <extLst>
        <ext uri="{3e2802c4-a4d2-4d8b-9148-e3be6c30e623}">
          <xlrd:rvb i="5762"/>
        </ext>
      </extLst>
    </bk>
    <bk>
      <extLst>
        <ext uri="{3e2802c4-a4d2-4d8b-9148-e3be6c30e623}">
          <xlrd:rvb i="5807"/>
        </ext>
      </extLst>
    </bk>
    <bk>
      <extLst>
        <ext uri="{3e2802c4-a4d2-4d8b-9148-e3be6c30e623}">
          <xlrd:rvb i="5809"/>
        </ext>
      </extLst>
    </bk>
    <bk>
      <extLst>
        <ext uri="{3e2802c4-a4d2-4d8b-9148-e3be6c30e623}">
          <xlrd:rvb i="5810"/>
        </ext>
      </extLst>
    </bk>
    <bk>
      <extLst>
        <ext uri="{3e2802c4-a4d2-4d8b-9148-e3be6c30e623}">
          <xlrd:rvb i="5815"/>
        </ext>
      </extLst>
    </bk>
    <bk>
      <extLst>
        <ext uri="{3e2802c4-a4d2-4d8b-9148-e3be6c30e623}">
          <xlrd:rvb i="5821"/>
        </ext>
      </extLst>
    </bk>
    <bk>
      <extLst>
        <ext uri="{3e2802c4-a4d2-4d8b-9148-e3be6c30e623}">
          <xlrd:rvb i="5816"/>
        </ext>
      </extLst>
    </bk>
    <bk>
      <extLst>
        <ext uri="{3e2802c4-a4d2-4d8b-9148-e3be6c30e623}">
          <xlrd:rvb i="5864"/>
        </ext>
      </extLst>
    </bk>
    <bk>
      <extLst>
        <ext uri="{3e2802c4-a4d2-4d8b-9148-e3be6c30e623}">
          <xlrd:rvb i="5866"/>
        </ext>
      </extLst>
    </bk>
    <bk>
      <extLst>
        <ext uri="{3e2802c4-a4d2-4d8b-9148-e3be6c30e623}">
          <xlrd:rvb i="5867"/>
        </ext>
      </extLst>
    </bk>
    <bk>
      <extLst>
        <ext uri="{3e2802c4-a4d2-4d8b-9148-e3be6c30e623}">
          <xlrd:rvb i="5871"/>
        </ext>
      </extLst>
    </bk>
    <bk>
      <extLst>
        <ext uri="{3e2802c4-a4d2-4d8b-9148-e3be6c30e623}">
          <xlrd:rvb i="5881"/>
        </ext>
      </extLst>
    </bk>
    <bk>
      <extLst>
        <ext uri="{3e2802c4-a4d2-4d8b-9148-e3be6c30e623}">
          <xlrd:rvb i="5886"/>
        </ext>
      </extLst>
    </bk>
    <bk>
      <extLst>
        <ext uri="{3e2802c4-a4d2-4d8b-9148-e3be6c30e623}">
          <xlrd:rvb i="5936"/>
        </ext>
      </extLst>
    </bk>
    <bk>
      <extLst>
        <ext uri="{3e2802c4-a4d2-4d8b-9148-e3be6c30e623}">
          <xlrd:rvb i="5872"/>
        </ext>
      </extLst>
    </bk>
    <bk>
      <extLst>
        <ext uri="{3e2802c4-a4d2-4d8b-9148-e3be6c30e623}">
          <xlrd:rvb i="5938"/>
        </ext>
      </extLst>
    </bk>
    <bk>
      <extLst>
        <ext uri="{3e2802c4-a4d2-4d8b-9148-e3be6c30e623}">
          <xlrd:rvb i="5939"/>
        </ext>
      </extLst>
    </bk>
    <bk>
      <extLst>
        <ext uri="{3e2802c4-a4d2-4d8b-9148-e3be6c30e623}">
          <xlrd:rvb i="5944"/>
        </ext>
      </extLst>
    </bk>
    <bk>
      <extLst>
        <ext uri="{3e2802c4-a4d2-4d8b-9148-e3be6c30e623}">
          <xlrd:rvb i="5954"/>
        </ext>
      </extLst>
    </bk>
    <bk>
      <extLst>
        <ext uri="{3e2802c4-a4d2-4d8b-9148-e3be6c30e623}">
          <xlrd:rvb i="5945"/>
        </ext>
      </extLst>
    </bk>
    <bk>
      <extLst>
        <ext uri="{3e2802c4-a4d2-4d8b-9148-e3be6c30e623}">
          <xlrd:rvb i="6005"/>
        </ext>
      </extLst>
    </bk>
    <bk>
      <extLst>
        <ext uri="{3e2802c4-a4d2-4d8b-9148-e3be6c30e623}">
          <xlrd:rvb i="6007"/>
        </ext>
      </extLst>
    </bk>
    <bk>
      <extLst>
        <ext uri="{3e2802c4-a4d2-4d8b-9148-e3be6c30e623}">
          <xlrd:rvb i="6008"/>
        </ext>
      </extLst>
    </bk>
    <bk>
      <extLst>
        <ext uri="{3e2802c4-a4d2-4d8b-9148-e3be6c30e623}">
          <xlrd:rvb i="6012"/>
        </ext>
      </extLst>
    </bk>
    <bk>
      <extLst>
        <ext uri="{3e2802c4-a4d2-4d8b-9148-e3be6c30e623}">
          <xlrd:rvb i="6021"/>
        </ext>
      </extLst>
    </bk>
    <bk>
      <extLst>
        <ext uri="{3e2802c4-a4d2-4d8b-9148-e3be6c30e623}">
          <xlrd:rvb i="6013"/>
        </ext>
      </extLst>
    </bk>
    <bk>
      <extLst>
        <ext uri="{3e2802c4-a4d2-4d8b-9148-e3be6c30e623}">
          <xlrd:rvb i="6054"/>
        </ext>
      </extLst>
    </bk>
    <bk>
      <extLst>
        <ext uri="{3e2802c4-a4d2-4d8b-9148-e3be6c30e623}">
          <xlrd:rvb i="6056"/>
        </ext>
      </extLst>
    </bk>
    <bk>
      <extLst>
        <ext uri="{3e2802c4-a4d2-4d8b-9148-e3be6c30e623}">
          <xlrd:rvb i="6057"/>
        </ext>
      </extLst>
    </bk>
    <bk>
      <extLst>
        <ext uri="{3e2802c4-a4d2-4d8b-9148-e3be6c30e623}">
          <xlrd:rvb i="6062"/>
        </ext>
      </extLst>
    </bk>
    <bk>
      <extLst>
        <ext uri="{3e2802c4-a4d2-4d8b-9148-e3be6c30e623}">
          <xlrd:rvb i="6071"/>
        </ext>
      </extLst>
    </bk>
    <bk>
      <extLst>
        <ext uri="{3e2802c4-a4d2-4d8b-9148-e3be6c30e623}">
          <xlrd:rvb i="6063"/>
        </ext>
      </extLst>
    </bk>
    <bk>
      <extLst>
        <ext uri="{3e2802c4-a4d2-4d8b-9148-e3be6c30e623}">
          <xlrd:rvb i="6123"/>
        </ext>
      </extLst>
    </bk>
    <bk>
      <extLst>
        <ext uri="{3e2802c4-a4d2-4d8b-9148-e3be6c30e623}">
          <xlrd:rvb i="6125"/>
        </ext>
      </extLst>
    </bk>
    <bk>
      <extLst>
        <ext uri="{3e2802c4-a4d2-4d8b-9148-e3be6c30e623}">
          <xlrd:rvb i="6126"/>
        </ext>
      </extLst>
    </bk>
    <bk>
      <extLst>
        <ext uri="{3e2802c4-a4d2-4d8b-9148-e3be6c30e623}">
          <xlrd:rvb i="6131"/>
        </ext>
      </extLst>
    </bk>
    <bk>
      <extLst>
        <ext uri="{3e2802c4-a4d2-4d8b-9148-e3be6c30e623}">
          <xlrd:rvb i="6140"/>
        </ext>
      </extLst>
    </bk>
    <bk>
      <extLst>
        <ext uri="{3e2802c4-a4d2-4d8b-9148-e3be6c30e623}">
          <xlrd:rvb i="6132"/>
        </ext>
      </extLst>
    </bk>
    <bk>
      <extLst>
        <ext uri="{3e2802c4-a4d2-4d8b-9148-e3be6c30e623}">
          <xlrd:rvb i="6184"/>
        </ext>
      </extLst>
    </bk>
    <bk>
      <extLst>
        <ext uri="{3e2802c4-a4d2-4d8b-9148-e3be6c30e623}">
          <xlrd:rvb i="6186"/>
        </ext>
      </extLst>
    </bk>
    <bk>
      <extLst>
        <ext uri="{3e2802c4-a4d2-4d8b-9148-e3be6c30e623}">
          <xlrd:rvb i="6187"/>
        </ext>
      </extLst>
    </bk>
    <bk>
      <extLst>
        <ext uri="{3e2802c4-a4d2-4d8b-9148-e3be6c30e623}">
          <xlrd:rvb i="6192"/>
        </ext>
      </extLst>
    </bk>
    <bk>
      <extLst>
        <ext uri="{3e2802c4-a4d2-4d8b-9148-e3be6c30e623}">
          <xlrd:rvb i="6201"/>
        </ext>
      </extLst>
    </bk>
    <bk>
      <extLst>
        <ext uri="{3e2802c4-a4d2-4d8b-9148-e3be6c30e623}">
          <xlrd:rvb i="6193"/>
        </ext>
      </extLst>
    </bk>
    <bk>
      <extLst>
        <ext uri="{3e2802c4-a4d2-4d8b-9148-e3be6c30e623}">
          <xlrd:rvb i="6245"/>
        </ext>
      </extLst>
    </bk>
    <bk>
      <extLst>
        <ext uri="{3e2802c4-a4d2-4d8b-9148-e3be6c30e623}">
          <xlrd:rvb i="6247"/>
        </ext>
      </extLst>
    </bk>
    <bk>
      <extLst>
        <ext uri="{3e2802c4-a4d2-4d8b-9148-e3be6c30e623}">
          <xlrd:rvb i="6248"/>
        </ext>
      </extLst>
    </bk>
    <bk>
      <extLst>
        <ext uri="{3e2802c4-a4d2-4d8b-9148-e3be6c30e623}">
          <xlrd:rvb i="6252"/>
        </ext>
      </extLst>
    </bk>
    <bk>
      <extLst>
        <ext uri="{3e2802c4-a4d2-4d8b-9148-e3be6c30e623}">
          <xlrd:rvb i="6262"/>
        </ext>
      </extLst>
    </bk>
    <bk>
      <extLst>
        <ext uri="{3e2802c4-a4d2-4d8b-9148-e3be6c30e623}">
          <xlrd:rvb i="6253"/>
        </ext>
      </extLst>
    </bk>
    <bk>
      <extLst>
        <ext uri="{3e2802c4-a4d2-4d8b-9148-e3be6c30e623}">
          <xlrd:rvb i="6302"/>
        </ext>
      </extLst>
    </bk>
    <bk>
      <extLst>
        <ext uri="{3e2802c4-a4d2-4d8b-9148-e3be6c30e623}">
          <xlrd:rvb i="6304"/>
        </ext>
      </extLst>
    </bk>
    <bk>
      <extLst>
        <ext uri="{3e2802c4-a4d2-4d8b-9148-e3be6c30e623}">
          <xlrd:rvb i="6305"/>
        </ext>
      </extLst>
    </bk>
    <bk>
      <extLst>
        <ext uri="{3e2802c4-a4d2-4d8b-9148-e3be6c30e623}">
          <xlrd:rvb i="6309"/>
        </ext>
      </extLst>
    </bk>
    <bk>
      <extLst>
        <ext uri="{3e2802c4-a4d2-4d8b-9148-e3be6c30e623}">
          <xlrd:rvb i="6319"/>
        </ext>
      </extLst>
    </bk>
    <bk>
      <extLst>
        <ext uri="{3e2802c4-a4d2-4d8b-9148-e3be6c30e623}">
          <xlrd:rvb i="6310"/>
        </ext>
      </extLst>
    </bk>
    <bk>
      <extLst>
        <ext uri="{3e2802c4-a4d2-4d8b-9148-e3be6c30e623}">
          <xlrd:rvb i="6374"/>
        </ext>
      </extLst>
    </bk>
    <bk>
      <extLst>
        <ext uri="{3e2802c4-a4d2-4d8b-9148-e3be6c30e623}">
          <xlrd:rvb i="6376"/>
        </ext>
      </extLst>
    </bk>
    <bk>
      <extLst>
        <ext uri="{3e2802c4-a4d2-4d8b-9148-e3be6c30e623}">
          <xlrd:rvb i="6377"/>
        </ext>
      </extLst>
    </bk>
    <bk>
      <extLst>
        <ext uri="{3e2802c4-a4d2-4d8b-9148-e3be6c30e623}">
          <xlrd:rvb i="6380"/>
        </ext>
      </extLst>
    </bk>
    <bk>
      <extLst>
        <ext uri="{3e2802c4-a4d2-4d8b-9148-e3be6c30e623}">
          <xlrd:rvb i="6389"/>
        </ext>
      </extLst>
    </bk>
    <bk>
      <extLst>
        <ext uri="{3e2802c4-a4d2-4d8b-9148-e3be6c30e623}">
          <xlrd:rvb i="6394"/>
        </ext>
      </extLst>
    </bk>
    <bk>
      <extLst>
        <ext uri="{3e2802c4-a4d2-4d8b-9148-e3be6c30e623}">
          <xlrd:rvb i="6465"/>
        </ext>
      </extLst>
    </bk>
    <bk>
      <extLst>
        <ext uri="{3e2802c4-a4d2-4d8b-9148-e3be6c30e623}">
          <xlrd:rvb i="6381"/>
        </ext>
      </extLst>
    </bk>
    <bk>
      <extLst>
        <ext uri="{3e2802c4-a4d2-4d8b-9148-e3be6c30e623}">
          <xlrd:rvb i="6467"/>
        </ext>
      </extLst>
    </bk>
    <bk>
      <extLst>
        <ext uri="{3e2802c4-a4d2-4d8b-9148-e3be6c30e623}">
          <xlrd:rvb i="6468"/>
        </ext>
      </extLst>
    </bk>
    <bk>
      <extLst>
        <ext uri="{3e2802c4-a4d2-4d8b-9148-e3be6c30e623}">
          <xlrd:rvb i="6473"/>
        </ext>
      </extLst>
    </bk>
    <bk>
      <extLst>
        <ext uri="{3e2802c4-a4d2-4d8b-9148-e3be6c30e623}">
          <xlrd:rvb i="6482"/>
        </ext>
      </extLst>
    </bk>
    <bk>
      <extLst>
        <ext uri="{3e2802c4-a4d2-4d8b-9148-e3be6c30e623}">
          <xlrd:rvb i="6474"/>
        </ext>
      </extLst>
    </bk>
    <bk>
      <extLst>
        <ext uri="{3e2802c4-a4d2-4d8b-9148-e3be6c30e623}">
          <xlrd:rvb i="6528"/>
        </ext>
      </extLst>
    </bk>
    <bk>
      <extLst>
        <ext uri="{3e2802c4-a4d2-4d8b-9148-e3be6c30e623}">
          <xlrd:rvb i="6530"/>
        </ext>
      </extLst>
    </bk>
    <bk>
      <extLst>
        <ext uri="{3e2802c4-a4d2-4d8b-9148-e3be6c30e623}">
          <xlrd:rvb i="6531"/>
        </ext>
      </extLst>
    </bk>
    <bk>
      <extLst>
        <ext uri="{3e2802c4-a4d2-4d8b-9148-e3be6c30e623}">
          <xlrd:rvb i="6533"/>
        </ext>
      </extLst>
    </bk>
    <bk>
      <extLst>
        <ext uri="{3e2802c4-a4d2-4d8b-9148-e3be6c30e623}">
          <xlrd:rvb i="6535"/>
        </ext>
      </extLst>
    </bk>
    <bk>
      <extLst>
        <ext uri="{3e2802c4-a4d2-4d8b-9148-e3be6c30e623}">
          <xlrd:rvb i="6537"/>
        </ext>
      </extLst>
    </bk>
    <bk>
      <extLst>
        <ext uri="{3e2802c4-a4d2-4d8b-9148-e3be6c30e623}">
          <xlrd:rvb i="6570"/>
        </ext>
      </extLst>
    </bk>
    <bk>
      <extLst>
        <ext uri="{3e2802c4-a4d2-4d8b-9148-e3be6c30e623}">
          <xlrd:rvb i="6534"/>
        </ext>
      </extLst>
    </bk>
    <bk>
      <extLst>
        <ext uri="{3e2802c4-a4d2-4d8b-9148-e3be6c30e623}">
          <xlrd:rvb i="6572"/>
        </ext>
      </extLst>
    </bk>
    <bk>
      <extLst>
        <ext uri="{3e2802c4-a4d2-4d8b-9148-e3be6c30e623}">
          <xlrd:rvb i="6573"/>
        </ext>
      </extLst>
    </bk>
    <bk>
      <extLst>
        <ext uri="{3e2802c4-a4d2-4d8b-9148-e3be6c30e623}">
          <xlrd:rvb i="6578"/>
        </ext>
      </extLst>
    </bk>
    <bk>
      <extLst>
        <ext uri="{3e2802c4-a4d2-4d8b-9148-e3be6c30e623}">
          <xlrd:rvb i="6588"/>
        </ext>
      </extLst>
    </bk>
    <bk>
      <extLst>
        <ext uri="{3e2802c4-a4d2-4d8b-9148-e3be6c30e623}">
          <xlrd:rvb i="6579"/>
        </ext>
      </extLst>
    </bk>
    <bk>
      <extLst>
        <ext uri="{3e2802c4-a4d2-4d8b-9148-e3be6c30e623}">
          <xlrd:rvb i="6621"/>
        </ext>
      </extLst>
    </bk>
    <bk>
      <extLst>
        <ext uri="{3e2802c4-a4d2-4d8b-9148-e3be6c30e623}">
          <xlrd:rvb i="6623"/>
        </ext>
      </extLst>
    </bk>
    <bk>
      <extLst>
        <ext uri="{3e2802c4-a4d2-4d8b-9148-e3be6c30e623}">
          <xlrd:rvb i="6624"/>
        </ext>
      </extLst>
    </bk>
    <bk>
      <extLst>
        <ext uri="{3e2802c4-a4d2-4d8b-9148-e3be6c30e623}">
          <xlrd:rvb i="6629"/>
        </ext>
      </extLst>
    </bk>
    <bk>
      <extLst>
        <ext uri="{3e2802c4-a4d2-4d8b-9148-e3be6c30e623}">
          <xlrd:rvb i="6639"/>
        </ext>
      </extLst>
    </bk>
    <bk>
      <extLst>
        <ext uri="{3e2802c4-a4d2-4d8b-9148-e3be6c30e623}">
          <xlrd:rvb i="6643"/>
        </ext>
      </extLst>
    </bk>
    <bk>
      <extLst>
        <ext uri="{3e2802c4-a4d2-4d8b-9148-e3be6c30e623}">
          <xlrd:rvb i="6719"/>
        </ext>
      </extLst>
    </bk>
    <bk>
      <extLst>
        <ext uri="{3e2802c4-a4d2-4d8b-9148-e3be6c30e623}">
          <xlrd:rvb i="6630"/>
        </ext>
      </extLst>
    </bk>
    <bk>
      <extLst>
        <ext uri="{3e2802c4-a4d2-4d8b-9148-e3be6c30e623}">
          <xlrd:rvb i="6721"/>
        </ext>
      </extLst>
    </bk>
    <bk>
      <extLst>
        <ext uri="{3e2802c4-a4d2-4d8b-9148-e3be6c30e623}">
          <xlrd:rvb i="6722"/>
        </ext>
      </extLst>
    </bk>
    <bk>
      <extLst>
        <ext uri="{3e2802c4-a4d2-4d8b-9148-e3be6c30e623}">
          <xlrd:rvb i="6727"/>
        </ext>
      </extLst>
    </bk>
    <bk>
      <extLst>
        <ext uri="{3e2802c4-a4d2-4d8b-9148-e3be6c30e623}">
          <xlrd:rvb i="6736"/>
        </ext>
      </extLst>
    </bk>
    <bk>
      <extLst>
        <ext uri="{3e2802c4-a4d2-4d8b-9148-e3be6c30e623}">
          <xlrd:rvb i="6728"/>
        </ext>
      </extLst>
    </bk>
    <bk>
      <extLst>
        <ext uri="{3e2802c4-a4d2-4d8b-9148-e3be6c30e623}">
          <xlrd:rvb i="6842"/>
        </ext>
      </extLst>
    </bk>
    <bk>
      <extLst>
        <ext uri="{3e2802c4-a4d2-4d8b-9148-e3be6c30e623}">
          <xlrd:rvb i="6844"/>
        </ext>
      </extLst>
    </bk>
    <bk>
      <extLst>
        <ext uri="{3e2802c4-a4d2-4d8b-9148-e3be6c30e623}">
          <xlrd:rvb i="6845"/>
        </ext>
      </extLst>
    </bk>
    <bk>
      <extLst>
        <ext uri="{3e2802c4-a4d2-4d8b-9148-e3be6c30e623}">
          <xlrd:rvb i="6849"/>
        </ext>
      </extLst>
    </bk>
    <bk>
      <extLst>
        <ext uri="{3e2802c4-a4d2-4d8b-9148-e3be6c30e623}">
          <xlrd:rvb i="6858"/>
        </ext>
      </extLst>
    </bk>
    <bk>
      <extLst>
        <ext uri="{3e2802c4-a4d2-4d8b-9148-e3be6c30e623}">
          <xlrd:rvb i="6850"/>
        </ext>
      </extLst>
    </bk>
    <bk>
      <extLst>
        <ext uri="{3e2802c4-a4d2-4d8b-9148-e3be6c30e623}">
          <xlrd:rvb i="6896"/>
        </ext>
      </extLst>
    </bk>
    <bk>
      <extLst>
        <ext uri="{3e2802c4-a4d2-4d8b-9148-e3be6c30e623}">
          <xlrd:rvb i="6898"/>
        </ext>
      </extLst>
    </bk>
    <bk>
      <extLst>
        <ext uri="{3e2802c4-a4d2-4d8b-9148-e3be6c30e623}">
          <xlrd:rvb i="6899"/>
        </ext>
      </extLst>
    </bk>
    <bk>
      <extLst>
        <ext uri="{3e2802c4-a4d2-4d8b-9148-e3be6c30e623}">
          <xlrd:rvb i="6903"/>
        </ext>
      </extLst>
    </bk>
    <bk>
      <extLst>
        <ext uri="{3e2802c4-a4d2-4d8b-9148-e3be6c30e623}">
          <xlrd:rvb i="6909"/>
        </ext>
      </extLst>
    </bk>
    <bk>
      <extLst>
        <ext uri="{3e2802c4-a4d2-4d8b-9148-e3be6c30e623}">
          <xlrd:rvb i="6904"/>
        </ext>
      </extLst>
    </bk>
    <bk>
      <extLst>
        <ext uri="{3e2802c4-a4d2-4d8b-9148-e3be6c30e623}">
          <xlrd:rvb i="6935"/>
        </ext>
      </extLst>
    </bk>
    <bk>
      <extLst>
        <ext uri="{3e2802c4-a4d2-4d8b-9148-e3be6c30e623}">
          <xlrd:rvb i="6937"/>
        </ext>
      </extLst>
    </bk>
    <bk>
      <extLst>
        <ext uri="{3e2802c4-a4d2-4d8b-9148-e3be6c30e623}">
          <xlrd:rvb i="6938"/>
        </ext>
      </extLst>
    </bk>
    <bk>
      <extLst>
        <ext uri="{3e2802c4-a4d2-4d8b-9148-e3be6c30e623}">
          <xlrd:rvb i="6942"/>
        </ext>
      </extLst>
    </bk>
    <bk>
      <extLst>
        <ext uri="{3e2802c4-a4d2-4d8b-9148-e3be6c30e623}">
          <xlrd:rvb i="6951"/>
        </ext>
      </extLst>
    </bk>
    <bk>
      <extLst>
        <ext uri="{3e2802c4-a4d2-4d8b-9148-e3be6c30e623}">
          <xlrd:rvb i="6956"/>
        </ext>
      </extLst>
    </bk>
    <bk>
      <extLst>
        <ext uri="{3e2802c4-a4d2-4d8b-9148-e3be6c30e623}">
          <xlrd:rvb i="7005"/>
        </ext>
      </extLst>
    </bk>
    <bk>
      <extLst>
        <ext uri="{3e2802c4-a4d2-4d8b-9148-e3be6c30e623}">
          <xlrd:rvb i="6943"/>
        </ext>
      </extLst>
    </bk>
    <bk>
      <extLst>
        <ext uri="{3e2802c4-a4d2-4d8b-9148-e3be6c30e623}">
          <xlrd:rvb i="7006"/>
        </ext>
      </extLst>
    </bk>
    <bk>
      <extLst>
        <ext uri="{3e2802c4-a4d2-4d8b-9148-e3be6c30e623}">
          <xlrd:rvb i="7011"/>
        </ext>
      </extLst>
    </bk>
    <bk>
      <extLst>
        <ext uri="{3e2802c4-a4d2-4d8b-9148-e3be6c30e623}">
          <xlrd:rvb i="7020"/>
        </ext>
      </extLst>
    </bk>
    <bk>
      <extLst>
        <ext uri="{3e2802c4-a4d2-4d8b-9148-e3be6c30e623}">
          <xlrd:rvb i="7012"/>
        </ext>
      </extLst>
    </bk>
    <bk>
      <extLst>
        <ext uri="{3e2802c4-a4d2-4d8b-9148-e3be6c30e623}">
          <xlrd:rvb i="7076"/>
        </ext>
      </extLst>
    </bk>
    <bk>
      <extLst>
        <ext uri="{3e2802c4-a4d2-4d8b-9148-e3be6c30e623}">
          <xlrd:rvb i="7077"/>
        </ext>
      </extLst>
    </bk>
    <bk>
      <extLst>
        <ext uri="{3e2802c4-a4d2-4d8b-9148-e3be6c30e623}">
          <xlrd:rvb i="7082"/>
        </ext>
      </extLst>
    </bk>
    <bk>
      <extLst>
        <ext uri="{3e2802c4-a4d2-4d8b-9148-e3be6c30e623}">
          <xlrd:rvb i="7091"/>
        </ext>
      </extLst>
    </bk>
    <bk>
      <extLst>
        <ext uri="{3e2802c4-a4d2-4d8b-9148-e3be6c30e623}">
          <xlrd:rvb i="7096"/>
        </ext>
      </extLst>
    </bk>
    <bk>
      <extLst>
        <ext uri="{3e2802c4-a4d2-4d8b-9148-e3be6c30e623}">
          <xlrd:rvb i="7217"/>
        </ext>
      </extLst>
    </bk>
    <bk>
      <extLst>
        <ext uri="{3e2802c4-a4d2-4d8b-9148-e3be6c30e623}">
          <xlrd:rvb i="7083"/>
        </ext>
      </extLst>
    </bk>
    <bk>
      <extLst>
        <ext uri="{3e2802c4-a4d2-4d8b-9148-e3be6c30e623}">
          <xlrd:rvb i="7219"/>
        </ext>
      </extLst>
    </bk>
    <bk>
      <extLst>
        <ext uri="{3e2802c4-a4d2-4d8b-9148-e3be6c30e623}">
          <xlrd:rvb i="7220"/>
        </ext>
      </extLst>
    </bk>
    <bk>
      <extLst>
        <ext uri="{3e2802c4-a4d2-4d8b-9148-e3be6c30e623}">
          <xlrd:rvb i="7225"/>
        </ext>
      </extLst>
    </bk>
    <bk>
      <extLst>
        <ext uri="{3e2802c4-a4d2-4d8b-9148-e3be6c30e623}">
          <xlrd:rvb i="7231"/>
        </ext>
      </extLst>
    </bk>
    <bk>
      <extLst>
        <ext uri="{3e2802c4-a4d2-4d8b-9148-e3be6c30e623}">
          <xlrd:rvb i="7226"/>
        </ext>
      </extLst>
    </bk>
    <bk>
      <extLst>
        <ext uri="{3e2802c4-a4d2-4d8b-9148-e3be6c30e623}">
          <xlrd:rvb i="7262"/>
        </ext>
      </extLst>
    </bk>
    <bk>
      <extLst>
        <ext uri="{3e2802c4-a4d2-4d8b-9148-e3be6c30e623}">
          <xlrd:rvb i="7264"/>
        </ext>
      </extLst>
    </bk>
    <bk>
      <extLst>
        <ext uri="{3e2802c4-a4d2-4d8b-9148-e3be6c30e623}">
          <xlrd:rvb i="7265"/>
        </ext>
      </extLst>
    </bk>
    <bk>
      <extLst>
        <ext uri="{3e2802c4-a4d2-4d8b-9148-e3be6c30e623}">
          <xlrd:rvb i="7268"/>
        </ext>
      </extLst>
    </bk>
    <bk>
      <extLst>
        <ext uri="{3e2802c4-a4d2-4d8b-9148-e3be6c30e623}">
          <xlrd:rvb i="7272"/>
        </ext>
      </extLst>
    </bk>
    <bk>
      <extLst>
        <ext uri="{3e2802c4-a4d2-4d8b-9148-e3be6c30e623}">
          <xlrd:rvb i="7269"/>
        </ext>
      </extLst>
    </bk>
    <bk>
      <extLst>
        <ext uri="{3e2802c4-a4d2-4d8b-9148-e3be6c30e623}">
          <xlrd:rvb i="7293"/>
        </ext>
      </extLst>
    </bk>
    <bk>
      <extLst>
        <ext uri="{3e2802c4-a4d2-4d8b-9148-e3be6c30e623}">
          <xlrd:rvb i="7294"/>
        </ext>
      </extLst>
    </bk>
    <bk>
      <extLst>
        <ext uri="{3e2802c4-a4d2-4d8b-9148-e3be6c30e623}">
          <xlrd:rvb i="7299"/>
        </ext>
      </extLst>
    </bk>
    <bk>
      <extLst>
        <ext uri="{3e2802c4-a4d2-4d8b-9148-e3be6c30e623}">
          <xlrd:rvb i="7307"/>
        </ext>
      </extLst>
    </bk>
    <bk>
      <extLst>
        <ext uri="{3e2802c4-a4d2-4d8b-9148-e3be6c30e623}">
          <xlrd:rvb i="7300"/>
        </ext>
      </extLst>
    </bk>
    <bk>
      <extLst>
        <ext uri="{3e2802c4-a4d2-4d8b-9148-e3be6c30e623}">
          <xlrd:rvb i="7450"/>
        </ext>
      </extLst>
    </bk>
    <bk>
      <extLst>
        <ext uri="{3e2802c4-a4d2-4d8b-9148-e3be6c30e623}">
          <xlrd:rvb i="7451"/>
        </ext>
      </extLst>
    </bk>
    <bk>
      <extLst>
        <ext uri="{3e2802c4-a4d2-4d8b-9148-e3be6c30e623}">
          <xlrd:rvb i="7456"/>
        </ext>
      </extLst>
    </bk>
    <bk>
      <extLst>
        <ext uri="{3e2802c4-a4d2-4d8b-9148-e3be6c30e623}">
          <xlrd:rvb i="7465"/>
        </ext>
      </extLst>
    </bk>
    <bk>
      <extLst>
        <ext uri="{3e2802c4-a4d2-4d8b-9148-e3be6c30e623}">
          <xlrd:rvb i="7457"/>
        </ext>
      </extLst>
    </bk>
    <bk>
      <extLst>
        <ext uri="{3e2802c4-a4d2-4d8b-9148-e3be6c30e623}">
          <xlrd:rvb i="7522"/>
        </ext>
      </extLst>
    </bk>
    <bk>
      <extLst>
        <ext uri="{3e2802c4-a4d2-4d8b-9148-e3be6c30e623}">
          <xlrd:rvb i="7523"/>
        </ext>
      </extLst>
    </bk>
    <bk>
      <extLst>
        <ext uri="{3e2802c4-a4d2-4d8b-9148-e3be6c30e623}">
          <xlrd:rvb i="7528"/>
        </ext>
      </extLst>
    </bk>
    <bk>
      <extLst>
        <ext uri="{3e2802c4-a4d2-4d8b-9148-e3be6c30e623}">
          <xlrd:rvb i="7537"/>
        </ext>
      </extLst>
    </bk>
    <bk>
      <extLst>
        <ext uri="{3e2802c4-a4d2-4d8b-9148-e3be6c30e623}">
          <xlrd:rvb i="7542"/>
        </ext>
      </extLst>
    </bk>
    <bk>
      <extLst>
        <ext uri="{3e2802c4-a4d2-4d8b-9148-e3be6c30e623}">
          <xlrd:rvb i="7575"/>
        </ext>
      </extLst>
    </bk>
    <bk>
      <extLst>
        <ext uri="{3e2802c4-a4d2-4d8b-9148-e3be6c30e623}">
          <xlrd:rvb i="7529"/>
        </ext>
      </extLst>
    </bk>
    <bk>
      <extLst>
        <ext uri="{3e2802c4-a4d2-4d8b-9148-e3be6c30e623}">
          <xlrd:rvb i="7576"/>
        </ext>
      </extLst>
    </bk>
    <bk>
      <extLst>
        <ext uri="{3e2802c4-a4d2-4d8b-9148-e3be6c30e623}">
          <xlrd:rvb i="7581"/>
        </ext>
      </extLst>
    </bk>
    <bk>
      <extLst>
        <ext uri="{3e2802c4-a4d2-4d8b-9148-e3be6c30e623}">
          <xlrd:rvb i="7591"/>
        </ext>
      </extLst>
    </bk>
    <bk>
      <extLst>
        <ext uri="{3e2802c4-a4d2-4d8b-9148-e3be6c30e623}">
          <xlrd:rvb i="7582"/>
        </ext>
      </extLst>
    </bk>
    <bk>
      <extLst>
        <ext uri="{3e2802c4-a4d2-4d8b-9148-e3be6c30e623}">
          <xlrd:rvb i="7628"/>
        </ext>
      </extLst>
    </bk>
    <bk>
      <extLst>
        <ext uri="{3e2802c4-a4d2-4d8b-9148-e3be6c30e623}">
          <xlrd:rvb i="7630"/>
        </ext>
      </extLst>
    </bk>
    <bk>
      <extLst>
        <ext uri="{3e2802c4-a4d2-4d8b-9148-e3be6c30e623}">
          <xlrd:rvb i="7631"/>
        </ext>
      </extLst>
    </bk>
    <bk>
      <extLst>
        <ext uri="{3e2802c4-a4d2-4d8b-9148-e3be6c30e623}">
          <xlrd:rvb i="7636"/>
        </ext>
      </extLst>
    </bk>
    <bk>
      <extLst>
        <ext uri="{3e2802c4-a4d2-4d8b-9148-e3be6c30e623}">
          <xlrd:rvb i="7644"/>
        </ext>
      </extLst>
    </bk>
    <bk>
      <extLst>
        <ext uri="{3e2802c4-a4d2-4d8b-9148-e3be6c30e623}">
          <xlrd:rvb i="7649"/>
        </ext>
      </extLst>
    </bk>
    <bk>
      <extLst>
        <ext uri="{3e2802c4-a4d2-4d8b-9148-e3be6c30e623}">
          <xlrd:rvb i="7757"/>
        </ext>
      </extLst>
    </bk>
    <bk>
      <extLst>
        <ext uri="{3e2802c4-a4d2-4d8b-9148-e3be6c30e623}">
          <xlrd:rvb i="7637"/>
        </ext>
      </extLst>
    </bk>
    <bk>
      <extLst>
        <ext uri="{3e2802c4-a4d2-4d8b-9148-e3be6c30e623}">
          <xlrd:rvb i="7759"/>
        </ext>
      </extLst>
    </bk>
    <bk>
      <extLst>
        <ext uri="{3e2802c4-a4d2-4d8b-9148-e3be6c30e623}">
          <xlrd:rvb i="7760"/>
        </ext>
      </extLst>
    </bk>
    <bk>
      <extLst>
        <ext uri="{3e2802c4-a4d2-4d8b-9148-e3be6c30e623}">
          <xlrd:rvb i="7764"/>
        </ext>
      </extLst>
    </bk>
    <bk>
      <extLst>
        <ext uri="{3e2802c4-a4d2-4d8b-9148-e3be6c30e623}">
          <xlrd:rvb i="7774"/>
        </ext>
      </extLst>
    </bk>
    <bk>
      <extLst>
        <ext uri="{3e2802c4-a4d2-4d8b-9148-e3be6c30e623}">
          <xlrd:rvb i="7765"/>
        </ext>
      </extLst>
    </bk>
    <bk>
      <extLst>
        <ext uri="{3e2802c4-a4d2-4d8b-9148-e3be6c30e623}">
          <xlrd:rvb i="7821"/>
        </ext>
      </extLst>
    </bk>
    <bk>
      <extLst>
        <ext uri="{3e2802c4-a4d2-4d8b-9148-e3be6c30e623}">
          <xlrd:rvb i="7823"/>
        </ext>
      </extLst>
    </bk>
    <bk>
      <extLst>
        <ext uri="{3e2802c4-a4d2-4d8b-9148-e3be6c30e623}">
          <xlrd:rvb i="7824"/>
        </ext>
      </extLst>
    </bk>
    <bk>
      <extLst>
        <ext uri="{3e2802c4-a4d2-4d8b-9148-e3be6c30e623}">
          <xlrd:rvb i="7829"/>
        </ext>
      </extLst>
    </bk>
    <bk>
      <extLst>
        <ext uri="{3e2802c4-a4d2-4d8b-9148-e3be6c30e623}">
          <xlrd:rvb i="7837"/>
        </ext>
      </extLst>
    </bk>
    <bk>
      <extLst>
        <ext uri="{3e2802c4-a4d2-4d8b-9148-e3be6c30e623}">
          <xlrd:rvb i="7830"/>
        </ext>
      </extLst>
    </bk>
    <bk>
      <extLst>
        <ext uri="{3e2802c4-a4d2-4d8b-9148-e3be6c30e623}">
          <xlrd:rvb i="7877"/>
        </ext>
      </extLst>
    </bk>
    <bk>
      <extLst>
        <ext uri="{3e2802c4-a4d2-4d8b-9148-e3be6c30e623}">
          <xlrd:rvb i="7879"/>
        </ext>
      </extLst>
    </bk>
    <bk>
      <extLst>
        <ext uri="{3e2802c4-a4d2-4d8b-9148-e3be6c30e623}">
          <xlrd:rvb i="7880"/>
        </ext>
      </extLst>
    </bk>
    <bk>
      <extLst>
        <ext uri="{3e2802c4-a4d2-4d8b-9148-e3be6c30e623}">
          <xlrd:rvb i="7884"/>
        </ext>
      </extLst>
    </bk>
    <bk>
      <extLst>
        <ext uri="{3e2802c4-a4d2-4d8b-9148-e3be6c30e623}">
          <xlrd:rvb i="7892"/>
        </ext>
      </extLst>
    </bk>
    <bk>
      <extLst>
        <ext uri="{3e2802c4-a4d2-4d8b-9148-e3be6c30e623}">
          <xlrd:rvb i="7885"/>
        </ext>
      </extLst>
    </bk>
    <bk>
      <extLst>
        <ext uri="{3e2802c4-a4d2-4d8b-9148-e3be6c30e623}">
          <xlrd:rvb i="7928"/>
        </ext>
      </extLst>
    </bk>
    <bk>
      <extLst>
        <ext uri="{3e2802c4-a4d2-4d8b-9148-e3be6c30e623}">
          <xlrd:rvb i="7930"/>
        </ext>
      </extLst>
    </bk>
    <bk>
      <extLst>
        <ext uri="{3e2802c4-a4d2-4d8b-9148-e3be6c30e623}">
          <xlrd:rvb i="7931"/>
        </ext>
      </extLst>
    </bk>
    <bk>
      <extLst>
        <ext uri="{3e2802c4-a4d2-4d8b-9148-e3be6c30e623}">
          <xlrd:rvb i="7940"/>
        </ext>
      </extLst>
    </bk>
    <bk>
      <extLst>
        <ext uri="{3e2802c4-a4d2-4d8b-9148-e3be6c30e623}">
          <xlrd:rvb i="7941"/>
        </ext>
      </extLst>
    </bk>
    <bk>
      <extLst>
        <ext uri="{3e2802c4-a4d2-4d8b-9148-e3be6c30e623}">
          <xlrd:rvb i="7943"/>
        </ext>
      </extLst>
    </bk>
    <bk>
      <extLst>
        <ext uri="{3e2802c4-a4d2-4d8b-9148-e3be6c30e623}">
          <xlrd:rvb i="7944"/>
        </ext>
      </extLst>
    </bk>
    <bk>
      <extLst>
        <ext uri="{3e2802c4-a4d2-4d8b-9148-e3be6c30e623}">
          <xlrd:rvb i="7949"/>
        </ext>
      </extLst>
    </bk>
    <bk>
      <extLst>
        <ext uri="{3e2802c4-a4d2-4d8b-9148-e3be6c30e623}">
          <xlrd:rvb i="7959"/>
        </ext>
      </extLst>
    </bk>
    <bk>
      <extLst>
        <ext uri="{3e2802c4-a4d2-4d8b-9148-e3be6c30e623}">
          <xlrd:rvb i="7950"/>
        </ext>
      </extLst>
    </bk>
    <bk>
      <extLst>
        <ext uri="{3e2802c4-a4d2-4d8b-9148-e3be6c30e623}">
          <xlrd:rvb i="8017"/>
        </ext>
      </extLst>
    </bk>
    <bk>
      <extLst>
        <ext uri="{3e2802c4-a4d2-4d8b-9148-e3be6c30e623}">
          <xlrd:rvb i="8019"/>
        </ext>
      </extLst>
    </bk>
    <bk>
      <extLst>
        <ext uri="{3e2802c4-a4d2-4d8b-9148-e3be6c30e623}">
          <xlrd:rvb i="8020"/>
        </ext>
      </extLst>
    </bk>
    <bk>
      <extLst>
        <ext uri="{3e2802c4-a4d2-4d8b-9148-e3be6c30e623}">
          <xlrd:rvb i="8025"/>
        </ext>
      </extLst>
    </bk>
    <bk>
      <extLst>
        <ext uri="{3e2802c4-a4d2-4d8b-9148-e3be6c30e623}">
          <xlrd:rvb i="8034"/>
        </ext>
      </extLst>
    </bk>
    <bk>
      <extLst>
        <ext uri="{3e2802c4-a4d2-4d8b-9148-e3be6c30e623}">
          <xlrd:rvb i="8039"/>
        </ext>
      </extLst>
    </bk>
    <bk>
      <extLst>
        <ext uri="{3e2802c4-a4d2-4d8b-9148-e3be6c30e623}">
          <xlrd:rvb i="8131"/>
        </ext>
      </extLst>
    </bk>
    <bk>
      <extLst>
        <ext uri="{3e2802c4-a4d2-4d8b-9148-e3be6c30e623}">
          <xlrd:rvb i="8026"/>
        </ext>
      </extLst>
    </bk>
    <bk>
      <extLst>
        <ext uri="{3e2802c4-a4d2-4d8b-9148-e3be6c30e623}">
          <xlrd:rvb i="8133"/>
        </ext>
      </extLst>
    </bk>
    <bk>
      <extLst>
        <ext uri="{3e2802c4-a4d2-4d8b-9148-e3be6c30e623}">
          <xlrd:rvb i="8134"/>
        </ext>
      </extLst>
    </bk>
    <bk>
      <extLst>
        <ext uri="{3e2802c4-a4d2-4d8b-9148-e3be6c30e623}">
          <xlrd:rvb i="8139"/>
        </ext>
      </extLst>
    </bk>
    <bk>
      <extLst>
        <ext uri="{3e2802c4-a4d2-4d8b-9148-e3be6c30e623}">
          <xlrd:rvb i="8148"/>
        </ext>
      </extLst>
    </bk>
    <bk>
      <extLst>
        <ext uri="{3e2802c4-a4d2-4d8b-9148-e3be6c30e623}">
          <xlrd:rvb i="8140"/>
        </ext>
      </extLst>
    </bk>
    <bk>
      <extLst>
        <ext uri="{3e2802c4-a4d2-4d8b-9148-e3be6c30e623}">
          <xlrd:rvb i="8191"/>
        </ext>
      </extLst>
    </bk>
    <bk>
      <extLst>
        <ext uri="{3e2802c4-a4d2-4d8b-9148-e3be6c30e623}">
          <xlrd:rvb i="8193"/>
        </ext>
      </extLst>
    </bk>
    <bk>
      <extLst>
        <ext uri="{3e2802c4-a4d2-4d8b-9148-e3be6c30e623}">
          <xlrd:rvb i="8195"/>
        </ext>
      </extLst>
    </bk>
    <bk>
      <extLst>
        <ext uri="{3e2802c4-a4d2-4d8b-9148-e3be6c30e623}">
          <xlrd:rvb i="8197"/>
        </ext>
      </extLst>
    </bk>
    <bk>
      <extLst>
        <ext uri="{3e2802c4-a4d2-4d8b-9148-e3be6c30e623}">
          <xlrd:rvb i="8199"/>
        </ext>
      </extLst>
    </bk>
    <bk>
      <extLst>
        <ext uri="{3e2802c4-a4d2-4d8b-9148-e3be6c30e623}">
          <xlrd:rvb i="8201"/>
        </ext>
      </extLst>
    </bk>
    <bk>
      <extLst>
        <ext uri="{3e2802c4-a4d2-4d8b-9148-e3be6c30e623}">
          <xlrd:rvb i="8203"/>
        </ext>
      </extLst>
    </bk>
    <bk>
      <extLst>
        <ext uri="{3e2802c4-a4d2-4d8b-9148-e3be6c30e623}">
          <xlrd:rvb i="8205"/>
        </ext>
      </extLst>
    </bk>
    <bk>
      <extLst>
        <ext uri="{3e2802c4-a4d2-4d8b-9148-e3be6c30e623}">
          <xlrd:rvb i="8207"/>
        </ext>
      </extLst>
    </bk>
    <bk>
      <extLst>
        <ext uri="{3e2802c4-a4d2-4d8b-9148-e3be6c30e623}">
          <xlrd:rvb i="8209"/>
        </ext>
      </extLst>
    </bk>
    <bk>
      <extLst>
        <ext uri="{3e2802c4-a4d2-4d8b-9148-e3be6c30e623}">
          <xlrd:rvb i="8211"/>
        </ext>
      </extLst>
    </bk>
    <bk>
      <extLst>
        <ext uri="{3e2802c4-a4d2-4d8b-9148-e3be6c30e623}">
          <xlrd:rvb i="8212"/>
        </ext>
      </extLst>
    </bk>
    <bk>
      <extLst>
        <ext uri="{3e2802c4-a4d2-4d8b-9148-e3be6c30e623}">
          <xlrd:rvb i="8214"/>
        </ext>
      </extLst>
    </bk>
    <bk>
      <extLst>
        <ext uri="{3e2802c4-a4d2-4d8b-9148-e3be6c30e623}">
          <xlrd:rvb i="8216"/>
        </ext>
      </extLst>
    </bk>
  </futureMetadata>
  <cellMetadata count="1">
    <bk>
      <rc t="1" v="0"/>
    </bk>
  </cellMetadata>
  <valueMetadata count="785">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bk>
      <rc t="2" v="53"/>
    </bk>
    <bk>
      <rc t="2" v="54"/>
    </bk>
    <bk>
      <rc t="2" v="55"/>
    </bk>
    <bk>
      <rc t="2" v="56"/>
    </bk>
    <bk>
      <rc t="2" v="57"/>
    </bk>
    <bk>
      <rc t="2" v="58"/>
    </bk>
    <bk>
      <rc t="2" v="59"/>
    </bk>
    <bk>
      <rc t="2" v="60"/>
    </bk>
    <bk>
      <rc t="2" v="61"/>
    </bk>
    <bk>
      <rc t="2" v="62"/>
    </bk>
    <bk>
      <rc t="2" v="63"/>
    </bk>
    <bk>
      <rc t="2" v="64"/>
    </bk>
    <bk>
      <rc t="2" v="65"/>
    </bk>
    <bk>
      <rc t="2" v="66"/>
    </bk>
    <bk>
      <rc t="2" v="67"/>
    </bk>
    <bk>
      <rc t="2" v="68"/>
    </bk>
    <bk>
      <rc t="2" v="69"/>
    </bk>
    <bk>
      <rc t="2" v="70"/>
    </bk>
    <bk>
      <rc t="2" v="71"/>
    </bk>
    <bk>
      <rc t="2" v="72"/>
    </bk>
    <bk>
      <rc t="2" v="73"/>
    </bk>
    <bk>
      <rc t="2" v="74"/>
    </bk>
    <bk>
      <rc t="2" v="75"/>
    </bk>
    <bk>
      <rc t="2" v="76"/>
    </bk>
    <bk>
      <rc t="2" v="77"/>
    </bk>
    <bk>
      <rc t="2" v="78"/>
    </bk>
    <bk>
      <rc t="2" v="79"/>
    </bk>
    <bk>
      <rc t="2" v="80"/>
    </bk>
    <bk>
      <rc t="2" v="81"/>
    </bk>
    <bk>
      <rc t="2" v="82"/>
    </bk>
    <bk>
      <rc t="2" v="83"/>
    </bk>
    <bk>
      <rc t="2" v="84"/>
    </bk>
    <bk>
      <rc t="2" v="85"/>
    </bk>
    <bk>
      <rc t="2" v="86"/>
    </bk>
    <bk>
      <rc t="2" v="87"/>
    </bk>
    <bk>
      <rc t="2" v="88"/>
    </bk>
    <bk>
      <rc t="2" v="89"/>
    </bk>
    <bk>
      <rc t="2" v="90"/>
    </bk>
    <bk>
      <rc t="2" v="91"/>
    </bk>
    <bk>
      <rc t="2" v="92"/>
    </bk>
    <bk>
      <rc t="2" v="93"/>
    </bk>
    <bk>
      <rc t="2" v="94"/>
    </bk>
    <bk>
      <rc t="2" v="95"/>
    </bk>
    <bk>
      <rc t="2" v="96"/>
    </bk>
    <bk>
      <rc t="2" v="97"/>
    </bk>
    <bk>
      <rc t="2" v="98"/>
    </bk>
    <bk>
      <rc t="2" v="99"/>
    </bk>
    <bk>
      <rc t="2" v="100"/>
    </bk>
    <bk>
      <rc t="2" v="101"/>
    </bk>
    <bk>
      <rc t="2" v="102"/>
    </bk>
    <bk>
      <rc t="2" v="103"/>
    </bk>
    <bk>
      <rc t="2" v="104"/>
    </bk>
    <bk>
      <rc t="2" v="105"/>
    </bk>
    <bk>
      <rc t="2" v="106"/>
    </bk>
    <bk>
      <rc t="2" v="107"/>
    </bk>
    <bk>
      <rc t="2" v="108"/>
    </bk>
    <bk>
      <rc t="2" v="109"/>
    </bk>
    <bk>
      <rc t="2" v="110"/>
    </bk>
    <bk>
      <rc t="2" v="111"/>
    </bk>
    <bk>
      <rc t="2" v="112"/>
    </bk>
    <bk>
      <rc t="2" v="113"/>
    </bk>
    <bk>
      <rc t="2" v="114"/>
    </bk>
    <bk>
      <rc t="2" v="115"/>
    </bk>
    <bk>
      <rc t="2" v="116"/>
    </bk>
    <bk>
      <rc t="2" v="117"/>
    </bk>
    <bk>
      <rc t="2" v="118"/>
    </bk>
    <bk>
      <rc t="2" v="119"/>
    </bk>
    <bk>
      <rc t="2" v="120"/>
    </bk>
    <bk>
      <rc t="2" v="121"/>
    </bk>
    <bk>
      <rc t="2" v="122"/>
    </bk>
    <bk>
      <rc t="2" v="123"/>
    </bk>
    <bk>
      <rc t="2" v="124"/>
    </bk>
    <bk>
      <rc t="2" v="125"/>
    </bk>
    <bk>
      <rc t="2" v="126"/>
    </bk>
    <bk>
      <rc t="2" v="127"/>
    </bk>
    <bk>
      <rc t="2" v="128"/>
    </bk>
    <bk>
      <rc t="2" v="129"/>
    </bk>
    <bk>
      <rc t="2" v="130"/>
    </bk>
    <bk>
      <rc t="2" v="131"/>
    </bk>
    <bk>
      <rc t="2" v="132"/>
    </bk>
    <bk>
      <rc t="2" v="133"/>
    </bk>
    <bk>
      <rc t="2" v="134"/>
    </bk>
    <bk>
      <rc t="2" v="135"/>
    </bk>
    <bk>
      <rc t="2" v="136"/>
    </bk>
    <bk>
      <rc t="2" v="137"/>
    </bk>
    <bk>
      <rc t="2" v="138"/>
    </bk>
    <bk>
      <rc t="2" v="139"/>
    </bk>
    <bk>
      <rc t="2" v="140"/>
    </bk>
    <bk>
      <rc t="2" v="141"/>
    </bk>
    <bk>
      <rc t="2" v="142"/>
    </bk>
    <bk>
      <rc t="2" v="143"/>
    </bk>
    <bk>
      <rc t="2" v="144"/>
    </bk>
    <bk>
      <rc t="2" v="145"/>
    </bk>
    <bk>
      <rc t="2" v="146"/>
    </bk>
    <bk>
      <rc t="2" v="147"/>
    </bk>
    <bk>
      <rc t="2" v="148"/>
    </bk>
    <bk>
      <rc t="2" v="149"/>
    </bk>
    <bk>
      <rc t="2" v="150"/>
    </bk>
    <bk>
      <rc t="2" v="151"/>
    </bk>
    <bk>
      <rc t="2" v="152"/>
    </bk>
    <bk>
      <rc t="2" v="153"/>
    </bk>
    <bk>
      <rc t="2" v="154"/>
    </bk>
    <bk>
      <rc t="2" v="155"/>
    </bk>
    <bk>
      <rc t="2" v="156"/>
    </bk>
    <bk>
      <rc t="2" v="157"/>
    </bk>
    <bk>
      <rc t="2" v="158"/>
    </bk>
    <bk>
      <rc t="2" v="159"/>
    </bk>
    <bk>
      <rc t="2" v="160"/>
    </bk>
    <bk>
      <rc t="2" v="161"/>
    </bk>
    <bk>
      <rc t="2" v="162"/>
    </bk>
    <bk>
      <rc t="2" v="163"/>
    </bk>
    <bk>
      <rc t="2" v="164"/>
    </bk>
    <bk>
      <rc t="2" v="165"/>
    </bk>
    <bk>
      <rc t="2" v="166"/>
    </bk>
    <bk>
      <rc t="2" v="167"/>
    </bk>
    <bk>
      <rc t="2" v="168"/>
    </bk>
    <bk>
      <rc t="2" v="169"/>
    </bk>
    <bk>
      <rc t="2" v="170"/>
    </bk>
    <bk>
      <rc t="2" v="171"/>
    </bk>
    <bk>
      <rc t="2" v="172"/>
    </bk>
    <bk>
      <rc t="2" v="173"/>
    </bk>
    <bk>
      <rc t="2" v="174"/>
    </bk>
    <bk>
      <rc t="2" v="175"/>
    </bk>
    <bk>
      <rc t="2" v="176"/>
    </bk>
    <bk>
      <rc t="2" v="177"/>
    </bk>
    <bk>
      <rc t="2" v="178"/>
    </bk>
    <bk>
      <rc t="2" v="179"/>
    </bk>
    <bk>
      <rc t="2" v="180"/>
    </bk>
    <bk>
      <rc t="2" v="181"/>
    </bk>
    <bk>
      <rc t="2" v="182"/>
    </bk>
    <bk>
      <rc t="2" v="183"/>
    </bk>
    <bk>
      <rc t="2" v="184"/>
    </bk>
    <bk>
      <rc t="2" v="185"/>
    </bk>
    <bk>
      <rc t="2" v="186"/>
    </bk>
    <bk>
      <rc t="2" v="187"/>
    </bk>
    <bk>
      <rc t="2" v="188"/>
    </bk>
    <bk>
      <rc t="2" v="189"/>
    </bk>
    <bk>
      <rc t="2" v="190"/>
    </bk>
    <bk>
      <rc t="2" v="191"/>
    </bk>
    <bk>
      <rc t="2" v="192"/>
    </bk>
    <bk>
      <rc t="2" v="193"/>
    </bk>
    <bk>
      <rc t="2" v="194"/>
    </bk>
    <bk>
      <rc t="2" v="195"/>
    </bk>
    <bk>
      <rc t="2" v="196"/>
    </bk>
    <bk>
      <rc t="2" v="197"/>
    </bk>
    <bk>
      <rc t="2" v="198"/>
    </bk>
    <bk>
      <rc t="2" v="199"/>
    </bk>
    <bk>
      <rc t="2" v="200"/>
    </bk>
    <bk>
      <rc t="2" v="201"/>
    </bk>
    <bk>
      <rc t="2" v="202"/>
    </bk>
    <bk>
      <rc t="2" v="203"/>
    </bk>
    <bk>
      <rc t="2" v="204"/>
    </bk>
    <bk>
      <rc t="2" v="205"/>
    </bk>
    <bk>
      <rc t="2" v="206"/>
    </bk>
    <bk>
      <rc t="2" v="207"/>
    </bk>
    <bk>
      <rc t="2" v="208"/>
    </bk>
    <bk>
      <rc t="2" v="209"/>
    </bk>
    <bk>
      <rc t="2" v="210"/>
    </bk>
    <bk>
      <rc t="2" v="211"/>
    </bk>
    <bk>
      <rc t="2" v="212"/>
    </bk>
    <bk>
      <rc t="2" v="213"/>
    </bk>
    <bk>
      <rc t="2" v="214"/>
    </bk>
    <bk>
      <rc t="2" v="215"/>
    </bk>
    <bk>
      <rc t="2" v="216"/>
    </bk>
    <bk>
      <rc t="2" v="217"/>
    </bk>
    <bk>
      <rc t="2" v="218"/>
    </bk>
    <bk>
      <rc t="2" v="219"/>
    </bk>
    <bk>
      <rc t="2" v="220"/>
    </bk>
    <bk>
      <rc t="2" v="221"/>
    </bk>
    <bk>
      <rc t="2" v="222"/>
    </bk>
    <bk>
      <rc t="2" v="223"/>
    </bk>
    <bk>
      <rc t="2" v="224"/>
    </bk>
    <bk>
      <rc t="2" v="225"/>
    </bk>
    <bk>
      <rc t="2" v="226"/>
    </bk>
    <bk>
      <rc t="2" v="227"/>
    </bk>
    <bk>
      <rc t="2" v="228"/>
    </bk>
    <bk>
      <rc t="2" v="229"/>
    </bk>
    <bk>
      <rc t="2" v="230"/>
    </bk>
    <bk>
      <rc t="2" v="231"/>
    </bk>
    <bk>
      <rc t="2" v="232"/>
    </bk>
    <bk>
      <rc t="2" v="233"/>
    </bk>
    <bk>
      <rc t="2" v="234"/>
    </bk>
    <bk>
      <rc t="2" v="235"/>
    </bk>
    <bk>
      <rc t="2" v="236"/>
    </bk>
    <bk>
      <rc t="2" v="237"/>
    </bk>
    <bk>
      <rc t="2" v="238"/>
    </bk>
    <bk>
      <rc t="2" v="239"/>
    </bk>
    <bk>
      <rc t="2" v="240"/>
    </bk>
    <bk>
      <rc t="2" v="241"/>
    </bk>
    <bk>
      <rc t="2" v="242"/>
    </bk>
    <bk>
      <rc t="2" v="243"/>
    </bk>
    <bk>
      <rc t="2" v="244"/>
    </bk>
    <bk>
      <rc t="2" v="245"/>
    </bk>
    <bk>
      <rc t="2" v="246"/>
    </bk>
    <bk>
      <rc t="2" v="247"/>
    </bk>
    <bk>
      <rc t="2" v="248"/>
    </bk>
    <bk>
      <rc t="2" v="249"/>
    </bk>
    <bk>
      <rc t="2" v="250"/>
    </bk>
    <bk>
      <rc t="2" v="251"/>
    </bk>
    <bk>
      <rc t="2" v="252"/>
    </bk>
    <bk>
      <rc t="2" v="253"/>
    </bk>
    <bk>
      <rc t="2" v="254"/>
    </bk>
    <bk>
      <rc t="2" v="255"/>
    </bk>
    <bk>
      <rc t="2" v="256"/>
    </bk>
    <bk>
      <rc t="2" v="257"/>
    </bk>
    <bk>
      <rc t="2" v="258"/>
    </bk>
    <bk>
      <rc t="2" v="259"/>
    </bk>
    <bk>
      <rc t="2" v="260"/>
    </bk>
    <bk>
      <rc t="2" v="261"/>
    </bk>
    <bk>
      <rc t="2" v="262"/>
    </bk>
    <bk>
      <rc t="2" v="263"/>
    </bk>
    <bk>
      <rc t="2" v="264"/>
    </bk>
    <bk>
      <rc t="2" v="265"/>
    </bk>
    <bk>
      <rc t="2" v="266"/>
    </bk>
    <bk>
      <rc t="2" v="267"/>
    </bk>
    <bk>
      <rc t="2" v="268"/>
    </bk>
    <bk>
      <rc t="2" v="269"/>
    </bk>
    <bk>
      <rc t="2" v="270"/>
    </bk>
    <bk>
      <rc t="2" v="271"/>
    </bk>
    <bk>
      <rc t="2" v="272"/>
    </bk>
    <bk>
      <rc t="2" v="273"/>
    </bk>
    <bk>
      <rc t="2" v="274"/>
    </bk>
    <bk>
      <rc t="2" v="275"/>
    </bk>
    <bk>
      <rc t="2" v="276"/>
    </bk>
    <bk>
      <rc t="2" v="277"/>
    </bk>
    <bk>
      <rc t="2" v="278"/>
    </bk>
    <bk>
      <rc t="2" v="279"/>
    </bk>
    <bk>
      <rc t="2" v="280"/>
    </bk>
    <bk>
      <rc t="2" v="281"/>
    </bk>
    <bk>
      <rc t="2" v="282"/>
    </bk>
    <bk>
      <rc t="2" v="283"/>
    </bk>
    <bk>
      <rc t="2" v="284"/>
    </bk>
    <bk>
      <rc t="2" v="285"/>
    </bk>
    <bk>
      <rc t="2" v="286"/>
    </bk>
    <bk>
      <rc t="2" v="287"/>
    </bk>
    <bk>
      <rc t="2" v="288"/>
    </bk>
    <bk>
      <rc t="2" v="289"/>
    </bk>
    <bk>
      <rc t="2" v="290"/>
    </bk>
    <bk>
      <rc t="2" v="291"/>
    </bk>
    <bk>
      <rc t="2" v="292"/>
    </bk>
    <bk>
      <rc t="2" v="293"/>
    </bk>
    <bk>
      <rc t="2" v="294"/>
    </bk>
    <bk>
      <rc t="2" v="295"/>
    </bk>
    <bk>
      <rc t="2" v="296"/>
    </bk>
    <bk>
      <rc t="2" v="297"/>
    </bk>
    <bk>
      <rc t="2" v="298"/>
    </bk>
    <bk>
      <rc t="2" v="299"/>
    </bk>
    <bk>
      <rc t="2" v="300"/>
    </bk>
    <bk>
      <rc t="2" v="301"/>
    </bk>
    <bk>
      <rc t="2" v="302"/>
    </bk>
    <bk>
      <rc t="2" v="303"/>
    </bk>
    <bk>
      <rc t="2" v="304"/>
    </bk>
    <bk>
      <rc t="2" v="305"/>
    </bk>
    <bk>
      <rc t="2" v="306"/>
    </bk>
    <bk>
      <rc t="2" v="307"/>
    </bk>
    <bk>
      <rc t="2" v="308"/>
    </bk>
    <bk>
      <rc t="2" v="309"/>
    </bk>
    <bk>
      <rc t="2" v="310"/>
    </bk>
    <bk>
      <rc t="2" v="311"/>
    </bk>
    <bk>
      <rc t="2" v="312"/>
    </bk>
    <bk>
      <rc t="2" v="313"/>
    </bk>
    <bk>
      <rc t="2" v="314"/>
    </bk>
    <bk>
      <rc t="2" v="315"/>
    </bk>
    <bk>
      <rc t="2" v="316"/>
    </bk>
    <bk>
      <rc t="2" v="317"/>
    </bk>
    <bk>
      <rc t="2" v="318"/>
    </bk>
    <bk>
      <rc t="2" v="319"/>
    </bk>
    <bk>
      <rc t="2" v="320"/>
    </bk>
    <bk>
      <rc t="2" v="321"/>
    </bk>
    <bk>
      <rc t="2" v="322"/>
    </bk>
    <bk>
      <rc t="2" v="323"/>
    </bk>
    <bk>
      <rc t="2" v="324"/>
    </bk>
    <bk>
      <rc t="2" v="325"/>
    </bk>
    <bk>
      <rc t="2" v="326"/>
    </bk>
    <bk>
      <rc t="2" v="327"/>
    </bk>
    <bk>
      <rc t="2" v="328"/>
    </bk>
    <bk>
      <rc t="2" v="329"/>
    </bk>
    <bk>
      <rc t="2" v="330"/>
    </bk>
    <bk>
      <rc t="2" v="331"/>
    </bk>
    <bk>
      <rc t="2" v="332"/>
    </bk>
    <bk>
      <rc t="2" v="333"/>
    </bk>
    <bk>
      <rc t="2" v="334"/>
    </bk>
    <bk>
      <rc t="2" v="335"/>
    </bk>
    <bk>
      <rc t="2" v="336"/>
    </bk>
    <bk>
      <rc t="2" v="337"/>
    </bk>
    <bk>
      <rc t="2" v="338"/>
    </bk>
    <bk>
      <rc t="2" v="339"/>
    </bk>
    <bk>
      <rc t="2" v="340"/>
    </bk>
    <bk>
      <rc t="2" v="341"/>
    </bk>
    <bk>
      <rc t="2" v="342"/>
    </bk>
    <bk>
      <rc t="2" v="343"/>
    </bk>
    <bk>
      <rc t="2" v="344"/>
    </bk>
    <bk>
      <rc t="2" v="345"/>
    </bk>
    <bk>
      <rc t="2" v="346"/>
    </bk>
    <bk>
      <rc t="2" v="347"/>
    </bk>
    <bk>
      <rc t="2" v="348"/>
    </bk>
    <bk>
      <rc t="2" v="349"/>
    </bk>
    <bk>
      <rc t="2" v="350"/>
    </bk>
    <bk>
      <rc t="2" v="351"/>
    </bk>
    <bk>
      <rc t="2" v="352"/>
    </bk>
    <bk>
      <rc t="2" v="353"/>
    </bk>
    <bk>
      <rc t="2" v="354"/>
    </bk>
    <bk>
      <rc t="2" v="355"/>
    </bk>
    <bk>
      <rc t="2" v="356"/>
    </bk>
    <bk>
      <rc t="2" v="357"/>
    </bk>
    <bk>
      <rc t="2" v="358"/>
    </bk>
    <bk>
      <rc t="2" v="359"/>
    </bk>
    <bk>
      <rc t="2" v="360"/>
    </bk>
    <bk>
      <rc t="2" v="361"/>
    </bk>
    <bk>
      <rc t="2" v="362"/>
    </bk>
    <bk>
      <rc t="2" v="363"/>
    </bk>
    <bk>
      <rc t="2" v="364"/>
    </bk>
    <bk>
      <rc t="2" v="365"/>
    </bk>
    <bk>
      <rc t="2" v="366"/>
    </bk>
    <bk>
      <rc t="2" v="367"/>
    </bk>
    <bk>
      <rc t="2" v="368"/>
    </bk>
    <bk>
      <rc t="2" v="369"/>
    </bk>
    <bk>
      <rc t="2" v="370"/>
    </bk>
    <bk>
      <rc t="2" v="371"/>
    </bk>
    <bk>
      <rc t="2" v="372"/>
    </bk>
    <bk>
      <rc t="2" v="373"/>
    </bk>
    <bk>
      <rc t="2" v="374"/>
    </bk>
    <bk>
      <rc t="2" v="375"/>
    </bk>
    <bk>
      <rc t="2" v="376"/>
    </bk>
    <bk>
      <rc t="2" v="377"/>
    </bk>
    <bk>
      <rc t="2" v="378"/>
    </bk>
    <bk>
      <rc t="2" v="379"/>
    </bk>
    <bk>
      <rc t="2" v="380"/>
    </bk>
    <bk>
      <rc t="2" v="381"/>
    </bk>
    <bk>
      <rc t="2" v="382"/>
    </bk>
    <bk>
      <rc t="2" v="383"/>
    </bk>
    <bk>
      <rc t="2" v="384"/>
    </bk>
    <bk>
      <rc t="2" v="385"/>
    </bk>
    <bk>
      <rc t="2" v="386"/>
    </bk>
    <bk>
      <rc t="2" v="387"/>
    </bk>
    <bk>
      <rc t="2" v="388"/>
    </bk>
    <bk>
      <rc t="2" v="389"/>
    </bk>
    <bk>
      <rc t="2" v="390"/>
    </bk>
    <bk>
      <rc t="2" v="391"/>
    </bk>
    <bk>
      <rc t="2" v="392"/>
    </bk>
    <bk>
      <rc t="2" v="393"/>
    </bk>
    <bk>
      <rc t="2" v="394"/>
    </bk>
    <bk>
      <rc t="2" v="395"/>
    </bk>
    <bk>
      <rc t="2" v="396"/>
    </bk>
    <bk>
      <rc t="2" v="397"/>
    </bk>
    <bk>
      <rc t="2" v="398"/>
    </bk>
    <bk>
      <rc t="2" v="399"/>
    </bk>
    <bk>
      <rc t="2" v="400"/>
    </bk>
    <bk>
      <rc t="2" v="401"/>
    </bk>
    <bk>
      <rc t="2" v="402"/>
    </bk>
    <bk>
      <rc t="2" v="403"/>
    </bk>
    <bk>
      <rc t="2" v="404"/>
    </bk>
    <bk>
      <rc t="2" v="405"/>
    </bk>
    <bk>
      <rc t="2" v="406"/>
    </bk>
    <bk>
      <rc t="2" v="407"/>
    </bk>
    <bk>
      <rc t="2" v="408"/>
    </bk>
    <bk>
      <rc t="2" v="409"/>
    </bk>
    <bk>
      <rc t="2" v="410"/>
    </bk>
    <bk>
      <rc t="2" v="411"/>
    </bk>
    <bk>
      <rc t="2" v="412"/>
    </bk>
    <bk>
      <rc t="2" v="413"/>
    </bk>
    <bk>
      <rc t="2" v="414"/>
    </bk>
    <bk>
      <rc t="2" v="415"/>
    </bk>
    <bk>
      <rc t="2" v="416"/>
    </bk>
    <bk>
      <rc t="2" v="417"/>
    </bk>
    <bk>
      <rc t="2" v="418"/>
    </bk>
    <bk>
      <rc t="2" v="419"/>
    </bk>
    <bk>
      <rc t="2" v="420"/>
    </bk>
    <bk>
      <rc t="2" v="421"/>
    </bk>
    <bk>
      <rc t="2" v="422"/>
    </bk>
    <bk>
      <rc t="2" v="423"/>
    </bk>
    <bk>
      <rc t="2" v="424"/>
    </bk>
    <bk>
      <rc t="2" v="425"/>
    </bk>
    <bk>
      <rc t="2" v="426"/>
    </bk>
    <bk>
      <rc t="2" v="427"/>
    </bk>
    <bk>
      <rc t="2" v="428"/>
    </bk>
    <bk>
      <rc t="2" v="429"/>
    </bk>
    <bk>
      <rc t="2" v="430"/>
    </bk>
    <bk>
      <rc t="2" v="431"/>
    </bk>
    <bk>
      <rc t="2" v="432"/>
    </bk>
    <bk>
      <rc t="2" v="433"/>
    </bk>
    <bk>
      <rc t="2" v="434"/>
    </bk>
    <bk>
      <rc t="2" v="435"/>
    </bk>
    <bk>
      <rc t="2" v="436"/>
    </bk>
    <bk>
      <rc t="2" v="437"/>
    </bk>
    <bk>
      <rc t="2" v="438"/>
    </bk>
    <bk>
      <rc t="2" v="439"/>
    </bk>
    <bk>
      <rc t="2" v="440"/>
    </bk>
    <bk>
      <rc t="2" v="441"/>
    </bk>
    <bk>
      <rc t="2" v="442"/>
    </bk>
    <bk>
      <rc t="2" v="443"/>
    </bk>
    <bk>
      <rc t="2" v="444"/>
    </bk>
    <bk>
      <rc t="2" v="445"/>
    </bk>
    <bk>
      <rc t="2" v="446"/>
    </bk>
    <bk>
      <rc t="2" v="447"/>
    </bk>
    <bk>
      <rc t="2" v="448"/>
    </bk>
    <bk>
      <rc t="2" v="449"/>
    </bk>
    <bk>
      <rc t="2" v="450"/>
    </bk>
    <bk>
      <rc t="2" v="451"/>
    </bk>
    <bk>
      <rc t="2" v="452"/>
    </bk>
    <bk>
      <rc t="2" v="453"/>
    </bk>
    <bk>
      <rc t="2" v="454"/>
    </bk>
    <bk>
      <rc t="2" v="455"/>
    </bk>
    <bk>
      <rc t="2" v="456"/>
    </bk>
    <bk>
      <rc t="2" v="457"/>
    </bk>
    <bk>
      <rc t="2" v="458"/>
    </bk>
    <bk>
      <rc t="2" v="459"/>
    </bk>
    <bk>
      <rc t="2" v="460"/>
    </bk>
    <bk>
      <rc t="2" v="461"/>
    </bk>
    <bk>
      <rc t="2" v="462"/>
    </bk>
    <bk>
      <rc t="2" v="463"/>
    </bk>
    <bk>
      <rc t="2" v="464"/>
    </bk>
    <bk>
      <rc t="2" v="465"/>
    </bk>
    <bk>
      <rc t="2" v="466"/>
    </bk>
    <bk>
      <rc t="2" v="467"/>
    </bk>
    <bk>
      <rc t="2" v="468"/>
    </bk>
    <bk>
      <rc t="2" v="469"/>
    </bk>
    <bk>
      <rc t="2" v="470"/>
    </bk>
    <bk>
      <rc t="2" v="471"/>
    </bk>
    <bk>
      <rc t="2" v="472"/>
    </bk>
    <bk>
      <rc t="2" v="473"/>
    </bk>
    <bk>
      <rc t="2" v="474"/>
    </bk>
    <bk>
      <rc t="2" v="475"/>
    </bk>
    <bk>
      <rc t="2" v="476"/>
    </bk>
    <bk>
      <rc t="2" v="477"/>
    </bk>
    <bk>
      <rc t="2" v="478"/>
    </bk>
    <bk>
      <rc t="2" v="479"/>
    </bk>
    <bk>
      <rc t="2" v="480"/>
    </bk>
    <bk>
      <rc t="2" v="481"/>
    </bk>
    <bk>
      <rc t="2" v="482"/>
    </bk>
    <bk>
      <rc t="2" v="483"/>
    </bk>
    <bk>
      <rc t="2" v="484"/>
    </bk>
    <bk>
      <rc t="2" v="485"/>
    </bk>
    <bk>
      <rc t="2" v="486"/>
    </bk>
    <bk>
      <rc t="2" v="487"/>
    </bk>
    <bk>
      <rc t="2" v="488"/>
    </bk>
    <bk>
      <rc t="2" v="489"/>
    </bk>
    <bk>
      <rc t="2" v="490"/>
    </bk>
    <bk>
      <rc t="2" v="491"/>
    </bk>
    <bk>
      <rc t="2" v="492"/>
    </bk>
    <bk>
      <rc t="2" v="493"/>
    </bk>
    <bk>
      <rc t="2" v="494"/>
    </bk>
    <bk>
      <rc t="2" v="495"/>
    </bk>
    <bk>
      <rc t="2" v="496"/>
    </bk>
    <bk>
      <rc t="2" v="497"/>
    </bk>
    <bk>
      <rc t="2" v="498"/>
    </bk>
    <bk>
      <rc t="2" v="499"/>
    </bk>
    <bk>
      <rc t="2" v="500"/>
    </bk>
    <bk>
      <rc t="2" v="501"/>
    </bk>
    <bk>
      <rc t="2" v="502"/>
    </bk>
    <bk>
      <rc t="2" v="503"/>
    </bk>
    <bk>
      <rc t="2" v="504"/>
    </bk>
    <bk>
      <rc t="2" v="505"/>
    </bk>
    <bk>
      <rc t="2" v="506"/>
    </bk>
    <bk>
      <rc t="2" v="507"/>
    </bk>
    <bk>
      <rc t="2" v="508"/>
    </bk>
    <bk>
      <rc t="2" v="509"/>
    </bk>
    <bk>
      <rc t="2" v="510"/>
    </bk>
    <bk>
      <rc t="2" v="511"/>
    </bk>
    <bk>
      <rc t="2" v="512"/>
    </bk>
    <bk>
      <rc t="2" v="513"/>
    </bk>
    <bk>
      <rc t="2" v="514"/>
    </bk>
    <bk>
      <rc t="2" v="515"/>
    </bk>
    <bk>
      <rc t="2" v="516"/>
    </bk>
    <bk>
      <rc t="2" v="517"/>
    </bk>
    <bk>
      <rc t="2" v="518"/>
    </bk>
    <bk>
      <rc t="2" v="519"/>
    </bk>
    <bk>
      <rc t="2" v="520"/>
    </bk>
    <bk>
      <rc t="2" v="521"/>
    </bk>
    <bk>
      <rc t="2" v="522"/>
    </bk>
    <bk>
      <rc t="2" v="523"/>
    </bk>
    <bk>
      <rc t="2" v="524"/>
    </bk>
    <bk>
      <rc t="2" v="525"/>
    </bk>
    <bk>
      <rc t="2" v="526"/>
    </bk>
    <bk>
      <rc t="2" v="527"/>
    </bk>
    <bk>
      <rc t="2" v="528"/>
    </bk>
    <bk>
      <rc t="2" v="529"/>
    </bk>
    <bk>
      <rc t="2" v="530"/>
    </bk>
    <bk>
      <rc t="2" v="531"/>
    </bk>
    <bk>
      <rc t="2" v="532"/>
    </bk>
    <bk>
      <rc t="2" v="533"/>
    </bk>
    <bk>
      <rc t="2" v="534"/>
    </bk>
    <bk>
      <rc t="2" v="535"/>
    </bk>
    <bk>
      <rc t="2" v="536"/>
    </bk>
    <bk>
      <rc t="2" v="537"/>
    </bk>
    <bk>
      <rc t="2" v="538"/>
    </bk>
    <bk>
      <rc t="2" v="539"/>
    </bk>
    <bk>
      <rc t="2" v="540"/>
    </bk>
    <bk>
      <rc t="2" v="541"/>
    </bk>
    <bk>
      <rc t="2" v="542"/>
    </bk>
    <bk>
      <rc t="2" v="543"/>
    </bk>
    <bk>
      <rc t="2" v="544"/>
    </bk>
    <bk>
      <rc t="2" v="545"/>
    </bk>
    <bk>
      <rc t="2" v="546"/>
    </bk>
    <bk>
      <rc t="2" v="547"/>
    </bk>
    <bk>
      <rc t="2" v="548"/>
    </bk>
    <bk>
      <rc t="2" v="549"/>
    </bk>
    <bk>
      <rc t="2" v="550"/>
    </bk>
    <bk>
      <rc t="2" v="551"/>
    </bk>
    <bk>
      <rc t="2" v="552"/>
    </bk>
    <bk>
      <rc t="2" v="553"/>
    </bk>
    <bk>
      <rc t="2" v="554"/>
    </bk>
    <bk>
      <rc t="2" v="555"/>
    </bk>
    <bk>
      <rc t="2" v="556"/>
    </bk>
    <bk>
      <rc t="2" v="557"/>
    </bk>
    <bk>
      <rc t="2" v="558"/>
    </bk>
    <bk>
      <rc t="2" v="559"/>
    </bk>
    <bk>
      <rc t="2" v="560"/>
    </bk>
    <bk>
      <rc t="2" v="561"/>
    </bk>
    <bk>
      <rc t="2" v="562"/>
    </bk>
    <bk>
      <rc t="2" v="563"/>
    </bk>
    <bk>
      <rc t="2" v="564"/>
    </bk>
    <bk>
      <rc t="2" v="565"/>
    </bk>
    <bk>
      <rc t="2" v="566"/>
    </bk>
    <bk>
      <rc t="2" v="567"/>
    </bk>
    <bk>
      <rc t="2" v="568"/>
    </bk>
    <bk>
      <rc t="2" v="569"/>
    </bk>
    <bk>
      <rc t="2" v="570"/>
    </bk>
    <bk>
      <rc t="2" v="571"/>
    </bk>
    <bk>
      <rc t="2" v="572"/>
    </bk>
    <bk>
      <rc t="2" v="573"/>
    </bk>
    <bk>
      <rc t="2" v="574"/>
    </bk>
    <bk>
      <rc t="2" v="575"/>
    </bk>
    <bk>
      <rc t="2" v="576"/>
    </bk>
    <bk>
      <rc t="2" v="577"/>
    </bk>
    <bk>
      <rc t="2" v="578"/>
    </bk>
    <bk>
      <rc t="2" v="579"/>
    </bk>
    <bk>
      <rc t="2" v="580"/>
    </bk>
    <bk>
      <rc t="2" v="581"/>
    </bk>
    <bk>
      <rc t="2" v="582"/>
    </bk>
    <bk>
      <rc t="2" v="583"/>
    </bk>
    <bk>
      <rc t="2" v="584"/>
    </bk>
    <bk>
      <rc t="2" v="585"/>
    </bk>
    <bk>
      <rc t="2" v="586"/>
    </bk>
    <bk>
      <rc t="2" v="587"/>
    </bk>
    <bk>
      <rc t="2" v="588"/>
    </bk>
    <bk>
      <rc t="2" v="589"/>
    </bk>
    <bk>
      <rc t="2" v="590"/>
    </bk>
    <bk>
      <rc t="2" v="591"/>
    </bk>
    <bk>
      <rc t="2" v="592"/>
    </bk>
    <bk>
      <rc t="2" v="593"/>
    </bk>
    <bk>
      <rc t="2" v="594"/>
    </bk>
    <bk>
      <rc t="2" v="595"/>
    </bk>
    <bk>
      <rc t="2" v="596"/>
    </bk>
    <bk>
      <rc t="2" v="597"/>
    </bk>
    <bk>
      <rc t="2" v="598"/>
    </bk>
    <bk>
      <rc t="2" v="599"/>
    </bk>
    <bk>
      <rc t="2" v="600"/>
    </bk>
    <bk>
      <rc t="2" v="601"/>
    </bk>
    <bk>
      <rc t="2" v="602"/>
    </bk>
    <bk>
      <rc t="2" v="603"/>
    </bk>
    <bk>
      <rc t="2" v="604"/>
    </bk>
    <bk>
      <rc t="2" v="605"/>
    </bk>
    <bk>
      <rc t="2" v="606"/>
    </bk>
    <bk>
      <rc t="2" v="607"/>
    </bk>
    <bk>
      <rc t="2" v="608"/>
    </bk>
    <bk>
      <rc t="2" v="609"/>
    </bk>
    <bk>
      <rc t="2" v="610"/>
    </bk>
    <bk>
      <rc t="2" v="611"/>
    </bk>
    <bk>
      <rc t="2" v="612"/>
    </bk>
    <bk>
      <rc t="2" v="613"/>
    </bk>
    <bk>
      <rc t="2" v="614"/>
    </bk>
    <bk>
      <rc t="2" v="615"/>
    </bk>
    <bk>
      <rc t="2" v="616"/>
    </bk>
    <bk>
      <rc t="2" v="617"/>
    </bk>
    <bk>
      <rc t="2" v="618"/>
    </bk>
    <bk>
      <rc t="2" v="619"/>
    </bk>
    <bk>
      <rc t="2" v="620"/>
    </bk>
    <bk>
      <rc t="2" v="621"/>
    </bk>
    <bk>
      <rc t="2" v="622"/>
    </bk>
    <bk>
      <rc t="2" v="623"/>
    </bk>
    <bk>
      <rc t="2" v="624"/>
    </bk>
    <bk>
      <rc t="2" v="625"/>
    </bk>
    <bk>
      <rc t="2" v="626"/>
    </bk>
    <bk>
      <rc t="2" v="627"/>
    </bk>
    <bk>
      <rc t="2" v="628"/>
    </bk>
    <bk>
      <rc t="2" v="629"/>
    </bk>
    <bk>
      <rc t="2" v="630"/>
    </bk>
    <bk>
      <rc t="2" v="631"/>
    </bk>
    <bk>
      <rc t="2" v="632"/>
    </bk>
    <bk>
      <rc t="2" v="633"/>
    </bk>
    <bk>
      <rc t="2" v="634"/>
    </bk>
    <bk>
      <rc t="2" v="635"/>
    </bk>
    <bk>
      <rc t="2" v="636"/>
    </bk>
    <bk>
      <rc t="2" v="637"/>
    </bk>
    <bk>
      <rc t="2" v="638"/>
    </bk>
    <bk>
      <rc t="2" v="639"/>
    </bk>
    <bk>
      <rc t="2" v="640"/>
    </bk>
    <bk>
      <rc t="2" v="641"/>
    </bk>
    <bk>
      <rc t="2" v="642"/>
    </bk>
    <bk>
      <rc t="2" v="643"/>
    </bk>
    <bk>
      <rc t="2" v="644"/>
    </bk>
    <bk>
      <rc t="2" v="645"/>
    </bk>
    <bk>
      <rc t="2" v="646"/>
    </bk>
    <bk>
      <rc t="2" v="647"/>
    </bk>
    <bk>
      <rc t="2" v="648"/>
    </bk>
    <bk>
      <rc t="2" v="649"/>
    </bk>
    <bk>
      <rc t="2" v="650"/>
    </bk>
    <bk>
      <rc t="2" v="651"/>
    </bk>
    <bk>
      <rc t="2" v="652"/>
    </bk>
    <bk>
      <rc t="2" v="653"/>
    </bk>
    <bk>
      <rc t="2" v="654"/>
    </bk>
    <bk>
      <rc t="2" v="655"/>
    </bk>
    <bk>
      <rc t="2" v="656"/>
    </bk>
    <bk>
      <rc t="2" v="657"/>
    </bk>
    <bk>
      <rc t="2" v="658"/>
    </bk>
    <bk>
      <rc t="2" v="659"/>
    </bk>
    <bk>
      <rc t="2" v="660"/>
    </bk>
    <bk>
      <rc t="2" v="661"/>
    </bk>
    <bk>
      <rc t="2" v="662"/>
    </bk>
    <bk>
      <rc t="2" v="663"/>
    </bk>
    <bk>
      <rc t="2" v="664"/>
    </bk>
    <bk>
      <rc t="2" v="665"/>
    </bk>
    <bk>
      <rc t="2" v="666"/>
    </bk>
    <bk>
      <rc t="2" v="667"/>
    </bk>
    <bk>
      <rc t="2" v="668"/>
    </bk>
    <bk>
      <rc t="2" v="669"/>
    </bk>
    <bk>
      <rc t="2" v="670"/>
    </bk>
    <bk>
      <rc t="2" v="671"/>
    </bk>
    <bk>
      <rc t="2" v="672"/>
    </bk>
    <bk>
      <rc t="2" v="673"/>
    </bk>
    <bk>
      <rc t="2" v="674"/>
    </bk>
    <bk>
      <rc t="2" v="675"/>
    </bk>
    <bk>
      <rc t="2" v="676"/>
    </bk>
    <bk>
      <rc t="2" v="677"/>
    </bk>
    <bk>
      <rc t="2" v="678"/>
    </bk>
    <bk>
      <rc t="2" v="679"/>
    </bk>
    <bk>
      <rc t="2" v="680"/>
    </bk>
    <bk>
      <rc t="2" v="681"/>
    </bk>
    <bk>
      <rc t="2" v="682"/>
    </bk>
    <bk>
      <rc t="2" v="683"/>
    </bk>
    <bk>
      <rc t="2" v="684"/>
    </bk>
    <bk>
      <rc t="2" v="685"/>
    </bk>
    <bk>
      <rc t="2" v="686"/>
    </bk>
    <bk>
      <rc t="2" v="687"/>
    </bk>
    <bk>
      <rc t="2" v="688"/>
    </bk>
    <bk>
      <rc t="2" v="689"/>
    </bk>
    <bk>
      <rc t="2" v="690"/>
    </bk>
    <bk>
      <rc t="2" v="691"/>
    </bk>
    <bk>
      <rc t="2" v="692"/>
    </bk>
    <bk>
      <rc t="2" v="693"/>
    </bk>
    <bk>
      <rc t="2" v="694"/>
    </bk>
    <bk>
      <rc t="2" v="695"/>
    </bk>
    <bk>
      <rc t="2" v="696"/>
    </bk>
    <bk>
      <rc t="2" v="697"/>
    </bk>
    <bk>
      <rc t="2" v="698"/>
    </bk>
    <bk>
      <rc t="2" v="699"/>
    </bk>
    <bk>
      <rc t="2" v="700"/>
    </bk>
    <bk>
      <rc t="2" v="701"/>
    </bk>
    <bk>
      <rc t="2" v="702"/>
    </bk>
    <bk>
      <rc t="2" v="703"/>
    </bk>
    <bk>
      <rc t="2" v="704"/>
    </bk>
    <bk>
      <rc t="2" v="705"/>
    </bk>
    <bk>
      <rc t="2" v="706"/>
    </bk>
    <bk>
      <rc t="2" v="707"/>
    </bk>
    <bk>
      <rc t="2" v="708"/>
    </bk>
    <bk>
      <rc t="2" v="709"/>
    </bk>
    <bk>
      <rc t="2" v="710"/>
    </bk>
    <bk>
      <rc t="2" v="711"/>
    </bk>
    <bk>
      <rc t="2" v="712"/>
    </bk>
    <bk>
      <rc t="2" v="713"/>
    </bk>
    <bk>
      <rc t="2" v="714"/>
    </bk>
    <bk>
      <rc t="2" v="715"/>
    </bk>
    <bk>
      <rc t="2" v="716"/>
    </bk>
    <bk>
      <rc t="2" v="717"/>
    </bk>
    <bk>
      <rc t="2" v="718"/>
    </bk>
    <bk>
      <rc t="2" v="719"/>
    </bk>
    <bk>
      <rc t="2" v="720"/>
    </bk>
    <bk>
      <rc t="2" v="721"/>
    </bk>
    <bk>
      <rc t="2" v="722"/>
    </bk>
    <bk>
      <rc t="2" v="723"/>
    </bk>
    <bk>
      <rc t="2" v="724"/>
    </bk>
    <bk>
      <rc t="2" v="725"/>
    </bk>
    <bk>
      <rc t="2" v="726"/>
    </bk>
    <bk>
      <rc t="2" v="727"/>
    </bk>
    <bk>
      <rc t="2" v="728"/>
    </bk>
    <bk>
      <rc t="2" v="729"/>
    </bk>
    <bk>
      <rc t="2" v="730"/>
    </bk>
    <bk>
      <rc t="2" v="731"/>
    </bk>
    <bk>
      <rc t="2" v="732"/>
    </bk>
    <bk>
      <rc t="2" v="733"/>
    </bk>
    <bk>
      <rc t="2" v="734"/>
    </bk>
    <bk>
      <rc t="2" v="735"/>
    </bk>
    <bk>
      <rc t="2" v="736"/>
    </bk>
    <bk>
      <rc t="2" v="737"/>
    </bk>
    <bk>
      <rc t="2" v="738"/>
    </bk>
    <bk>
      <rc t="2" v="739"/>
    </bk>
    <bk>
      <rc t="2" v="740"/>
    </bk>
    <bk>
      <rc t="2" v="741"/>
    </bk>
    <bk>
      <rc t="2" v="742"/>
    </bk>
    <bk>
      <rc t="2" v="743"/>
    </bk>
    <bk>
      <rc t="2" v="744"/>
    </bk>
    <bk>
      <rc t="2" v="745"/>
    </bk>
    <bk>
      <rc t="2" v="746"/>
    </bk>
    <bk>
      <rc t="2" v="747"/>
    </bk>
    <bk>
      <rc t="2" v="748"/>
    </bk>
    <bk>
      <rc t="2" v="749"/>
    </bk>
    <bk>
      <rc t="2" v="750"/>
    </bk>
    <bk>
      <rc t="2" v="751"/>
    </bk>
    <bk>
      <rc t="2" v="752"/>
    </bk>
    <bk>
      <rc t="2" v="753"/>
    </bk>
    <bk>
      <rc t="2" v="754"/>
    </bk>
    <bk>
      <rc t="2" v="755"/>
    </bk>
    <bk>
      <rc t="2" v="756"/>
    </bk>
    <bk>
      <rc t="2" v="757"/>
    </bk>
    <bk>
      <rc t="2" v="758"/>
    </bk>
    <bk>
      <rc t="2" v="759"/>
    </bk>
    <bk>
      <rc t="2" v="760"/>
    </bk>
    <bk>
      <rc t="2" v="761"/>
    </bk>
    <bk>
      <rc t="2" v="762"/>
    </bk>
    <bk>
      <rc t="2" v="763"/>
    </bk>
    <bk>
      <rc t="2" v="764"/>
    </bk>
    <bk>
      <rc t="2" v="765"/>
    </bk>
    <bk>
      <rc t="2" v="766"/>
    </bk>
    <bk>
      <rc t="2" v="767"/>
    </bk>
    <bk>
      <rc t="2" v="768"/>
    </bk>
    <bk>
      <rc t="2" v="769"/>
    </bk>
    <bk>
      <rc t="2" v="770"/>
    </bk>
    <bk>
      <rc t="2" v="771"/>
    </bk>
    <bk>
      <rc t="2" v="772"/>
    </bk>
    <bk>
      <rc t="2" v="773"/>
    </bk>
    <bk>
      <rc t="2" v="774"/>
    </bk>
    <bk>
      <rc t="2" v="775"/>
    </bk>
    <bk>
      <rc t="2" v="776"/>
    </bk>
    <bk>
      <rc t="2" v="777"/>
    </bk>
    <bk>
      <rc t="2" v="778"/>
    </bk>
    <bk>
      <rc t="2" v="779"/>
    </bk>
    <bk>
      <rc t="2" v="780"/>
    </bk>
    <bk>
      <rc t="2" v="781"/>
    </bk>
    <bk>
      <rc t="2" v="782"/>
    </bk>
    <bk>
      <rc t="2" v="783"/>
    </bk>
    <bk>
      <rc t="2" v="784"/>
    </bk>
  </valueMetadata>
</metadata>
</file>

<file path=xl/sharedStrings.xml><?xml version="1.0" encoding="utf-8"?>
<sst xmlns="http://schemas.openxmlformats.org/spreadsheetml/2006/main" count="48" uniqueCount="46">
  <si>
    <t>Country</t>
  </si>
  <si>
    <t>Calling code</t>
  </si>
  <si>
    <t>GDP</t>
  </si>
  <si>
    <t>National anthem</t>
  </si>
  <si>
    <t>Largest city</t>
  </si>
  <si>
    <t>Image</t>
  </si>
  <si>
    <t>Capital/Major City</t>
  </si>
  <si>
    <t>Leader(s)</t>
  </si>
  <si>
    <t>Currency Pair</t>
  </si>
  <si>
    <t>52 week high</t>
  </si>
  <si>
    <t>52 week low</t>
  </si>
  <si>
    <t>Price</t>
  </si>
  <si>
    <t>Instrument type</t>
  </si>
  <si>
    <t>Ticker symbol</t>
  </si>
  <si>
    <t>Change (%)</t>
  </si>
  <si>
    <t>Last trade time</t>
  </si>
  <si>
    <t>Company</t>
  </si>
  <si>
    <t>Change</t>
  </si>
  <si>
    <t>Headquarters</t>
  </si>
  <si>
    <t>Employees</t>
  </si>
  <si>
    <t>Official name</t>
  </si>
  <si>
    <t>Industry</t>
  </si>
  <si>
    <t>Year incorporated</t>
  </si>
  <si>
    <t>Google (Alphabet)</t>
  </si>
  <si>
    <t>Facebook (Meta)</t>
  </si>
  <si>
    <t>Berkshire Hathaway</t>
  </si>
  <si>
    <t>JPMorgan Chase</t>
  </si>
  <si>
    <t>Walmart</t>
  </si>
  <si>
    <t>Disney</t>
  </si>
  <si>
    <t>Adobe Systems</t>
  </si>
  <si>
    <t>Hewlett Packard</t>
  </si>
  <si>
    <t>Toyota Motor</t>
  </si>
  <si>
    <t>Honda Motor</t>
  </si>
  <si>
    <t>Hyundai Motor</t>
  </si>
  <si>
    <t>Panasonic</t>
  </si>
  <si>
    <t>Philips</t>
  </si>
  <si>
    <t>GlaxoSmithKline</t>
  </si>
  <si>
    <t>AstraZeneca</t>
  </si>
  <si>
    <t>Novartis</t>
  </si>
  <si>
    <t>Roche</t>
  </si>
  <si>
    <t>Eli Lilly</t>
  </si>
  <si>
    <t>Gilead Sciences</t>
  </si>
  <si>
    <t>Zoom Video</t>
  </si>
  <si>
    <t>Slack Technologies</t>
  </si>
  <si>
    <t>Headquarters2</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</si>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</sst>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6">
    <numFmt numFmtId="164" formatCode="_(* #,##0.00_);_(* \(#,##0.00\);_(* &quot;-&quot;??_);_(@_)"/>
    <numFmt numFmtId="165" formatCode="_ [$₹-44D]\ * #,##0.00_ ;_ [$₹-44D]\ * \-#,##0.00_ ;_ [$₹-44D]\ * &quot;-&quot;??_ ;_ @_ "/>
    <numFmt numFmtId="166" formatCode="_([$$-409]* #,##0.00_);_([$$-409]* \(#,##0.00\);_([$$-409]* &quot;-&quot;??_);_(@_)"/>
    <numFmt numFmtId="167" formatCode="_([$€-2]\ * #,##0.00_);_([$€-2]\ * \(#,##0.00\);_([$€-2]\ * &quot;-&quot;??_);_(@_)"/>
    <numFmt numFmtId="168" formatCode="_-[$£-809]* #,##0.00_-;\-[$£-809]* #,##0.00_-;_-[$£-809]* &quot;-&quot;??_-;_-@_-"/>
    <numFmt numFmtId="169" formatCode="_-[$¥-411]* #,##0.00_-;\-[$¥-411]* #,##0.00_-;_-[$¥-411]* &quot;-&quot;??_-;_-@_-"/>
    <numFmt numFmtId="170" formatCode="_-[$$-1009]* #,##0.00_-;\-[$$-1009]* #,##0.00_-;_-[$$-1009]* &quot;-&quot;??_-;_-@_-"/>
    <numFmt numFmtId="171" formatCode="_-[$$-C09]* #,##0.00_-;\-[$$-C09]* #,##0.00_-;_-[$$-C09]* &quot;-&quot;??_-;_-@_-"/>
    <numFmt numFmtId="172" formatCode="_-* #,##0.00\ [$CHF-100C]_-;\-* #,##0.00\ [$CHF-100C]_-;_-* &quot;-&quot;??\ [$CHF-100C]_-;_-@_-"/>
    <numFmt numFmtId="173" formatCode="_ [$¥-804]* #,##0.00_ ;_ [$¥-804]* \-#,##0.00_ ;_ [$¥-804]* &quot;-&quot;??_ ;_ @_ "/>
    <numFmt numFmtId="174" formatCode="_-[$$-1004]* #,##0.00_-;\-[$$-1004]* #,##0.00_-;_-[$$-1004]* &quot;-&quot;??_-;_-@_-"/>
    <numFmt numFmtId="175" formatCode="_-[$$-3C09]* #,##0.00_-;\-[$$-3C09]* #,##0.00_-;_-[$$-3C09]* &quot;-&quot;??_-;_-@_-"/>
    <numFmt numFmtId="176" formatCode="_-* #,##0.00\ [$kr-143B]_-;\-* #,##0.00\ [$kr-143B]_-;_-* &quot;-&quot;??\ [$kr-143B]_-;_-@_-"/>
    <numFmt numFmtId="177" formatCode="_ [$kr-103B]\ * #,##0.00_ ;_ [$kr-103B]\ * \-#,##0.00_ ;_ [$kr-103B]\ * &quot;-&quot;??_ ;_ @_ "/>
    <numFmt numFmtId="178" formatCode="_-* #,##0.00\ [$kr-438]_-;\-* #,##0.00\ [$kr-438]_-;_-* &quot;-&quot;??\ [$kr-438]_-;_-@_-"/>
    <numFmt numFmtId="179" formatCode="_-[$₺-41F]* #,##0.00_-;\-[$₺-41F]* #,##0.00_-;_-[$₺-41F]* &quot;-&quot;??_-;_-@_-"/>
    <numFmt numFmtId="180" formatCode="_-[$$-80A]* #,##0.00_-;\-[$$-80A]* #,##0.00_-;_-[$$-80A]* &quot;-&quot;??_-;_-@_-"/>
    <numFmt numFmtId="181" formatCode="_-[$R$-416]\ * #,##0.00_-;\-[$R$-416]\ * #,##0.00_-;_-[$R$-416]\ * &quot;-&quot;??_-;_-@_-"/>
    <numFmt numFmtId="182" formatCode="_-[$R-436]* #,##0.00_-;\-[$R-436]* #,##0.00_-;_-[$R-436]* &quot;-&quot;??_-;_-@_-"/>
    <numFmt numFmtId="183" formatCode="_-* #,##0.00\ [$₽-46D]_-;\-* #,##0.00\ [$₽-46D]_-;_-* &quot;-&quot;??\ [$₽-46D]_-;_-@_-"/>
    <numFmt numFmtId="184" formatCode="_-* #,##0.00\ [$zł-415]_-;\-* #,##0.00\ [$zł-415]_-;_-* &quot;-&quot;??\ [$zł-415]_-;_-@_-"/>
    <numFmt numFmtId="185" formatCode="_-* #,##0.00\ [$Kč-405]_-;\-* #,##0.00\ [$Kč-405]_-;_-* &quot;-&quot;??\ [$Kč-405]_-;_-@_-"/>
    <numFmt numFmtId="186" formatCode="_-* #,##0.00\ [$Ft-40E]_-;\-* #,##0.00\ [$Ft-40E]_-;_-* &quot;-&quot;??\ [$Ft-40E]_-;_-@_-"/>
    <numFmt numFmtId="187" formatCode="_ [$₪-40D]\ * #,##0.00_ ;_ [$₪-40D]\ * \-#,##0.00_ ;_ [$₪-40D]\ * &quot;-&quot;??_ ;_ @_ "/>
    <numFmt numFmtId="188" formatCode="_-[$$-47A]\ * #,##0.00_-;\-[$$-47A]\ * #,##0.00_-;_-[$$-47A]\ * &quot;-&quot;??_-;_-@_-"/>
    <numFmt numFmtId="189" formatCode="_-[$₱-3409]* #,##0.00_-;\-[$₱-3409]* #,##0.00_-;_-[$₱-3409]* &quot;-&quot;??_-;_-@_-"/>
    <numFmt numFmtId="190" formatCode="_-[$฿-41E]* #,##0.00_-;\-[$฿-41E]* #,##0.00_-;_-[$฿-41E]* &quot;-&quot;??_-;_-@_-"/>
    <numFmt numFmtId="191" formatCode="_-[$Rp-3809]* #,##0.00_-;\-[$Rp-3809]* #,##0.00_-;_-[$Rp-3809]* &quot;-&quot;??_-;_-@_-"/>
    <numFmt numFmtId="192" formatCode="_-[$Rs-846]\ * #,##0.00_-;\-[$Rs-846]\ * #,##0.00_-;_-[$Rs-846]\ * &quot;-&quot;??_-;_-@_-"/>
    <numFmt numFmtId="193" formatCode="_-* #,##0.00[$৳-845]_-;\-* #,##0.00[$৳-845]_-;_-* &quot;-&quot;??[$৳-845]_-;_-@_-"/>
    <numFmt numFmtId="194" formatCode="_-* #,##0.00\ [$₫-42A]_-;\-* #,##0.00\ [$₫-42A]_-;_-* &quot;-&quot;??\ [$₫-42A]_-;_-@_-"/>
    <numFmt numFmtId="195" formatCode="_-* #,##0.00\ [$ر.ع.‏-2001]_-;\-* #,##0.00\ [$ر.ع.‏-2001]_-;_-* &quot;-&quot;??\ [$ر.ع.‏-2001]_-;_-@_-"/>
    <numFmt numFmtId="196" formatCode="_-* #,##0.00\ [$د.ك.‏-3401]_-;\-* #,##0.00\ [$د.ك.‏-3401]_-;_-* &quot;-&quot;??\ [$د.ك.‏-3401]_-;_-@_-"/>
    <numFmt numFmtId="197" formatCode="_-* #,##0.00\ [$ر.ق.‏-4001]_-;\-* #,##0.00\ [$ر.ق.‏-4001]_-;_-* &quot;-&quot;??\ [$ر.ق.‏-4001]_-;_-@_-"/>
    <numFmt numFmtId="198" formatCode="_-* #,##0.00\ [$ر.س.‏-401]_-;\-* #,##0.00\ [$ر.س.‏-401]_-;_-* &quot;-&quot;??\ [$ر.س.‏-401]_-;_-@_-"/>
    <numFmt numFmtId="199" formatCode="_-* #,##0.00\ [$د.إ.‏-3801]_-;\-* #,##0.00\ [$د.إ.‏-3801]_-;_-* &quot;-&quot;??\ [$د.إ.‏-3801]_-;_-@_-"/>
    <numFmt numFmtId="200" formatCode="_-* #,##0.00\ [$د.ب.‏-3C01]_-;\-* #,##0.00\ [$د.ب.‏-3C01]_-;_-* &quot;-&quot;??\ [$د.ب.‏-3C01]_-;_-@_-"/>
    <numFmt numFmtId="201" formatCode="_-* #,##0.00\ [$د.ا.‏-2C01]_-;\-* #,##0.00\ [$د.ا.‏-2C01]_-;_-* &quot;-&quot;??\ [$د.ا.‏-2C01]_-;_-@_-"/>
    <numFmt numFmtId="202" formatCode="_-* #,##0.00\ [$د.ل.‏-1001]_-;\-* #,##0.00\ [$د.ل.‏-1001]_-;_-* &quot;-&quot;??\ [$د.ل.‏-1001]_-;_-@_-"/>
    <numFmt numFmtId="203" formatCode="_-* #,##0.00\ [$DH-380C]_-;\-* #,##0.00\ [$DH-380C]_-;_-* &quot;-&quot;??\ [$DH-380C]_-;_-@_-"/>
    <numFmt numFmtId="204" formatCode="_-* #,##0.00\ [$DA-85F]_-;\-* #,##0.00\ [$DA-85F]_-;_-* &quot;-&quot;??\ [$DA-85F]_-;_-@_-"/>
    <numFmt numFmtId="205" formatCode="_-[$₦-466]\ * #,##0.00_-;\-[$₦-466]\ * #,##0.00_-;_-[$₦-466]\ * &quot;-&quot;??_-;_-@_-"/>
    <numFmt numFmtId="206" formatCode="_ [$₭-454]* #,##0.00_ ;_ [$₭-454]* \-#,##0.00_ ;_ [$₭-454]* &quot;-&quot;??_ ;_ @_ "/>
    <numFmt numFmtId="207" formatCode="_-* #,##0.00\ [$K-455]_-;\-* #,##0.00\ [$K-455]_-;_-* &quot;-&quot;??\ [$K-455]_-;_-@_-"/>
    <numFmt numFmtId="208" formatCode="_-* #,##0.00[$៛-453]_-;\-* #,##0.00[$៛-453]_-;_-* &quot;-&quot;??[$៛-453]_-;_-@_-"/>
    <numFmt numFmtId="209" formatCode="_-[$RM-4409]* #,##0.00_-;\-[$RM-4409]* #,##0.00_-;_-[$RM-4409]* &quot;-&quot;??_-;_-@_-"/>
    <numFmt numFmtId="210" formatCode="_-[$NT$-404]* #,##0.00_-;\-[$NT$-404]* #,##0.00_-;_-[$NT$-404]* &quot;-&quot;??_-;_-@_-"/>
    <numFmt numFmtId="211" formatCode="_-* #,##0.00\ [$ج.م.‏-C01]_-;\-* #,##0.00\ [$ج.م.‏-C01]_-;_-* &quot;-&quot;??\ [$ج.م.‏-C01]_-;_-@_-"/>
    <numFmt numFmtId="212" formatCode="_-[$$-2C0A]\ * #,##0.00_-;\-[$$-2C0A]\ * #,##0.00_-;_-[$$-2C0A]\ * &quot;-&quot;??_-;_-@_-"/>
    <numFmt numFmtId="213" formatCode="_-[$$-240A]\ * #,##0.00_-;\-[$$-240A]\ * #,##0.00_-;_-[$$-240A]\ * &quot;-&quot;??_-;_-@_-"/>
    <numFmt numFmtId="214" formatCode="_ [$S/-C6B]\ * #,##0.00_ ;_ [$S/-C6B]\ * \-#,##0.00_ ;_ [$S/-C6B]\ * &quot;-&quot;??_ ;_ @_ "/>
    <numFmt numFmtId="215" formatCode="_-[$₡-140A]* #,##0.00_-;\-[$₡-140A]* #,##0.00_-;_-[$₡-140A]* &quot;-&quot;??_-;_-@_-"/>
    <numFmt numFmtId="216" formatCode="_-[$C$-4C0A]* #,##0.00_-;\-[$C$-4C0A]* #,##0.00_-;_-[$C$-4C0A]* &quot;-&quot;??_-;_-@_-"/>
    <numFmt numFmtId="217" formatCode="_([$$-1C0A]* #,##0.00_);_([$$-1C0A]* \(#,##0.00\);_([$$-1C0A]* &quot;-&quot;??_);_(@_)"/>
    <numFmt numFmtId="218" formatCode="_-[$₩-412]* #,##0.00_-;\-[$₩-412]* #,##0.00_-;_-[$₩-412]* &quot;-&quot;??_-;_-@_-"/>
    <numFmt numFmtId="219" formatCode="_ [$₹-4009]\ * #,##0.00_ ;_ [$₹-4009]\ * \-#,##0.00_ ;_ [$₹-4009]\ * &quot;-&quot;??_ ;_ @_ "/>
  </numFmts>
  <fonts count="4" x14ac:knownFonts="1">
    <font>
      <sz val="11"/>
      <color theme="1"/>
      <name val="Calibri"/>
      <family val="2"/>
      <scheme val="minor"/>
    </font>
    <font>
      <sz val="11"/>
      <color theme="1"/>
      <name val="Segoe UI"/>
      <family val="2"/>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3">
    <xf numFmtId="0" fontId="0" fillId="0" borderId="0" xfId="0"/>
    <xf numFmtId="0" fontId="1" fillId="0" borderId="0" xfId="0" applyFont="1"/>
    <xf numFmtId="0" fontId="3"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165" fontId="1" fillId="0" borderId="0" xfId="0" applyNumberFormat="1" applyFont="1" applyAlignment="1">
      <alignment vertical="center" wrapText="1"/>
    </xf>
    <xf numFmtId="166" fontId="1" fillId="0" borderId="0" xfId="0" applyNumberFormat="1" applyFont="1" applyAlignment="1">
      <alignment vertical="center" wrapText="1"/>
    </xf>
    <xf numFmtId="167" fontId="1" fillId="0" borderId="0" xfId="0" applyNumberFormat="1" applyFont="1" applyAlignment="1">
      <alignment vertical="center" wrapText="1"/>
    </xf>
    <xf numFmtId="168" fontId="1" fillId="0" borderId="0" xfId="0" applyNumberFormat="1" applyFont="1" applyAlignment="1">
      <alignment vertical="center" wrapText="1"/>
    </xf>
    <xf numFmtId="169" fontId="1" fillId="0" borderId="0" xfId="0" applyNumberFormat="1" applyFont="1" applyAlignment="1">
      <alignment vertical="center" wrapText="1"/>
    </xf>
    <xf numFmtId="170" fontId="1" fillId="0" borderId="0" xfId="0" applyNumberFormat="1" applyFont="1" applyAlignment="1">
      <alignment vertical="center" wrapText="1"/>
    </xf>
    <xf numFmtId="171" fontId="1" fillId="0" borderId="0" xfId="0" applyNumberFormat="1" applyFont="1" applyAlignment="1">
      <alignment vertical="center" wrapText="1"/>
    </xf>
    <xf numFmtId="172" fontId="1" fillId="0" borderId="0" xfId="0" applyNumberFormat="1" applyFont="1" applyAlignment="1">
      <alignment vertical="center" wrapText="1"/>
    </xf>
    <xf numFmtId="173" fontId="1" fillId="0" borderId="0" xfId="0" applyNumberFormat="1" applyFont="1" applyAlignment="1">
      <alignment vertical="center" wrapText="1"/>
    </xf>
    <xf numFmtId="174" fontId="1" fillId="0" borderId="0" xfId="0" applyNumberFormat="1" applyFont="1" applyAlignment="1">
      <alignment vertical="center" wrapText="1"/>
    </xf>
    <xf numFmtId="175" fontId="1" fillId="0" borderId="0" xfId="0" applyNumberFormat="1" applyFont="1" applyAlignment="1">
      <alignment vertical="center" wrapText="1"/>
    </xf>
    <xf numFmtId="176" fontId="1" fillId="0" borderId="0" xfId="0" applyNumberFormat="1" applyFont="1" applyAlignment="1">
      <alignment vertical="center" wrapText="1"/>
    </xf>
    <xf numFmtId="177" fontId="1" fillId="0" borderId="0" xfId="0" applyNumberFormat="1" applyFont="1" applyAlignment="1">
      <alignment vertical="center" wrapText="1"/>
    </xf>
    <xf numFmtId="178" fontId="1" fillId="0" borderId="0" xfId="0" applyNumberFormat="1" applyFont="1" applyAlignment="1">
      <alignment vertical="center" wrapText="1"/>
    </xf>
    <xf numFmtId="179" fontId="1" fillId="0" borderId="0" xfId="0" applyNumberFormat="1" applyFont="1" applyAlignment="1">
      <alignment vertical="center" wrapText="1"/>
    </xf>
    <xf numFmtId="180" fontId="1" fillId="0" borderId="0" xfId="0" applyNumberFormat="1" applyFont="1" applyAlignment="1">
      <alignment vertical="center" wrapText="1"/>
    </xf>
    <xf numFmtId="181" fontId="1" fillId="0" borderId="0" xfId="0" applyNumberFormat="1" applyFont="1" applyAlignment="1">
      <alignment vertical="center" wrapText="1"/>
    </xf>
    <xf numFmtId="182" fontId="1" fillId="0" borderId="0" xfId="0" applyNumberFormat="1" applyFont="1" applyAlignment="1">
      <alignment vertical="center" wrapText="1"/>
    </xf>
    <xf numFmtId="183" fontId="1" fillId="0" borderId="0" xfId="0" applyNumberFormat="1" applyFont="1" applyAlignment="1">
      <alignment vertical="center" wrapText="1"/>
    </xf>
    <xf numFmtId="184" fontId="1" fillId="0" borderId="0" xfId="0" applyNumberFormat="1" applyFont="1" applyAlignment="1">
      <alignment vertical="center" wrapText="1"/>
    </xf>
    <xf numFmtId="185" fontId="1" fillId="0" borderId="0" xfId="0" applyNumberFormat="1" applyFont="1" applyAlignment="1">
      <alignment vertical="center" wrapText="1"/>
    </xf>
    <xf numFmtId="186" fontId="1" fillId="0" borderId="0" xfId="0" applyNumberFormat="1" applyFont="1" applyAlignment="1">
      <alignment vertical="center" wrapText="1"/>
    </xf>
    <xf numFmtId="187" fontId="1" fillId="0" borderId="0" xfId="0" applyNumberFormat="1" applyFont="1" applyAlignment="1">
      <alignment vertical="center" wrapText="1"/>
    </xf>
    <xf numFmtId="188" fontId="1" fillId="0" borderId="0" xfId="0" applyNumberFormat="1" applyFont="1" applyAlignment="1">
      <alignment vertical="center" wrapText="1"/>
    </xf>
    <xf numFmtId="189" fontId="1" fillId="0" borderId="0" xfId="0" applyNumberFormat="1" applyFont="1" applyAlignment="1">
      <alignment vertical="center" wrapText="1"/>
    </xf>
    <xf numFmtId="190" fontId="1" fillId="0" borderId="0" xfId="0" applyNumberFormat="1" applyFont="1" applyAlignment="1">
      <alignment vertical="center" wrapText="1"/>
    </xf>
    <xf numFmtId="191" fontId="1" fillId="0" borderId="0" xfId="0" applyNumberFormat="1" applyFont="1" applyAlignment="1">
      <alignment vertical="center" wrapText="1"/>
    </xf>
    <xf numFmtId="192" fontId="1" fillId="0" borderId="0" xfId="0" applyNumberFormat="1" applyFont="1" applyAlignment="1">
      <alignment vertical="center" wrapText="1"/>
    </xf>
    <xf numFmtId="193" fontId="1" fillId="0" borderId="0" xfId="0" applyNumberFormat="1" applyFont="1" applyAlignment="1">
      <alignment vertical="center" wrapText="1"/>
    </xf>
    <xf numFmtId="194" fontId="1" fillId="0" borderId="0" xfId="0" applyNumberFormat="1" applyFont="1" applyAlignment="1">
      <alignment vertical="center" wrapText="1"/>
    </xf>
    <xf numFmtId="195" fontId="1" fillId="0" borderId="0" xfId="0" applyNumberFormat="1" applyFont="1" applyAlignment="1">
      <alignment vertical="center" wrapText="1"/>
    </xf>
    <xf numFmtId="196" fontId="1" fillId="0" borderId="0" xfId="0" applyNumberFormat="1" applyFont="1" applyAlignment="1">
      <alignment vertical="center" wrapText="1"/>
    </xf>
    <xf numFmtId="197" fontId="1" fillId="0" borderId="0" xfId="0" applyNumberFormat="1" applyFont="1" applyAlignment="1">
      <alignment vertical="center" wrapText="1"/>
    </xf>
    <xf numFmtId="198" fontId="1" fillId="0" borderId="0" xfId="0" applyNumberFormat="1" applyFont="1" applyAlignment="1">
      <alignment vertical="center" wrapText="1"/>
    </xf>
    <xf numFmtId="199" fontId="1" fillId="0" borderId="0" xfId="0" applyNumberFormat="1" applyFont="1" applyAlignment="1">
      <alignment vertical="center" wrapText="1"/>
    </xf>
    <xf numFmtId="200" fontId="1" fillId="0" borderId="0" xfId="0" applyNumberFormat="1" applyFont="1" applyAlignment="1">
      <alignment vertical="center" wrapText="1"/>
    </xf>
    <xf numFmtId="201" fontId="1" fillId="0" borderId="0" xfId="0" applyNumberFormat="1" applyFont="1" applyAlignment="1">
      <alignment vertical="center" wrapText="1"/>
    </xf>
    <xf numFmtId="202" fontId="1" fillId="0" borderId="0" xfId="0" applyNumberFormat="1" applyFont="1" applyAlignment="1">
      <alignment vertical="center" wrapText="1"/>
    </xf>
    <xf numFmtId="203" fontId="1" fillId="0" borderId="0" xfId="0" applyNumberFormat="1" applyFont="1" applyAlignment="1">
      <alignment vertical="center" wrapText="1"/>
    </xf>
    <xf numFmtId="204" fontId="1" fillId="0" borderId="0" xfId="0" applyNumberFormat="1" applyFont="1" applyAlignment="1">
      <alignment vertical="center" wrapText="1"/>
    </xf>
    <xf numFmtId="205" fontId="1" fillId="0" borderId="0" xfId="0" applyNumberFormat="1" applyFont="1" applyAlignment="1">
      <alignment vertical="center" wrapText="1"/>
    </xf>
    <xf numFmtId="164" fontId="1" fillId="0" borderId="0" xfId="0" applyNumberFormat="1" applyFont="1" applyAlignment="1">
      <alignment vertical="center" wrapText="1"/>
    </xf>
    <xf numFmtId="206" fontId="1" fillId="0" borderId="0" xfId="0" applyNumberFormat="1" applyFont="1" applyAlignment="1">
      <alignment vertical="center" wrapText="1"/>
    </xf>
    <xf numFmtId="207" fontId="1" fillId="0" borderId="0" xfId="0" applyNumberFormat="1" applyFont="1" applyAlignment="1">
      <alignment vertical="center" wrapText="1"/>
    </xf>
    <xf numFmtId="208" fontId="1" fillId="0" borderId="0" xfId="0" applyNumberFormat="1" applyFont="1" applyAlignment="1">
      <alignment vertical="center" wrapText="1"/>
    </xf>
    <xf numFmtId="209" fontId="1" fillId="0" borderId="0" xfId="0" applyNumberFormat="1" applyFont="1" applyAlignment="1">
      <alignment vertical="center" wrapText="1"/>
    </xf>
    <xf numFmtId="210" fontId="1" fillId="0" borderId="0" xfId="0" applyNumberFormat="1" applyFont="1" applyAlignment="1">
      <alignment vertical="center" wrapText="1"/>
    </xf>
    <xf numFmtId="211" fontId="1" fillId="0" borderId="0" xfId="0" applyNumberFormat="1" applyFont="1" applyAlignment="1">
      <alignment vertical="center" wrapText="1"/>
    </xf>
    <xf numFmtId="212" fontId="1" fillId="0" borderId="0" xfId="0" applyNumberFormat="1" applyFont="1" applyAlignment="1">
      <alignment vertical="center" wrapText="1"/>
    </xf>
    <xf numFmtId="213" fontId="1" fillId="0" borderId="0" xfId="0" applyNumberFormat="1" applyFont="1" applyAlignment="1">
      <alignment vertical="center" wrapText="1"/>
    </xf>
    <xf numFmtId="214" fontId="1" fillId="0" borderId="0" xfId="0" applyNumberFormat="1" applyFont="1" applyAlignment="1">
      <alignment vertical="center" wrapText="1"/>
    </xf>
    <xf numFmtId="215" fontId="1" fillId="0" borderId="0" xfId="0" applyNumberFormat="1" applyFont="1" applyAlignment="1">
      <alignment vertical="center" wrapText="1"/>
    </xf>
    <xf numFmtId="216" fontId="1" fillId="0" borderId="0" xfId="0" applyNumberFormat="1" applyFont="1" applyAlignment="1">
      <alignment vertical="center" wrapText="1"/>
    </xf>
    <xf numFmtId="217" fontId="1" fillId="0" borderId="0" xfId="0" applyNumberFormat="1" applyFont="1" applyAlignment="1">
      <alignment vertical="center" wrapText="1"/>
    </xf>
    <xf numFmtId="218" fontId="1" fillId="0" borderId="0" xfId="0" applyNumberFormat="1" applyFont="1" applyAlignment="1">
      <alignment vertical="center" wrapText="1"/>
    </xf>
    <xf numFmtId="3" fontId="1" fillId="0" borderId="0" xfId="0" applyNumberFormat="1" applyFont="1" applyAlignment="1">
      <alignment vertical="center" wrapText="1"/>
    </xf>
    <xf numFmtId="1" fontId="1" fillId="0" borderId="0" xfId="0" applyNumberFormat="1" applyFont="1" applyAlignment="1">
      <alignment vertical="center" wrapText="1"/>
    </xf>
    <xf numFmtId="219" fontId="1" fillId="0" borderId="0" xfId="0" applyNumberFormat="1" applyFont="1" applyAlignment="1">
      <alignment vertical="center" wrapText="1"/>
    </xf>
  </cellXfs>
  <cellStyles count="1">
    <cellStyle name="Normal" xfId="0" builtinId="0"/>
  </cellStyles>
  <dxfs count="33">
    <dxf>
      <font>
        <name val="Segoe UI"/>
        <family val="2"/>
        <scheme val="none"/>
      </font>
      <numFmt numFmtId="166" formatCode="_([$$-409]* #,##0.00_);_([$$-409]* \(#,##0.00\);_([$$-409]* &quot;-&quot;??_);_(@_)"/>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numFmt numFmtId="166" formatCode="_([$$-409]* #,##0.00_);_([$$-409]* \(#,##0.00\);_([$$-409]* &quot;-&quot;??_);_(@_)"/>
      <alignment horizontal="general" vertical="center" textRotation="0" wrapText="1" indent="0" justifyLastLine="0" shrinkToFit="0" readingOrder="0"/>
    </dxf>
    <dxf>
      <font>
        <name val="Segoe UI"/>
        <family val="2"/>
        <scheme val="none"/>
      </font>
      <numFmt numFmtId="1" formatCode="0"/>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numFmt numFmtId="3" formatCode="#,##0"/>
      <alignment horizontal="general" vertical="center" textRotation="0" wrapText="1" indent="0" justifyLastLine="0" shrinkToFit="0" readingOrder="0"/>
    </dxf>
    <dxf>
      <font>
        <name val="Segoe UI"/>
        <family val="2"/>
        <scheme val="none"/>
      </font>
      <alignment horizontal="general" vertical="center" textRotation="0" wrapText="1" indent="0" justifyLastLine="0" shrinkToFit="0" readingOrder="0"/>
    </dxf>
    <dxf>
      <font>
        <name val="Segoe UI"/>
        <family val="2"/>
        <scheme val="none"/>
      </font>
      <numFmt numFmtId="166" formatCode="_([$$-409]* #,##0.00_);_([$$-409]* \(#,##0.00\);_([$$-409]* &quot;-&quot;??_);_(@_)"/>
      <alignment horizontal="general" vertical="center" textRotation="0" wrapText="1" indent="0" justifyLastLine="0" shrinkToFit="0" readingOrder="0"/>
    </dxf>
    <dxf>
      <font>
        <name val="Segoe UI"/>
        <family val="2"/>
        <scheme val="none"/>
      </font>
      <numFmt numFmtId="166" formatCode="_([$$-409]* #,##0.00_);_([$$-409]* \(#,##0.00\);_([$$-409]* &quot;-&quot;??_);_(@_)"/>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name val="Segoe UI"/>
        <family val="2"/>
        <scheme val="none"/>
      </font>
      <numFmt numFmtId="165" formatCode="_ [$₹-44D]\ * #,##0.00_ ;_ [$₹-44D]\ * \-#,##0.00_ ;_ [$₹-44D]\ * &quot;-&quot;??_ ;_ @_ "/>
      <alignment horizontal="general" vertical="center" textRotation="0" wrapText="1" indent="0" justifyLastLine="0" shrinkToFit="0" readingOrder="0"/>
    </dxf>
    <dxf>
      <font>
        <name val="Segoe UI"/>
        <family val="2"/>
        <scheme val="none"/>
      </font>
      <numFmt numFmtId="165" formatCode="_ [$₹-44D]\ * #,##0.00_ ;_ [$₹-44D]\ * \-#,##0.00_ ;_ [$₹-44D]\ * &quot;-&quot;??_ ;_ @_ "/>
      <alignment horizontal="general" vertical="center" textRotation="0" wrapText="1" indent="0" justifyLastLine="0" shrinkToFit="0" readingOrder="0"/>
    </dxf>
    <dxf>
      <font>
        <name val="Segoe UI"/>
        <family val="2"/>
        <scheme val="none"/>
      </font>
      <numFmt numFmtId="165" formatCode="_ [$₹-44D]\ * #,##0.00_ ;_ [$₹-44D]\ * \-#,##0.00_ ;_ [$₹-44D]\ * &quot;-&quot;??_ ;_ @_ "/>
      <alignment horizontal="general" vertical="center" textRotation="0" wrapText="1" indent="0" justifyLastLine="0" shrinkToFit="0" readingOrder="0"/>
    </dxf>
    <dxf>
      <font>
        <name val="Segoe UI"/>
        <family val="2"/>
        <scheme val="none"/>
      </font>
      <numFmt numFmtId="165" formatCode="_ [$₹-44D]\ * #,##0.00_ ;_ [$₹-44D]\ * \-#,##0.00_ ;_ [$₹-44D]\ * &quot;-&quot;??_ ;_ @_ "/>
      <alignment horizontal="general" vertical="center" textRotation="0" wrapText="1" indent="0" justifyLastLine="0" shrinkToFit="0" readingOrder="0"/>
    </dxf>
    <dxf>
      <font>
        <name val="Segoe UI"/>
        <family val="2"/>
        <scheme val="none"/>
      </font>
      <numFmt numFmtId="165" formatCode="_ [$₹-44D]\ * #,##0.00_ ;_ [$₹-44D]\ * \-#,##0.00_ ;_ [$₹-44D]\ * &quot;-&quot;??_ ;_ @_ "/>
      <alignment horizontal="general" vertical="center" textRotation="0" wrapText="1" indent="0" justifyLastLine="0" shrinkToFit="0" readingOrder="0"/>
    </dxf>
    <dxf>
      <font>
        <name val="Segoe UI"/>
        <family val="2"/>
        <scheme val="none"/>
      </font>
      <numFmt numFmtId="165" formatCode="_ [$₹-44D]\ * #,##0.00_ ;_ [$₹-44D]\ * \-#,##0.00_ ;_ [$₹-44D]\ * &quot;-&quot;??_ ;_ @_ "/>
      <alignment horizontal="general" vertical="center" textRotation="0" wrapText="1" indent="0" justifyLastLine="0" shrinkToFit="0" readingOrder="0"/>
    </dxf>
    <dxf>
      <font>
        <name val="Segoe UI"/>
        <family val="2"/>
        <scheme val="none"/>
      </font>
      <numFmt numFmtId="165" formatCode="_ [$₹-44D]\ * #,##0.00_ ;_ [$₹-44D]\ * \-#,##0.00_ ;_ [$₹-44D]\ * &quot;-&quot;??_ ;_ @_ "/>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
      <font>
        <b val="0"/>
        <i val="0"/>
        <strike val="0"/>
        <condense val="0"/>
        <extend val="0"/>
        <outline val="0"/>
        <shadow val="0"/>
        <u val="none"/>
        <vertAlign val="baseline"/>
        <sz val="11"/>
        <color theme="1"/>
        <name val="Segoe UI"/>
        <family val="2"/>
        <scheme val="none"/>
      </font>
    </dxf>
  </dxfs>
  <tableStyles count="1" defaultTableStyle="TableStyleMedium2" defaultPivotStyle="PivotStyleLight16">
    <tableStyle name="Invisible" pivot="0" table="0" count="0" xr9:uid="{F7BEFCED-0E1C-49C2-81F1-446142E5919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 Target="richData/rdrichvalue.xml"/><Relationship Id="rId12" Type="http://schemas.microsoft.com/office/2017/06/relationships/rdSupportingPropertyBag" Target="richData/rdsupportingpropertybag.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11" Type="http://schemas.microsoft.com/office/2017/06/relationships/rdSupportingPropertyBagStructure" Target="richData/rdsupportingpropertybagstructure.xml"/><Relationship Id="rId5" Type="http://schemas.openxmlformats.org/officeDocument/2006/relationships/sheetMetadata" Target="metadata.xml"/><Relationship Id="rId10" Type="http://schemas.microsoft.com/office/2017/06/relationships/richStyles" Target="richData/richStyles.xml"/><Relationship Id="rId4" Type="http://schemas.openxmlformats.org/officeDocument/2006/relationships/sharedStrings" Target="sharedStrings.xml"/><Relationship Id="rId9" Type="http://schemas.microsoft.com/office/2017/06/relationships/rdArray" Target="richData/rdarray.xml"/><Relationship Id="rId14" Type="http://schemas.openxmlformats.org/officeDocument/2006/relationships/calcChain" Target="calcChain.xml"/></Relationships>
</file>

<file path=xl/richData/_rels/rdRichValueWebImage.xml.rels><?xml version="1.0" encoding="UTF-8" standalone="yes"?>
<Relationships xmlns="http://schemas.openxmlformats.org/package/2006/relationships"><Relationship Id="rId117" Type="http://schemas.openxmlformats.org/officeDocument/2006/relationships/hyperlink" Target="https://www.bing.com/images/search?form=xlimg&amp;q=Vaduz" TargetMode="External"/><Relationship Id="rId21" Type="http://schemas.openxmlformats.org/officeDocument/2006/relationships/hyperlink" Target="https://www.bing.com/th?id=OSK.b2feacf804cf222f1795d2e800d46e2a&amp;qlt=95" TargetMode="External"/><Relationship Id="rId324" Type="http://schemas.openxmlformats.org/officeDocument/2006/relationships/image" Target="../media/image62.94d547e45ab6412094898994510adb0e"/><Relationship Id="rId531" Type="http://schemas.openxmlformats.org/officeDocument/2006/relationships/hyperlink" Target="https://www.bing.com/images/search?form=xlimg&amp;q=San%20Fernando,%20Trinidad%20and%20Tobago" TargetMode="External"/><Relationship Id="rId170" Type="http://schemas.openxmlformats.org/officeDocument/2006/relationships/hyperlink" Target="https://www.bing.com/th?id=OSK.EDIyGEDE84y3RamnSCf3LbkoTiNKb26NajoSDYpHyko&amp;qlt=95" TargetMode="External"/><Relationship Id="rId268" Type="http://schemas.openxmlformats.org/officeDocument/2006/relationships/hyperlink" Target="https://www.bing.com/th?id=OSK.7a1012c1a9d108e88838b08edfeb97ed&amp;qlt=95" TargetMode="External"/><Relationship Id="rId475" Type="http://schemas.openxmlformats.org/officeDocument/2006/relationships/hyperlink" Target="https://www.bing.com/images/search?form=xlimg&amp;q=Sweden" TargetMode="External"/><Relationship Id="rId32" Type="http://schemas.openxmlformats.org/officeDocument/2006/relationships/hyperlink" Target="https://www.bing.com/images/search?form=xlimg&amp;q=Jerusalem" TargetMode="External"/><Relationship Id="rId128" Type="http://schemas.openxmlformats.org/officeDocument/2006/relationships/hyperlink" Target="https://www.bing.com/th?id=OSK.0f414832568ff9559ab28c8e63b5ef3c&amp;qlt=95" TargetMode="External"/><Relationship Id="rId335" Type="http://schemas.openxmlformats.org/officeDocument/2006/relationships/hyperlink" Target="https://www.bing.com/images/search?form=xlimg&amp;q=Portugal" TargetMode="External"/><Relationship Id="rId542" Type="http://schemas.openxmlformats.org/officeDocument/2006/relationships/hyperlink" Target="https://www.bing.com/th?id=OSK.4c7afc570550ca78ec0344f671c754bd&amp;qlt=95" TargetMode="External"/><Relationship Id="rId181" Type="http://schemas.openxmlformats.org/officeDocument/2006/relationships/hyperlink" Target="https://www.bing.com/images/search?form=xlimg&amp;q=Federated%20States%20of%20Micronesia" TargetMode="External"/><Relationship Id="rId402" Type="http://schemas.openxmlformats.org/officeDocument/2006/relationships/hyperlink" Target="https://www.bing.com/th?id=OSK.176aa1e3bb6d3d43195c6e5a6f068080&amp;qlt=95" TargetMode="External"/><Relationship Id="rId279" Type="http://schemas.openxmlformats.org/officeDocument/2006/relationships/hyperlink" Target="https://www.bing.com/images/search?form=xlimg&amp;q=Skopje" TargetMode="External"/><Relationship Id="rId486" Type="http://schemas.openxmlformats.org/officeDocument/2006/relationships/hyperlink" Target="https://www.bing.com/th?id=OSK.7eecc7493acd5da763572de73e65abc1&amp;qlt=95" TargetMode="External"/><Relationship Id="rId43" Type="http://schemas.openxmlformats.org/officeDocument/2006/relationships/hyperlink" Target="https://www.bing.com/th?id=OSK.mTs9AdlNDLziaMN3BIhJpWCGZaOOUwqIR2jN3FJEeTw&amp;qlt=95" TargetMode="External"/><Relationship Id="rId139" Type="http://schemas.openxmlformats.org/officeDocument/2006/relationships/hyperlink" Target="https://www.bing.com/images/search?form=xlimg&amp;q=Lilongwe" TargetMode="External"/><Relationship Id="rId346" Type="http://schemas.openxmlformats.org/officeDocument/2006/relationships/image" Target="../media/image66.8zn8I87SMZQID1yeREa5ylZshLmieZDX"/><Relationship Id="rId553" Type="http://schemas.openxmlformats.org/officeDocument/2006/relationships/hyperlink" Target="https://www.bing.com/images/search?form=xlimg&amp;q=Funafuti" TargetMode="External"/><Relationship Id="rId192" Type="http://schemas.openxmlformats.org/officeDocument/2006/relationships/image" Target="../media/image38.D4xwjISfUSLao3ePvCDt13L2x2dVn"/><Relationship Id="rId206" Type="http://schemas.openxmlformats.org/officeDocument/2006/relationships/hyperlink" Target="https://www.bing.com/images/search?form=xlimg&amp;q=Morocco" TargetMode="External"/><Relationship Id="rId413" Type="http://schemas.openxmlformats.org/officeDocument/2006/relationships/hyperlink" Target="https://www.bing.com/images/search?form=xlimg&amp;q=Freetown" TargetMode="External"/><Relationship Id="rId497" Type="http://schemas.openxmlformats.org/officeDocument/2006/relationships/hyperlink" Target="https://www.bing.com/images/search?form=xlimg&amp;q=New%20Taipei%20City" TargetMode="External"/><Relationship Id="rId357" Type="http://schemas.openxmlformats.org/officeDocument/2006/relationships/hyperlink" Target="https://www.bing.com/th?id=OSK.9c76d3a0586783f0d0a9dbc1bfb54a64&amp;qlt=95" TargetMode="External"/><Relationship Id="rId54" Type="http://schemas.openxmlformats.org/officeDocument/2006/relationships/hyperlink" Target="https://www.bing.com/images/search?form=xlimg&amp;q=Kazakhstan" TargetMode="External"/><Relationship Id="rId217" Type="http://schemas.openxmlformats.org/officeDocument/2006/relationships/hyperlink" Target="https://www.bing.com/th?id=OSK.2cd9330c156b88cf38e058249385607a&amp;qlt=95" TargetMode="External"/><Relationship Id="rId564" Type="http://schemas.openxmlformats.org/officeDocument/2006/relationships/hyperlink" Target="https://www.bing.com/th?id=OSK.ffaa47f2f4e92fa19bdb4953fe6f287a&amp;qlt=95" TargetMode="External"/><Relationship Id="rId424" Type="http://schemas.openxmlformats.org/officeDocument/2006/relationships/image" Target="../media/image82.d603cc664aacae23506060091bb6f52d"/><Relationship Id="rId270" Type="http://schemas.openxmlformats.org/officeDocument/2006/relationships/hyperlink" Target="https://www.bing.com/th?id=OSK.c224c44215953502f78d61b92b10e01b&amp;qlt=95" TargetMode="External"/><Relationship Id="rId65" Type="http://schemas.openxmlformats.org/officeDocument/2006/relationships/hyperlink" Target="https://www.bing.com/th?id=OSK.d86e69d23c6b77dee6209c6f646f4af8&amp;qlt=95" TargetMode="External"/><Relationship Id="rId130" Type="http://schemas.openxmlformats.org/officeDocument/2006/relationships/hyperlink" Target="https://www.bing.com/th?id=OSK.3e3acdb31b9553a2f3a902adc762caf9&amp;qlt=95" TargetMode="External"/><Relationship Id="rId368" Type="http://schemas.openxmlformats.org/officeDocument/2006/relationships/hyperlink" Target="https://www.bing.com/images/search?form=xlimg&amp;q=Castries" TargetMode="External"/><Relationship Id="rId575" Type="http://schemas.openxmlformats.org/officeDocument/2006/relationships/hyperlink" Target="https://www.bing.com/images/search?form=xlimg&amp;q=London" TargetMode="External"/><Relationship Id="rId228" Type="http://schemas.openxmlformats.org/officeDocument/2006/relationships/hyperlink" Target="https://www.bing.com/images/search?form=xlimg&amp;q=Windhoek" TargetMode="External"/><Relationship Id="rId435" Type="http://schemas.openxmlformats.org/officeDocument/2006/relationships/hyperlink" Target="https://www.bing.com/th?id=OSK.ede47cead1c2833fa16bf6560a203a05&amp;qlt=95" TargetMode="External"/><Relationship Id="rId281" Type="http://schemas.openxmlformats.org/officeDocument/2006/relationships/hyperlink" Target="https://www.bing.com/images/search?form=xlimg&amp;q=Norway" TargetMode="External"/><Relationship Id="rId502" Type="http://schemas.openxmlformats.org/officeDocument/2006/relationships/hyperlink" Target="https://www.bing.com/images/search?form=xlimg&amp;q=Dushanbe" TargetMode="External"/><Relationship Id="rId76" Type="http://schemas.openxmlformats.org/officeDocument/2006/relationships/hyperlink" Target="https://www.bing.com/images/search?form=xlimg&amp;q=Kuwait" TargetMode="External"/><Relationship Id="rId141" Type="http://schemas.openxmlformats.org/officeDocument/2006/relationships/hyperlink" Target="https://www.bing.com/images/search?form=xlimg&amp;q=Malaysia" TargetMode="External"/><Relationship Id="rId379" Type="http://schemas.openxmlformats.org/officeDocument/2006/relationships/hyperlink" Target="https://www.bing.com/th?id=OSK.246f78b1ebbe95e4f39bcd7df04a3ce6&amp;qlt=95" TargetMode="External"/><Relationship Id="rId586" Type="http://schemas.openxmlformats.org/officeDocument/2006/relationships/hyperlink" Target="https://www.bing.com/th?id=OSK.YJ3qOQ9fojtF20ZFDNUAKW0sRgGrSSdPRY1fp2Ladns&amp;qlt=95" TargetMode="External"/><Relationship Id="rId7" Type="http://schemas.openxmlformats.org/officeDocument/2006/relationships/hyperlink" Target="https://www.bing.com/images/search?form=xlimg&amp;q=Mumbai" TargetMode="External"/><Relationship Id="rId239" Type="http://schemas.openxmlformats.org/officeDocument/2006/relationships/hyperlink" Target="https://www.bing.com/th?id=OSK.73e863f7deba4c67af5116ae807ed89a&amp;qlt=95" TargetMode="External"/><Relationship Id="rId446" Type="http://schemas.openxmlformats.org/officeDocument/2006/relationships/image" Target="../media/image86.3ad9dc82b4ada40031ce05d559610900"/><Relationship Id="rId292" Type="http://schemas.openxmlformats.org/officeDocument/2006/relationships/image" Target="../media/image56.e965f24f2ce2a4b2b55f2d2c8f816720"/><Relationship Id="rId306" Type="http://schemas.openxmlformats.org/officeDocument/2006/relationships/hyperlink" Target="https://www.bing.com/images/search?form=xlimg&amp;q=Panama%20City" TargetMode="External"/><Relationship Id="rId87" Type="http://schemas.openxmlformats.org/officeDocument/2006/relationships/image" Target="../media/image17.jpeg"/><Relationship Id="rId513" Type="http://schemas.openxmlformats.org/officeDocument/2006/relationships/hyperlink" Target="https://www.bing.com/th?id=OSK.a1a42f3902075c9d42cc5b831273180b&amp;qlt=95" TargetMode="External"/><Relationship Id="rId597" Type="http://schemas.openxmlformats.org/officeDocument/2006/relationships/hyperlink" Target="https://www.bing.com/images/search?form=xlimg&amp;q=Port%20Vila" TargetMode="External"/><Relationship Id="rId152" Type="http://schemas.openxmlformats.org/officeDocument/2006/relationships/image" Target="../media/image30.LcRMeggx03inKPTzwsb4AzxlvPrHqvGePwbrfJ4NTQI"/><Relationship Id="rId457" Type="http://schemas.openxmlformats.org/officeDocument/2006/relationships/hyperlink" Target="https://www.bing.com/th?id=OSK.12f7533dca5f011065a431e87678062b&amp;qlt=95" TargetMode="External"/><Relationship Id="rId14" Type="http://schemas.openxmlformats.org/officeDocument/2006/relationships/hyperlink" Target="https://www.bing.com/images/search?form=xlimg&amp;q=Iran" TargetMode="External"/><Relationship Id="rId317" Type="http://schemas.openxmlformats.org/officeDocument/2006/relationships/hyperlink" Target="https://www.bing.com/th?id=OSK.S_SnfD5CBAuofnZbKugVqqGeF5OparGyChIFkOAux9M&amp;qlt=95" TargetMode="External"/><Relationship Id="rId524" Type="http://schemas.openxmlformats.org/officeDocument/2006/relationships/hyperlink" Target="https://www.bing.com/images/search?form=xlimg&amp;q=Nuku%ca%bbalofa" TargetMode="External"/><Relationship Id="rId98" Type="http://schemas.openxmlformats.org/officeDocument/2006/relationships/hyperlink" Target="https://www.bing.com/th?id=OSK.9206c964c127d732ab21fce2b025b9ca&amp;qlt=95" TargetMode="External"/><Relationship Id="rId163" Type="http://schemas.openxmlformats.org/officeDocument/2006/relationships/hyperlink" Target="https://www.bing.com/th?id=OSK.9111faa87c22b71996e9579a1ae96259&amp;qlt=95" TargetMode="External"/><Relationship Id="rId370" Type="http://schemas.openxmlformats.org/officeDocument/2006/relationships/hyperlink" Target="https://www.bing.com/images/search?form=xlimg&amp;q=Saint%20Vincent%20and%20the%20Grenadines" TargetMode="External"/><Relationship Id="rId230" Type="http://schemas.openxmlformats.org/officeDocument/2006/relationships/hyperlink" Target="https://www.bing.com/images/search?form=xlimg&amp;q=Nauru" TargetMode="External"/><Relationship Id="rId468" Type="http://schemas.openxmlformats.org/officeDocument/2006/relationships/hyperlink" Target="https://www.bing.com/images/search?form=xlimg&amp;q=Khartoum" TargetMode="External"/><Relationship Id="rId25" Type="http://schemas.openxmlformats.org/officeDocument/2006/relationships/image" Target="../media/image5.EaGKENylPymKR2vxwyKFWGRGtGNcLXtM8meCLdtsfYI"/><Relationship Id="rId328" Type="http://schemas.openxmlformats.org/officeDocument/2006/relationships/hyperlink" Target="https://www.bing.com/images/search?form=xlimg&amp;q=Quezon%20City" TargetMode="External"/><Relationship Id="rId535" Type="http://schemas.openxmlformats.org/officeDocument/2006/relationships/hyperlink" Target="https://www.bing.com/th?id=OSK.40f7785469d16b82e49f366196764133&amp;qlt=95" TargetMode="External"/><Relationship Id="rId132" Type="http://schemas.openxmlformats.org/officeDocument/2006/relationships/image" Target="../media/image26.3e3acdb31b9553a2f3a902adc762caf9"/><Relationship Id="rId174" Type="http://schemas.openxmlformats.org/officeDocument/2006/relationships/hyperlink" Target="https://www.bing.com/images/search?form=xlimg&amp;q=Port%20Louis" TargetMode="External"/><Relationship Id="rId381" Type="http://schemas.openxmlformats.org/officeDocument/2006/relationships/image" Target="../media/image73.246f78b1ebbe95e4f39bcd7df04a3ce6"/><Relationship Id="rId602" Type="http://schemas.openxmlformats.org/officeDocument/2006/relationships/hyperlink" Target="https://www.bing.com/images/search?form=xlimg&amp;q=Venezuela" TargetMode="External"/><Relationship Id="rId241" Type="http://schemas.openxmlformats.org/officeDocument/2006/relationships/hyperlink" Target="https://www.bing.com/th?id=OSK.8p2k5lHoxkLkVFhhRavwz0TU1HJcwyyrphMGrCfxYiE&amp;qlt=95" TargetMode="External"/><Relationship Id="rId437" Type="http://schemas.openxmlformats.org/officeDocument/2006/relationships/hyperlink" Target="https://www.bing.com/th?id=OSK.5ca82a675c844491e9b0ecb82e975a85&amp;qlt=95" TargetMode="External"/><Relationship Id="rId479" Type="http://schemas.openxmlformats.org/officeDocument/2006/relationships/hyperlink" Target="https://www.bing.com/th?id=OSK.f7fdc0797674edd230ee73aba17b77d2&amp;qlt=95" TargetMode="External"/><Relationship Id="rId36" Type="http://schemas.openxmlformats.org/officeDocument/2006/relationships/hyperlink" Target="https://www.bing.com/th?id=OSK.67d76f395c2b697245dd061f8d822699&amp;qlt=95" TargetMode="External"/><Relationship Id="rId283" Type="http://schemas.openxmlformats.org/officeDocument/2006/relationships/hyperlink" Target="https://www.bing.com/th?id=OSK.44fc3e579527f5bc277a7883df73c295&amp;qlt=95" TargetMode="External"/><Relationship Id="rId339" Type="http://schemas.openxmlformats.org/officeDocument/2006/relationships/hyperlink" Target="https://www.bing.com/th?id=OSK.TKPSvA-OAW5BarXuVnMs5lQ98P7sJ7maF0Rpbm4vILE&amp;qlt=95" TargetMode="External"/><Relationship Id="rId490" Type="http://schemas.openxmlformats.org/officeDocument/2006/relationships/hyperlink" Target="https://www.bing.com/images/search?form=xlimg&amp;q=Damascus" TargetMode="External"/><Relationship Id="rId504" Type="http://schemas.openxmlformats.org/officeDocument/2006/relationships/hyperlink" Target="https://www.bing.com/images/search?form=xlimg&amp;q=Tanzania" TargetMode="External"/><Relationship Id="rId546" Type="http://schemas.openxmlformats.org/officeDocument/2006/relationships/image" Target="../media/image104.c5f048e17508b581af8aae6a4c506eb1"/><Relationship Id="rId78" Type="http://schemas.openxmlformats.org/officeDocument/2006/relationships/hyperlink" Target="https://www.bing.com/th?id=OSK.8bfvFKkyRCNJzHN8or7VELPkMkkju3GdoSGlkHXQVX4&amp;qlt=95" TargetMode="External"/><Relationship Id="rId101" Type="http://schemas.openxmlformats.org/officeDocument/2006/relationships/hyperlink" Target="https://www.bing.com/images/search?form=xlimg&amp;q=Lesotho" TargetMode="External"/><Relationship Id="rId143" Type="http://schemas.openxmlformats.org/officeDocument/2006/relationships/hyperlink" Target="https://www.bing.com/th?id=OSK.e-IvvYMVbNBxYtivaAndiXz6G8ozxP48JqYpOtzAAv8&amp;qlt=95" TargetMode="External"/><Relationship Id="rId185" Type="http://schemas.openxmlformats.org/officeDocument/2006/relationships/hyperlink" Target="https://www.bing.com/th?id=OSK.0335b9be8b1f63525cf0a898e3f23bed&amp;qlt=95" TargetMode="External"/><Relationship Id="rId350" Type="http://schemas.openxmlformats.org/officeDocument/2006/relationships/hyperlink" Target="https://www.bing.com/images/search?form=xlimg&amp;q=Russia" TargetMode="External"/><Relationship Id="rId406" Type="http://schemas.openxmlformats.org/officeDocument/2006/relationships/image" Target="../media/image78.ljNl0oWNJzuDnfkeG13wyiykWTzXRgDIr3ZtPQyxM"/><Relationship Id="rId588" Type="http://schemas.openxmlformats.org/officeDocument/2006/relationships/hyperlink" Target="https://www.bing.com/th?id=OSK.79603601c02fb12e2ae6810717b92274&amp;qlt=95" TargetMode="External"/><Relationship Id="rId9" Type="http://schemas.openxmlformats.org/officeDocument/2006/relationships/hyperlink" Target="https://www.bing.com/images/search?form=xlimg&amp;q=Indonesia" TargetMode="External"/><Relationship Id="rId210" Type="http://schemas.openxmlformats.org/officeDocument/2006/relationships/hyperlink" Target="https://www.bing.com/th?id=OSK.c81c0f190fee5471b4294851b7988441&amp;qlt=95" TargetMode="External"/><Relationship Id="rId392" Type="http://schemas.openxmlformats.org/officeDocument/2006/relationships/hyperlink" Target="https://www.bing.com/th?id=OSK.ea377159b319b539c893581efdae6a2c&amp;qlt=95" TargetMode="External"/><Relationship Id="rId448" Type="http://schemas.openxmlformats.org/officeDocument/2006/relationships/hyperlink" Target="https://www.bing.com/images/search?form=xlimg&amp;q=Seoul" TargetMode="External"/><Relationship Id="rId613" Type="http://schemas.openxmlformats.org/officeDocument/2006/relationships/hyperlink" Target="https://www.bing.com/th?id=OSK.uZwEjKcMrq7mRuJ7EfXa8W1XqF_8MEvx-qGiA9SVN5s&amp;qlt=95" TargetMode="External"/><Relationship Id="rId252" Type="http://schemas.openxmlformats.org/officeDocument/2006/relationships/hyperlink" Target="https://www.bing.com/images/search?form=xlimg&amp;q=Auckland" TargetMode="External"/><Relationship Id="rId294" Type="http://schemas.openxmlformats.org/officeDocument/2006/relationships/hyperlink" Target="https://www.bing.com/images/search?form=xlimg&amp;q=Islamabad" TargetMode="External"/><Relationship Id="rId308" Type="http://schemas.openxmlformats.org/officeDocument/2006/relationships/hyperlink" Target="https://www.bing.com/images/search?form=xlimg&amp;q=Papua%20New%20Guinea" TargetMode="External"/><Relationship Id="rId515" Type="http://schemas.openxmlformats.org/officeDocument/2006/relationships/hyperlink" Target="https://www.bing.com/th?id=OSK.932ac538df84eaccfd905470a02a2df0&amp;qlt=95" TargetMode="External"/><Relationship Id="rId47" Type="http://schemas.openxmlformats.org/officeDocument/2006/relationships/hyperlink" Target="https://www.bing.com/images/search?form=xlimg&amp;q=Tokyo" TargetMode="External"/><Relationship Id="rId89" Type="http://schemas.openxmlformats.org/officeDocument/2006/relationships/hyperlink" Target="https://www.bing.com/images/search?form=xlimg&amp;q=Vientiane" TargetMode="External"/><Relationship Id="rId112" Type="http://schemas.openxmlformats.org/officeDocument/2006/relationships/image" Target="../media/image22.fb4d51ce3b3c5a41b4f906a3da0010c7"/><Relationship Id="rId154" Type="http://schemas.openxmlformats.org/officeDocument/2006/relationships/hyperlink" Target="https://www.bing.com/images/search?form=xlimg&amp;q=Bamako" TargetMode="External"/><Relationship Id="rId361" Type="http://schemas.openxmlformats.org/officeDocument/2006/relationships/image" Target="../media/image69.b0fa55ae76926529331739d0cb9ebaf2"/><Relationship Id="rId557" Type="http://schemas.openxmlformats.org/officeDocument/2006/relationships/hyperlink" Target="https://www.bing.com/th?id=OSK.74c20f43811ecb9019b8b8816ae3d0f7&amp;qlt=95" TargetMode="External"/><Relationship Id="rId599" Type="http://schemas.openxmlformats.org/officeDocument/2006/relationships/hyperlink" Target="https://www.bing.com/images/search?form=xlimg&amp;q=Vatican%20City" TargetMode="External"/><Relationship Id="rId196" Type="http://schemas.openxmlformats.org/officeDocument/2006/relationships/hyperlink" Target="https://www.bing.com/images/search?form=xlimg&amp;q=Mongolia" TargetMode="External"/><Relationship Id="rId417" Type="http://schemas.openxmlformats.org/officeDocument/2006/relationships/hyperlink" Target="https://www.bing.com/th?id=OSK.d9b621cc7d88019e0d716dda1c17a307&amp;qlt=95" TargetMode="External"/><Relationship Id="rId459" Type="http://schemas.openxmlformats.org/officeDocument/2006/relationships/hyperlink" Target="https://www.bing.com/th?id=OSK.91cdd8c2c217bcec6773ddb1c496a218&amp;qlt=95" TargetMode="External"/><Relationship Id="rId16" Type="http://schemas.openxmlformats.org/officeDocument/2006/relationships/hyperlink" Target="https://www.bing.com/th?id=OSK.c3262a38022e4ff175f6f94a00b14db3&amp;qlt=95" TargetMode="External"/><Relationship Id="rId221" Type="http://schemas.openxmlformats.org/officeDocument/2006/relationships/hyperlink" Target="https://www.bing.com/images/search?form=xlimg&amp;q=Naypyidaw" TargetMode="External"/><Relationship Id="rId263" Type="http://schemas.openxmlformats.org/officeDocument/2006/relationships/hyperlink" Target="https://www.bing.com/th?id=OSK.1lDz58-30pTBlPgX6rdnEjTQIwHMDzncwKB6QGzRSaU&amp;qlt=95" TargetMode="External"/><Relationship Id="rId319" Type="http://schemas.openxmlformats.org/officeDocument/2006/relationships/image" Target="../media/image61.S"/><Relationship Id="rId470" Type="http://schemas.openxmlformats.org/officeDocument/2006/relationships/hyperlink" Target="https://www.bing.com/images/search?form=xlimg&amp;q=Suriname" TargetMode="External"/><Relationship Id="rId526" Type="http://schemas.openxmlformats.org/officeDocument/2006/relationships/hyperlink" Target="https://www.bing.com/images/search?form=xlimg&amp;q=Trinidad%20and%20Tobago" TargetMode="External"/><Relationship Id="rId58" Type="http://schemas.openxmlformats.org/officeDocument/2006/relationships/hyperlink" Target="https://www.bing.com/th?id=OSK.b0c6e12ca0bc76c7a98c85624fe24b9c&amp;qlt=95" TargetMode="External"/><Relationship Id="rId123" Type="http://schemas.openxmlformats.org/officeDocument/2006/relationships/hyperlink" Target="https://www.bing.com/th?id=OSK.513c1dd7c4f88511d9e32e0a3333506a&amp;qlt=95" TargetMode="External"/><Relationship Id="rId330" Type="http://schemas.openxmlformats.org/officeDocument/2006/relationships/hyperlink" Target="https://www.bing.com/images/search?form=xlimg&amp;q=Poland" TargetMode="External"/><Relationship Id="rId568" Type="http://schemas.openxmlformats.org/officeDocument/2006/relationships/hyperlink" Target="https://www.bing.com/images/search?form=xlimg&amp;q=Abu%20Dhabi" TargetMode="External"/><Relationship Id="rId165" Type="http://schemas.openxmlformats.org/officeDocument/2006/relationships/hyperlink" Target="https://www.bing.com/th?id=OSK.8ebdfc7443092f62beea25dfd8750072&amp;qlt=95" TargetMode="External"/><Relationship Id="rId372" Type="http://schemas.openxmlformats.org/officeDocument/2006/relationships/hyperlink" Target="https://www.bing.com/th?id=OSK.fb67f07c957be49c91f0cddfd7fb504b&amp;qlt=95" TargetMode="External"/><Relationship Id="rId428" Type="http://schemas.openxmlformats.org/officeDocument/2006/relationships/hyperlink" Target="https://www.bing.com/images/search?form=xlimg&amp;q=Solomon%20Islands" TargetMode="External"/><Relationship Id="rId232" Type="http://schemas.openxmlformats.org/officeDocument/2006/relationships/hyperlink" Target="https://www.bing.com/th?id=OSK.8fd0621b24f8b27f4c7b8cd5fb23ca24&amp;qlt=95" TargetMode="External"/><Relationship Id="rId274" Type="http://schemas.openxmlformats.org/officeDocument/2006/relationships/hyperlink" Target="https://www.bing.com/images/search?form=xlimg&amp;q=Pyongyang" TargetMode="External"/><Relationship Id="rId481" Type="http://schemas.openxmlformats.org/officeDocument/2006/relationships/image" Target="../media/image93.f7fdc0797674edd230ee73aba17b77d2"/><Relationship Id="rId27" Type="http://schemas.openxmlformats.org/officeDocument/2006/relationships/hyperlink" Target="https://www.bing.com/images/search?form=xlimg&amp;q=Dublin" TargetMode="External"/><Relationship Id="rId69" Type="http://schemas.openxmlformats.org/officeDocument/2006/relationships/hyperlink" Target="https://www.bing.com/images/search?form=xlimg&amp;q=South%20Tarawa" TargetMode="External"/><Relationship Id="rId134" Type="http://schemas.openxmlformats.org/officeDocument/2006/relationships/hyperlink" Target="https://www.bing.com/images/search?form=xlimg&amp;q=Antananarivo" TargetMode="External"/><Relationship Id="rId537" Type="http://schemas.openxmlformats.org/officeDocument/2006/relationships/hyperlink" Target="https://www.bing.com/th?id=OSK.fda9e53ebc3cfcb82bd9b5ab4f11c264&amp;qlt=95" TargetMode="External"/><Relationship Id="rId579" Type="http://schemas.openxmlformats.org/officeDocument/2006/relationships/hyperlink" Target="https://www.bing.com/th?id=OSK.981dfed45bddddb455a23124690acd40&amp;qlt=95" TargetMode="External"/><Relationship Id="rId80" Type="http://schemas.openxmlformats.org/officeDocument/2006/relationships/hyperlink" Target="https://www.bing.com/th?id=OSK.018cba18d7243d7974b30e2acbca6afc&amp;qlt=95" TargetMode="External"/><Relationship Id="rId176" Type="http://schemas.openxmlformats.org/officeDocument/2006/relationships/hyperlink" Target="https://www.bing.com/images/search?form=xlimg&amp;q=Mexico" TargetMode="External"/><Relationship Id="rId341" Type="http://schemas.openxmlformats.org/officeDocument/2006/relationships/image" Target="../media/image65.TKPSvA"/><Relationship Id="rId383" Type="http://schemas.openxmlformats.org/officeDocument/2006/relationships/hyperlink" Target="https://www.bing.com/images/search?form=xlimg&amp;q=City%20of%20San%20Marino" TargetMode="External"/><Relationship Id="rId439" Type="http://schemas.openxmlformats.org/officeDocument/2006/relationships/image" Target="../media/image85.5ca82a675c844491e9b0ecb82e975a85"/><Relationship Id="rId590" Type="http://schemas.openxmlformats.org/officeDocument/2006/relationships/image" Target="../media/image112.79603601c02fb12e2ae6810717b92274"/><Relationship Id="rId604" Type="http://schemas.openxmlformats.org/officeDocument/2006/relationships/hyperlink" Target="https://www.bing.com/th?id=OSK.7417769eef2422db27a051cb6a5d8ca7&amp;qlt=95" TargetMode="External"/><Relationship Id="rId201" Type="http://schemas.openxmlformats.org/officeDocument/2006/relationships/hyperlink" Target="https://www.bing.com/images/search?form=xlimg&amp;q=Montenegro" TargetMode="External"/><Relationship Id="rId243" Type="http://schemas.openxmlformats.org/officeDocument/2006/relationships/image" Target="../media/image47.8p2k5lHoxkLkVFhhRavwz0TU1HJcwyyrphMGrCfxYiE"/><Relationship Id="rId285" Type="http://schemas.openxmlformats.org/officeDocument/2006/relationships/hyperlink" Target="https://www.bing.com/th?id=OSK.c282afb0e6060bf15f29d7ebf581fff8&amp;qlt=95" TargetMode="External"/><Relationship Id="rId450" Type="http://schemas.openxmlformats.org/officeDocument/2006/relationships/hyperlink" Target="https://www.bing.com/images/search?form=xlimg&amp;q=South%20Sudan" TargetMode="External"/><Relationship Id="rId506" Type="http://schemas.openxmlformats.org/officeDocument/2006/relationships/hyperlink" Target="https://www.bing.com/th?id=OSK.393e335d05aa20c761c4cf549bb482be&amp;qlt=95" TargetMode="External"/><Relationship Id="rId38" Type="http://schemas.openxmlformats.org/officeDocument/2006/relationships/hyperlink" Target="https://www.bing.com/th?id=OSK.94086dce43b799884caf1b5baa7e59d4&amp;qlt=95" TargetMode="External"/><Relationship Id="rId103" Type="http://schemas.openxmlformats.org/officeDocument/2006/relationships/hyperlink" Target="https://www.bing.com/th?id=OSK.52b50b991be34f26448f5a554a670fff&amp;qlt=95" TargetMode="External"/><Relationship Id="rId310" Type="http://schemas.openxmlformats.org/officeDocument/2006/relationships/hyperlink" Target="https://www.bing.com/th?id=OSK.65aa1e947c50eab03e3046dd357deefa&amp;qlt=95" TargetMode="External"/><Relationship Id="rId492" Type="http://schemas.openxmlformats.org/officeDocument/2006/relationships/hyperlink" Target="https://www.bing.com/images/search?form=xlimg&amp;q=Taiwan" TargetMode="External"/><Relationship Id="rId548" Type="http://schemas.openxmlformats.org/officeDocument/2006/relationships/hyperlink" Target="https://www.bing.com/images/search?form=xlimg&amp;q=Ashgabat" TargetMode="External"/><Relationship Id="rId91" Type="http://schemas.openxmlformats.org/officeDocument/2006/relationships/hyperlink" Target="https://www.bing.com/images/search?form=xlimg&amp;q=Latvia" TargetMode="External"/><Relationship Id="rId145" Type="http://schemas.openxmlformats.org/officeDocument/2006/relationships/hyperlink" Target="https://www.bing.com/th?id=OSK.f3c491f7dd42b671a692606776614e6b&amp;qlt=95" TargetMode="External"/><Relationship Id="rId187" Type="http://schemas.openxmlformats.org/officeDocument/2006/relationships/image" Target="../media/image37.0335b9be8b1f63525cf0a898e3f23bed"/><Relationship Id="rId352" Type="http://schemas.openxmlformats.org/officeDocument/2006/relationships/hyperlink" Target="https://www.bing.com/th?id=OSK.6b17e29582309b03c29fdd07b491266c&amp;qlt=95" TargetMode="External"/><Relationship Id="rId394" Type="http://schemas.openxmlformats.org/officeDocument/2006/relationships/hyperlink" Target="https://www.bing.com/th?id=OSK.105f7944db0ae6d2e72c59412a229957&amp;qlt=95" TargetMode="External"/><Relationship Id="rId408" Type="http://schemas.openxmlformats.org/officeDocument/2006/relationships/hyperlink" Target="https://www.bing.com/images/search?form=xlimg&amp;q=Victoria,%20Seychelles" TargetMode="External"/><Relationship Id="rId615" Type="http://schemas.openxmlformats.org/officeDocument/2006/relationships/image" Target="../media/image117.uZwEjKcMrq7mRuJ7EfXa8W1XqF"/><Relationship Id="rId212" Type="http://schemas.openxmlformats.org/officeDocument/2006/relationships/hyperlink" Target="https://www.bing.com/th?id=OSK.989670e50ad251d79db87c50146adcce&amp;qlt=95" TargetMode="External"/><Relationship Id="rId254" Type="http://schemas.openxmlformats.org/officeDocument/2006/relationships/hyperlink" Target="https://www.bing.com/images/search?form=xlimg&amp;q=Nicaragua" TargetMode="External"/><Relationship Id="rId49" Type="http://schemas.openxmlformats.org/officeDocument/2006/relationships/hyperlink" Target="https://www.bing.com/images/search?form=xlimg&amp;q=Jordan" TargetMode="External"/><Relationship Id="rId114" Type="http://schemas.openxmlformats.org/officeDocument/2006/relationships/hyperlink" Target="https://www.bing.com/images/search?form=xlimg&amp;q=Liechtenstein" TargetMode="External"/><Relationship Id="rId296" Type="http://schemas.openxmlformats.org/officeDocument/2006/relationships/hyperlink" Target="https://www.bing.com/images/search?form=xlimg&amp;q=Karachi" TargetMode="External"/><Relationship Id="rId461" Type="http://schemas.openxmlformats.org/officeDocument/2006/relationships/image" Target="../media/image89.91cdd8c2c217bcec6773ddb1c496a218"/><Relationship Id="rId517" Type="http://schemas.openxmlformats.org/officeDocument/2006/relationships/image" Target="../media/image99.932ac538df84eaccfd905470a02a2df0"/><Relationship Id="rId559" Type="http://schemas.openxmlformats.org/officeDocument/2006/relationships/hyperlink" Target="https://www.bing.com/th?id=OSK.gYPtm5v9C4-FDIvBrAif23Q85Oul0ZWNE0uP7Z6D2gc&amp;qlt=95" TargetMode="External"/><Relationship Id="rId60" Type="http://schemas.openxmlformats.org/officeDocument/2006/relationships/hyperlink" Target="https://www.bing.com/th?id=OSK.0590cf2a1c7526a2ed1403b80a7c694b&amp;qlt=95" TargetMode="External"/><Relationship Id="rId156" Type="http://schemas.openxmlformats.org/officeDocument/2006/relationships/hyperlink" Target="https://www.bing.com/images/search?form=xlimg&amp;q=Malta" TargetMode="External"/><Relationship Id="rId198" Type="http://schemas.openxmlformats.org/officeDocument/2006/relationships/hyperlink" Target="https://www.bing.com/th?id=OSK.4c993f6539c33a690d58e51dfffb31df&amp;qlt=95" TargetMode="External"/><Relationship Id="rId321" Type="http://schemas.openxmlformats.org/officeDocument/2006/relationships/hyperlink" Target="https://www.bing.com/images/search?form=xlimg&amp;q=Lima" TargetMode="External"/><Relationship Id="rId363" Type="http://schemas.openxmlformats.org/officeDocument/2006/relationships/hyperlink" Target="https://www.bing.com/images/search?form=xlimg&amp;q=Basseterre" TargetMode="External"/><Relationship Id="rId419" Type="http://schemas.openxmlformats.org/officeDocument/2006/relationships/image" Target="../media/image81.d9b621cc7d88019e0d716dda1c17a307"/><Relationship Id="rId570" Type="http://schemas.openxmlformats.org/officeDocument/2006/relationships/hyperlink" Target="https://www.bing.com/images/search?form=xlimg&amp;q=Dubai" TargetMode="External"/><Relationship Id="rId223" Type="http://schemas.openxmlformats.org/officeDocument/2006/relationships/hyperlink" Target="https://www.bing.com/images/search?form=xlimg&amp;q=Yangon" TargetMode="External"/><Relationship Id="rId430" Type="http://schemas.openxmlformats.org/officeDocument/2006/relationships/hyperlink" Target="https://www.bing.com/th?id=OSK.564bb3d0e2056a736cd9f8f5002e3d3e&amp;qlt=95" TargetMode="External"/><Relationship Id="rId18" Type="http://schemas.openxmlformats.org/officeDocument/2006/relationships/hyperlink" Target="https://www.bing.com/th?id=OSK.4dfaa21c20368743c58453c3b36e3189&amp;qlt=95" TargetMode="External"/><Relationship Id="rId265" Type="http://schemas.openxmlformats.org/officeDocument/2006/relationships/image" Target="../media/image51.1lDz58"/><Relationship Id="rId472" Type="http://schemas.openxmlformats.org/officeDocument/2006/relationships/hyperlink" Target="https://www.bing.com/th?id=OSK.3e7ce00a95f399626b65faaa393bbaca&amp;qlt=95" TargetMode="External"/><Relationship Id="rId528" Type="http://schemas.openxmlformats.org/officeDocument/2006/relationships/hyperlink" Target="https://www.bing.com/th?id=OSK.a797d7dbee4becbbc2b34fd2a3e1e951&amp;qlt=95" TargetMode="External"/><Relationship Id="rId125" Type="http://schemas.openxmlformats.org/officeDocument/2006/relationships/hyperlink" Target="https://www.bing.com/th?id=OSK.1BmcMxc0GtCt_jlMQQM5GxJ5Qz5_CF0DkVug9_c7FDY&amp;qlt=95" TargetMode="External"/><Relationship Id="rId167" Type="http://schemas.openxmlformats.org/officeDocument/2006/relationships/image" Target="../media/image33.8ebdfc7443092f62beea25dfd8750072"/><Relationship Id="rId332" Type="http://schemas.openxmlformats.org/officeDocument/2006/relationships/hyperlink" Target="https://www.bing.com/th?id=OSK.e3c53525eb9e09ea18720d70cc198057&amp;qlt=95" TargetMode="External"/><Relationship Id="rId374" Type="http://schemas.openxmlformats.org/officeDocument/2006/relationships/hyperlink" Target="https://www.bing.com/th?id=OSK.3ebea6564e4b7edbc8b957a78f0f8d4e&amp;qlt=95" TargetMode="External"/><Relationship Id="rId581" Type="http://schemas.openxmlformats.org/officeDocument/2006/relationships/hyperlink" Target="https://www.bing.com/th?id=OSK.YtMhN6HhvG5MEe3503eBpt0x5dUEQecJSHfTztAgl0U&amp;qlt=95" TargetMode="External"/><Relationship Id="rId71" Type="http://schemas.openxmlformats.org/officeDocument/2006/relationships/hyperlink" Target="https://www.bing.com/images/search?form=xlimg&amp;q=Kosovo" TargetMode="External"/><Relationship Id="rId234" Type="http://schemas.openxmlformats.org/officeDocument/2006/relationships/hyperlink" Target="https://www.bing.com/th?id=OSK.4646ef347bcd1e245084b62603cd77eb&amp;qlt=95" TargetMode="External"/><Relationship Id="rId2" Type="http://schemas.openxmlformats.org/officeDocument/2006/relationships/hyperlink" Target="https://www.bing.com/images/search?form=xlimg&amp;q=India" TargetMode="External"/><Relationship Id="rId29" Type="http://schemas.openxmlformats.org/officeDocument/2006/relationships/hyperlink" Target="https://www.bing.com/images/search?form=xlimg&amp;q=Israel" TargetMode="External"/><Relationship Id="rId276" Type="http://schemas.openxmlformats.org/officeDocument/2006/relationships/hyperlink" Target="https://www.bing.com/images/search?form=xlimg&amp;q=North%20Macedonia" TargetMode="External"/><Relationship Id="rId441" Type="http://schemas.openxmlformats.org/officeDocument/2006/relationships/hyperlink" Target="https://www.bing.com/images/search?form=xlimg&amp;q=Pretoria" TargetMode="External"/><Relationship Id="rId483" Type="http://schemas.openxmlformats.org/officeDocument/2006/relationships/hyperlink" Target="https://www.bing.com/images/search?form=xlimg&amp;q=Bern" TargetMode="External"/><Relationship Id="rId539" Type="http://schemas.openxmlformats.org/officeDocument/2006/relationships/image" Target="../media/image103.fda9e53ebc3cfcb82bd9b5ab4f11c264"/><Relationship Id="rId40" Type="http://schemas.openxmlformats.org/officeDocument/2006/relationships/image" Target="../media/image8.94086dce43b799884caf1b5baa7e59d4"/><Relationship Id="rId136" Type="http://schemas.openxmlformats.org/officeDocument/2006/relationships/hyperlink" Target="https://www.bing.com/images/search?form=xlimg&amp;q=Malawi" TargetMode="External"/><Relationship Id="rId178" Type="http://schemas.openxmlformats.org/officeDocument/2006/relationships/hyperlink" Target="https://www.bing.com/th?id=OSK.b40a60ccc8e28615c2795638db2c0432&amp;qlt=95" TargetMode="External"/><Relationship Id="rId301" Type="http://schemas.openxmlformats.org/officeDocument/2006/relationships/hyperlink" Target="https://www.bing.com/images/search?form=xlimg&amp;q=Ngerulmud" TargetMode="External"/><Relationship Id="rId343" Type="http://schemas.openxmlformats.org/officeDocument/2006/relationships/hyperlink" Target="https://www.bing.com/images/search?form=xlimg&amp;q=Doha" TargetMode="External"/><Relationship Id="rId550" Type="http://schemas.openxmlformats.org/officeDocument/2006/relationships/hyperlink" Target="https://www.bing.com/images/search?form=xlimg&amp;q=Tuvalu" TargetMode="External"/><Relationship Id="rId82" Type="http://schemas.openxmlformats.org/officeDocument/2006/relationships/image" Target="../media/image16.018cba18d7243d7974b30e2acbca6afc"/><Relationship Id="rId203" Type="http://schemas.openxmlformats.org/officeDocument/2006/relationships/hyperlink" Target="https://www.bing.com/th?id=OSK.2f9dcdf6537ec3990ca9efddf8850b13&amp;qlt=95" TargetMode="External"/><Relationship Id="rId385" Type="http://schemas.openxmlformats.org/officeDocument/2006/relationships/hyperlink" Target="https://www.bing.com/images/search?form=xlimg&amp;q=S%c3%a3o%20Tom%c3%a9%20and%20Pr%c3%adncipe" TargetMode="External"/><Relationship Id="rId592" Type="http://schemas.openxmlformats.org/officeDocument/2006/relationships/hyperlink" Target="https://www.bing.com/images/search?form=xlimg&amp;q=Tashkent" TargetMode="External"/><Relationship Id="rId606" Type="http://schemas.openxmlformats.org/officeDocument/2006/relationships/hyperlink" Target="https://www.bing.com/th?id=OSK.767fb18401935a96730aaba9da627b58&amp;qlt=95" TargetMode="External"/><Relationship Id="rId245" Type="http://schemas.openxmlformats.org/officeDocument/2006/relationships/hyperlink" Target="https://www.bing.com/images/search?form=xlimg&amp;q=Amsterdam" TargetMode="External"/><Relationship Id="rId287" Type="http://schemas.openxmlformats.org/officeDocument/2006/relationships/image" Target="../media/image55.c282afb0e6060bf15f29d7ebf581fff8"/><Relationship Id="rId410" Type="http://schemas.openxmlformats.org/officeDocument/2006/relationships/hyperlink" Target="https://www.bing.com/images/search?form=xlimg&amp;q=Sierra%20Leone" TargetMode="External"/><Relationship Id="rId452" Type="http://schemas.openxmlformats.org/officeDocument/2006/relationships/hyperlink" Target="https://www.bing.com/th?id=OSK.4f68e0a56ef88c3a51fd7c11747f7e83&amp;qlt=95" TargetMode="External"/><Relationship Id="rId494" Type="http://schemas.openxmlformats.org/officeDocument/2006/relationships/hyperlink" Target="https://www.bing.com/th?id=OSK.532226774d9b62d3ab2e1ab603e663df&amp;qlt=95" TargetMode="External"/><Relationship Id="rId508" Type="http://schemas.openxmlformats.org/officeDocument/2006/relationships/hyperlink" Target="https://www.bing.com/th?id=OSK.7e9c31b1a2181b22638cb05359ddf573&amp;qlt=95" TargetMode="External"/><Relationship Id="rId105" Type="http://schemas.openxmlformats.org/officeDocument/2006/relationships/hyperlink" Target="https://www.bing.com/th?id=OSK.f76d61233f343ee299a43a3238c04b23&amp;qlt=95" TargetMode="External"/><Relationship Id="rId147" Type="http://schemas.openxmlformats.org/officeDocument/2006/relationships/image" Target="../media/image29.f3c491f7dd42b671a692606776614e6b"/><Relationship Id="rId312" Type="http://schemas.openxmlformats.org/officeDocument/2006/relationships/hyperlink" Target="https://www.bing.com/th?id=OSK.3f2c2e35d6d20f861bc4ca4ec4fd7ae8&amp;qlt=95" TargetMode="External"/><Relationship Id="rId354" Type="http://schemas.openxmlformats.org/officeDocument/2006/relationships/hyperlink" Target="https://www.bing.com/th?id=OSK._xQ1Y1Yvtq6EAmZhCdbscqWHMwHi__xlEn9meCUrBXY&amp;qlt=95" TargetMode="External"/><Relationship Id="rId51" Type="http://schemas.openxmlformats.org/officeDocument/2006/relationships/hyperlink" Target="https://www.bing.com/th?id=OSK.4af86066f02a905e593fba946bd5bfca&amp;qlt=95" TargetMode="External"/><Relationship Id="rId93" Type="http://schemas.openxmlformats.org/officeDocument/2006/relationships/hyperlink" Target="https://www.bing.com/th?id=OSK.0615de4dff7d3a826a4ee40be5ee33fb&amp;qlt=95" TargetMode="External"/><Relationship Id="rId189" Type="http://schemas.openxmlformats.org/officeDocument/2006/relationships/hyperlink" Target="https://www.bing.com/images/search?form=xlimg&amp;q=Chi%c8%99in%c4%83u" TargetMode="External"/><Relationship Id="rId396" Type="http://schemas.openxmlformats.org/officeDocument/2006/relationships/image" Target="../media/image76.105f7944db0ae6d2e72c59412a229957"/><Relationship Id="rId561" Type="http://schemas.openxmlformats.org/officeDocument/2006/relationships/image" Target="../media/image107.gYPtm5v9C4"/><Relationship Id="rId617" Type="http://schemas.openxmlformats.org/officeDocument/2006/relationships/hyperlink" Target="https://www.bing.com/images/search?form=xlimg&amp;q=Sanaa" TargetMode="External"/><Relationship Id="rId214" Type="http://schemas.openxmlformats.org/officeDocument/2006/relationships/image" Target="../media/image42.989670e50ad251d79db87c50146adcce"/><Relationship Id="rId256" Type="http://schemas.openxmlformats.org/officeDocument/2006/relationships/hyperlink" Target="https://www.bing.com/th?id=OSK.c5d74f09208bfd0d8739f60ad3fadfce&amp;qlt=95" TargetMode="External"/><Relationship Id="rId298" Type="http://schemas.openxmlformats.org/officeDocument/2006/relationships/hyperlink" Target="https://www.bing.com/images/search?form=xlimg&amp;q=Palau" TargetMode="External"/><Relationship Id="rId421" Type="http://schemas.openxmlformats.org/officeDocument/2006/relationships/hyperlink" Target="https://www.bing.com/images/search?form=xlimg&amp;q=Bratislava" TargetMode="External"/><Relationship Id="rId463" Type="http://schemas.openxmlformats.org/officeDocument/2006/relationships/hyperlink" Target="https://www.bing.com/images/search?form=xlimg&amp;q=Colombo" TargetMode="External"/><Relationship Id="rId519" Type="http://schemas.openxmlformats.org/officeDocument/2006/relationships/hyperlink" Target="https://www.bing.com/images/search?form=xlimg&amp;q=Lom%c3%a9" TargetMode="External"/><Relationship Id="rId116" Type="http://schemas.openxmlformats.org/officeDocument/2006/relationships/hyperlink" Target="https://www.bing.com/th?id=OSK.d7ce9d815e3fed841bc0d80a17158116&amp;qlt=95" TargetMode="External"/><Relationship Id="rId158" Type="http://schemas.openxmlformats.org/officeDocument/2006/relationships/hyperlink" Target="https://www.bing.com/th?id=OSK.5048b4765867a982bffb068a4bc09093&amp;qlt=95" TargetMode="External"/><Relationship Id="rId323" Type="http://schemas.openxmlformats.org/officeDocument/2006/relationships/hyperlink" Target="https://www.bing.com/images/search?form=xlimg&amp;q=Philippines" TargetMode="External"/><Relationship Id="rId530" Type="http://schemas.openxmlformats.org/officeDocument/2006/relationships/hyperlink" Target="https://www.bing.com/th?id=OSK.edb613fa43bc02a99b878e1ba8186b41&amp;qlt=95" TargetMode="External"/><Relationship Id="rId20" Type="http://schemas.openxmlformats.org/officeDocument/2006/relationships/image" Target="../media/image4.4dfaa21c20368743c58453c3b36e3189"/><Relationship Id="rId62" Type="http://schemas.openxmlformats.org/officeDocument/2006/relationships/image" Target="../media/image12.0590cf2a1c7526a2ed1403b80a7c694b"/><Relationship Id="rId365" Type="http://schemas.openxmlformats.org/officeDocument/2006/relationships/hyperlink" Target="https://www.bing.com/images/search?form=xlimg&amp;q=Saint%20Lucia" TargetMode="External"/><Relationship Id="rId572" Type="http://schemas.openxmlformats.org/officeDocument/2006/relationships/hyperlink" Target="https://www.bing.com/images/search?form=xlimg&amp;q=United%20Kingdom" TargetMode="External"/><Relationship Id="rId225" Type="http://schemas.openxmlformats.org/officeDocument/2006/relationships/hyperlink" Target="https://www.bing.com/images/search?form=xlimg&amp;q=Namibia" TargetMode="External"/><Relationship Id="rId267" Type="http://schemas.openxmlformats.org/officeDocument/2006/relationships/hyperlink" Target="https://www.bing.com/images/search?form=xlimg&amp;q=Abuja" TargetMode="External"/><Relationship Id="rId432" Type="http://schemas.openxmlformats.org/officeDocument/2006/relationships/hyperlink" Target="https://www.bing.com/th?id=OSK.f250f07523766045d1f84d44aa69633c&amp;qlt=95" TargetMode="External"/><Relationship Id="rId474" Type="http://schemas.openxmlformats.org/officeDocument/2006/relationships/hyperlink" Target="https://www.bing.com/th?id=OSK.66c2ebf9a8cace2226269d70b1d3b0fc&amp;qlt=95" TargetMode="External"/><Relationship Id="rId127" Type="http://schemas.openxmlformats.org/officeDocument/2006/relationships/image" Target="../media/image25.1BmcMxc0GtCt"/><Relationship Id="rId31" Type="http://schemas.openxmlformats.org/officeDocument/2006/relationships/hyperlink" Target="https://www.bing.com/th?id=OSK.df5f1ccac0549c30279cb6f524e2c31e&amp;qlt=95" TargetMode="External"/><Relationship Id="rId73" Type="http://schemas.openxmlformats.org/officeDocument/2006/relationships/hyperlink" Target="https://www.bing.com/th?id=OSK.e2cc3a8bb09c43e5ab4eeb7b7619f6a1&amp;qlt=95" TargetMode="External"/><Relationship Id="rId169" Type="http://schemas.openxmlformats.org/officeDocument/2006/relationships/hyperlink" Target="https://www.bing.com/images/search?form=xlimg&amp;q=Nouakchott" TargetMode="External"/><Relationship Id="rId334" Type="http://schemas.openxmlformats.org/officeDocument/2006/relationships/hyperlink" Target="https://www.bing.com/th?id=OSK.2d7b7af86f9a55648a4aec7fbe3969e6&amp;qlt=95" TargetMode="External"/><Relationship Id="rId376" Type="http://schemas.openxmlformats.org/officeDocument/2006/relationships/image" Target="../media/image72.3ebea6564e4b7edbc8b957a78f0f8d4e"/><Relationship Id="rId541" Type="http://schemas.openxmlformats.org/officeDocument/2006/relationships/hyperlink" Target="https://www.bing.com/images/search?form=xlimg&amp;q=Ankara" TargetMode="External"/><Relationship Id="rId583" Type="http://schemas.openxmlformats.org/officeDocument/2006/relationships/hyperlink" Target="https://www.bing.com/th?id=OSK.7ea08d999100e33f03f970c4c3a5b798&amp;qlt=95" TargetMode="External"/><Relationship Id="rId4" Type="http://schemas.openxmlformats.org/officeDocument/2006/relationships/hyperlink" Target="https://www.bing.com/th?id=OSK.b1943a103c57ab5d6c7cef9a4b90b4b2&amp;qlt=95" TargetMode="External"/><Relationship Id="rId180" Type="http://schemas.openxmlformats.org/officeDocument/2006/relationships/hyperlink" Target="https://www.bing.com/th?id=OSK.040aff26ac57d83856e2f846c0472874&amp;qlt=95" TargetMode="External"/><Relationship Id="rId236" Type="http://schemas.openxmlformats.org/officeDocument/2006/relationships/hyperlink" Target="https://www.bing.com/th?id=OSK.eed42b6c83e37f53f33fb6943649bb48&amp;qlt=95" TargetMode="External"/><Relationship Id="rId278" Type="http://schemas.openxmlformats.org/officeDocument/2006/relationships/hyperlink" Target="https://www.bing.com/th?id=OSK.08f7f8be521c89f507fb87f738785827&amp;qlt=95" TargetMode="External"/><Relationship Id="rId401" Type="http://schemas.openxmlformats.org/officeDocument/2006/relationships/image" Target="../media/image77.c487ba4ced6ceb655b94fb1585b38896"/><Relationship Id="rId443" Type="http://schemas.openxmlformats.org/officeDocument/2006/relationships/hyperlink" Target="https://www.bing.com/images/search?form=xlimg&amp;q=Johannesburg" TargetMode="External"/><Relationship Id="rId303" Type="http://schemas.openxmlformats.org/officeDocument/2006/relationships/hyperlink" Target="https://www.bing.com/images/search?form=xlimg&amp;q=Panama" TargetMode="External"/><Relationship Id="rId485" Type="http://schemas.openxmlformats.org/officeDocument/2006/relationships/hyperlink" Target="https://www.bing.com/images/search?form=xlimg&amp;q=Z%c3%bcrich" TargetMode="External"/><Relationship Id="rId42" Type="http://schemas.openxmlformats.org/officeDocument/2006/relationships/hyperlink" Target="https://www.bing.com/images/search?form=xlimg&amp;q=Kingston,%20Jamaica" TargetMode="External"/><Relationship Id="rId84" Type="http://schemas.openxmlformats.org/officeDocument/2006/relationships/hyperlink" Target="https://www.bing.com/images/search?form=xlimg&amp;q=Bishkek" TargetMode="External"/><Relationship Id="rId138" Type="http://schemas.openxmlformats.org/officeDocument/2006/relationships/hyperlink" Target="https://www.bing.com/th?id=OSK.9016b501cc62ec052b26dd7e8939b2b2&amp;qlt=95" TargetMode="External"/><Relationship Id="rId345" Type="http://schemas.openxmlformats.org/officeDocument/2006/relationships/hyperlink" Target="https://www.bing.com/images/search?form=xlimg&amp;q=Romania" TargetMode="External"/><Relationship Id="rId387" Type="http://schemas.openxmlformats.org/officeDocument/2006/relationships/hyperlink" Target="https://www.bing.com/th?id=OSK.f96ce7f6a22513b84299d747b1fcac25&amp;qlt=95" TargetMode="External"/><Relationship Id="rId510" Type="http://schemas.openxmlformats.org/officeDocument/2006/relationships/hyperlink" Target="https://www.bing.com/th?id=OSK.GqOT1qhL9G6u_5AL8_ul98pC_nA8lVsG2EBdNFIzeRo&amp;qlt=95" TargetMode="External"/><Relationship Id="rId552" Type="http://schemas.openxmlformats.org/officeDocument/2006/relationships/hyperlink" Target="https://www.bing.com/th?id=OSK.54e41fb3a602afa9db288ff6e418f2b5&amp;qlt=95" TargetMode="External"/><Relationship Id="rId594" Type="http://schemas.openxmlformats.org/officeDocument/2006/relationships/hyperlink" Target="https://www.bing.com/images/search?form=xlimg&amp;q=Vanuatu" TargetMode="External"/><Relationship Id="rId608" Type="http://schemas.openxmlformats.org/officeDocument/2006/relationships/image" Target="../media/image116.767fb18401935a96730aaba9da627b58"/><Relationship Id="rId191" Type="http://schemas.openxmlformats.org/officeDocument/2006/relationships/hyperlink" Target="https://www.bing.com/images/search?form=xlimg&amp;q=Monaco" TargetMode="External"/><Relationship Id="rId205" Type="http://schemas.openxmlformats.org/officeDocument/2006/relationships/hyperlink" Target="https://www.bing.com/th?id=OSK.6d045ff0fc33a1c5f73e9eee1111d044&amp;qlt=95" TargetMode="External"/><Relationship Id="rId247" Type="http://schemas.openxmlformats.org/officeDocument/2006/relationships/hyperlink" Target="https://www.bing.com/images/search?form=xlimg&amp;q=New%20Zealand" TargetMode="External"/><Relationship Id="rId412" Type="http://schemas.openxmlformats.org/officeDocument/2006/relationships/hyperlink" Target="https://www.bing.com/th?id=OSK.3317a2e32e693820ad44ce3c0d546e6b&amp;qlt=95" TargetMode="External"/><Relationship Id="rId107" Type="http://schemas.openxmlformats.org/officeDocument/2006/relationships/image" Target="../media/image21.f76d61233f343ee299a43a3238c04b23"/><Relationship Id="rId289" Type="http://schemas.openxmlformats.org/officeDocument/2006/relationships/hyperlink" Target="https://www.bing.com/images/search?form=xlimg&amp;q=Muscat" TargetMode="External"/><Relationship Id="rId454" Type="http://schemas.openxmlformats.org/officeDocument/2006/relationships/hyperlink" Target="https://www.bing.com/th?id=OSK.2e5ae37a1125e977eb781fe1567bce8a&amp;qlt=95" TargetMode="External"/><Relationship Id="rId496" Type="http://schemas.openxmlformats.org/officeDocument/2006/relationships/hyperlink" Target="https://www.bing.com/th?id=OSK.ad4c055e45aa20d581d86dd7b8077137&amp;qlt=95" TargetMode="External"/><Relationship Id="rId11" Type="http://schemas.openxmlformats.org/officeDocument/2006/relationships/hyperlink" Target="https://www.bing.com/th?id=OSK.e9e045149ef206e69588c29837c2cdef&amp;qlt=95" TargetMode="External"/><Relationship Id="rId53" Type="http://schemas.openxmlformats.org/officeDocument/2006/relationships/hyperlink" Target="https://www.bing.com/th?id=OSK.2ca2f0cbeb50892f19196895e63ac761&amp;qlt=95" TargetMode="External"/><Relationship Id="rId149" Type="http://schemas.openxmlformats.org/officeDocument/2006/relationships/hyperlink" Target="https://www.bing.com/images/search?form=xlimg&amp;q=Mal%c3%a9" TargetMode="External"/><Relationship Id="rId314" Type="http://schemas.openxmlformats.org/officeDocument/2006/relationships/image" Target="../media/image60.3f2c2e35d6d20f861bc4ca4ec4fd7ae8"/><Relationship Id="rId356" Type="http://schemas.openxmlformats.org/officeDocument/2006/relationships/image" Target="../media/image68.jpeg"/><Relationship Id="rId398" Type="http://schemas.openxmlformats.org/officeDocument/2006/relationships/hyperlink" Target="https://www.bing.com/images/search?form=xlimg&amp;q=Dakar" TargetMode="External"/><Relationship Id="rId521" Type="http://schemas.openxmlformats.org/officeDocument/2006/relationships/hyperlink" Target="https://www.bing.com/images/search?form=xlimg&amp;q=Tonga" TargetMode="External"/><Relationship Id="rId563" Type="http://schemas.openxmlformats.org/officeDocument/2006/relationships/hyperlink" Target="https://www.bing.com/images/search?form=xlimg&amp;q=Kyiv" TargetMode="External"/><Relationship Id="rId95" Type="http://schemas.openxmlformats.org/officeDocument/2006/relationships/hyperlink" Target="https://www.bing.com/th?id=OSK.8e74392a9746afb6ff3d2cf8a35ab651&amp;qlt=95" TargetMode="External"/><Relationship Id="rId160" Type="http://schemas.openxmlformats.org/officeDocument/2006/relationships/hyperlink" Target="https://www.bing.com/th?id=OSK.Rc1Qm5pTk2AzdVwLkeN3DhYhvHNZ8GgfGxCUCZntD64&amp;qlt=95" TargetMode="External"/><Relationship Id="rId216" Type="http://schemas.openxmlformats.org/officeDocument/2006/relationships/hyperlink" Target="https://www.bing.com/images/search?form=xlimg&amp;q=Maputo" TargetMode="External"/><Relationship Id="rId423" Type="http://schemas.openxmlformats.org/officeDocument/2006/relationships/hyperlink" Target="https://www.bing.com/images/search?form=xlimg&amp;q=Slovenia" TargetMode="External"/><Relationship Id="rId258" Type="http://schemas.openxmlformats.org/officeDocument/2006/relationships/hyperlink" Target="https://www.bing.com/th?id=OSK.e2c3dbad92079182e0cfc64b79c56e63&amp;qlt=95" TargetMode="External"/><Relationship Id="rId465" Type="http://schemas.openxmlformats.org/officeDocument/2006/relationships/hyperlink" Target="https://www.bing.com/images/search?form=xlimg&amp;q=Sudan" TargetMode="External"/><Relationship Id="rId22" Type="http://schemas.openxmlformats.org/officeDocument/2006/relationships/hyperlink" Target="https://www.bing.com/images/search?form=xlimg&amp;q=Baghdad" TargetMode="External"/><Relationship Id="rId64" Type="http://schemas.openxmlformats.org/officeDocument/2006/relationships/hyperlink" Target="https://www.bing.com/images/search?form=xlimg&amp;q=Nairobi" TargetMode="External"/><Relationship Id="rId118" Type="http://schemas.openxmlformats.org/officeDocument/2006/relationships/hyperlink" Target="https://www.bing.com/th?id=OSK.a6ed3ac96a2a761f594f5d405206de56&amp;qlt=95" TargetMode="External"/><Relationship Id="rId325" Type="http://schemas.openxmlformats.org/officeDocument/2006/relationships/hyperlink" Target="https://www.bing.com/th?id=OSK.7b5d115aa96fcfae2c946087803cc88a&amp;qlt=95" TargetMode="External"/><Relationship Id="rId367" Type="http://schemas.openxmlformats.org/officeDocument/2006/relationships/hyperlink" Target="https://www.bing.com/th?id=OSK.a5103d2e1e707722b2747889b35cf3d2&amp;qlt=95" TargetMode="External"/><Relationship Id="rId532" Type="http://schemas.openxmlformats.org/officeDocument/2006/relationships/hyperlink" Target="https://www.bing.com/th?id=OSK.71ec6e50c09b28d4a6ef80ad01877fb0&amp;qlt=95" TargetMode="External"/><Relationship Id="rId574" Type="http://schemas.openxmlformats.org/officeDocument/2006/relationships/hyperlink" Target="https://www.bing.com/th?id=OSK.3666846595b7a7ef3fd0663d5b9791f3&amp;qlt=95" TargetMode="External"/><Relationship Id="rId171" Type="http://schemas.openxmlformats.org/officeDocument/2006/relationships/hyperlink" Target="https://www.bing.com/images/search?form=xlimg&amp;q=Mauritius" TargetMode="External"/><Relationship Id="rId227" Type="http://schemas.openxmlformats.org/officeDocument/2006/relationships/hyperlink" Target="https://www.bing.com/th?id=OSK.ccb4055722017be45afba9f579682aad&amp;qlt=95" TargetMode="External"/><Relationship Id="rId269" Type="http://schemas.openxmlformats.org/officeDocument/2006/relationships/hyperlink" Target="https://www.bing.com/images/search?form=xlimg&amp;q=Lagos" TargetMode="External"/><Relationship Id="rId434" Type="http://schemas.openxmlformats.org/officeDocument/2006/relationships/image" Target="../media/image84.f250f07523766045d1f84d44aa69633c"/><Relationship Id="rId476" Type="http://schemas.openxmlformats.org/officeDocument/2006/relationships/image" Target="../media/image92.66c2ebf9a8cace2226269d70b1d3b0fc"/><Relationship Id="rId33" Type="http://schemas.openxmlformats.org/officeDocument/2006/relationships/hyperlink" Target="https://www.bing.com/th?id=OSK.YyStd3n6FeCyDWZVKn54i8IqezKRsFpq7XThd1PUiDk&amp;qlt=95" TargetMode="External"/><Relationship Id="rId129" Type="http://schemas.openxmlformats.org/officeDocument/2006/relationships/hyperlink" Target="https://www.bing.com/images/search?form=xlimg&amp;q=Luxembourg%20City" TargetMode="External"/><Relationship Id="rId280" Type="http://schemas.openxmlformats.org/officeDocument/2006/relationships/hyperlink" Target="https://www.bing.com/th?id=OSK.25df30c19d33bb8b6b2e0396595bbfd6&amp;qlt=95" TargetMode="External"/><Relationship Id="rId336" Type="http://schemas.openxmlformats.org/officeDocument/2006/relationships/image" Target="../media/image64.2d7b7af86f9a55648a4aec7fbe3969e6"/><Relationship Id="rId501" Type="http://schemas.openxmlformats.org/officeDocument/2006/relationships/hyperlink" Target="https://www.bing.com/th?id=OSK.72c304c63ccf851729a36cf78f7da845&amp;qlt=95" TargetMode="External"/><Relationship Id="rId543" Type="http://schemas.openxmlformats.org/officeDocument/2006/relationships/hyperlink" Target="https://www.bing.com/images/search?form=xlimg&amp;q=Istanbul" TargetMode="External"/><Relationship Id="rId75" Type="http://schemas.openxmlformats.org/officeDocument/2006/relationships/hyperlink" Target="https://www.bing.com/th?id=OSK.ce72c991fa8eb54e1fd5f8ff9ee41658&amp;qlt=95" TargetMode="External"/><Relationship Id="rId140" Type="http://schemas.openxmlformats.org/officeDocument/2006/relationships/hyperlink" Target="https://www.bing.com/th?id=OSK.75c2b81210d1707ebd5a79ba71af5914&amp;qlt=95" TargetMode="External"/><Relationship Id="rId182" Type="http://schemas.openxmlformats.org/officeDocument/2006/relationships/image" Target="../media/image36.040aff26ac57d83856e2f846c0472874"/><Relationship Id="rId378" Type="http://schemas.openxmlformats.org/officeDocument/2006/relationships/hyperlink" Target="https://www.bing.com/images/search?form=xlimg&amp;q=Apia" TargetMode="External"/><Relationship Id="rId403" Type="http://schemas.openxmlformats.org/officeDocument/2006/relationships/hyperlink" Target="https://www.bing.com/images/search?form=xlimg&amp;q=Belgrade" TargetMode="External"/><Relationship Id="rId585" Type="http://schemas.openxmlformats.org/officeDocument/2006/relationships/image" Target="../media/image111.7ea08d999100e33f03f970c4c3a5b798"/><Relationship Id="rId6" Type="http://schemas.openxmlformats.org/officeDocument/2006/relationships/hyperlink" Target="https://www.bing.com/th?id=OSK.77266c06aab97a03f3fa7adfb9088a9a&amp;qlt=95" TargetMode="External"/><Relationship Id="rId238" Type="http://schemas.openxmlformats.org/officeDocument/2006/relationships/image" Target="../media/image46.eed42b6c83e37f53f33fb6943649bb48"/><Relationship Id="rId445" Type="http://schemas.openxmlformats.org/officeDocument/2006/relationships/hyperlink" Target="https://www.bing.com/images/search?form=xlimg&amp;q=South%20Korea" TargetMode="External"/><Relationship Id="rId487" Type="http://schemas.openxmlformats.org/officeDocument/2006/relationships/hyperlink" Target="https://www.bing.com/images/search?form=xlimg&amp;q=Syria" TargetMode="External"/><Relationship Id="rId610" Type="http://schemas.openxmlformats.org/officeDocument/2006/relationships/hyperlink" Target="https://www.bing.com/images/search?form=xlimg&amp;q=Hanoi" TargetMode="External"/><Relationship Id="rId291" Type="http://schemas.openxmlformats.org/officeDocument/2006/relationships/hyperlink" Target="https://www.bing.com/images/search?form=xlimg&amp;q=Pakistan" TargetMode="External"/><Relationship Id="rId305" Type="http://schemas.openxmlformats.org/officeDocument/2006/relationships/hyperlink" Target="https://www.bing.com/th?id=OSK.b730157a44a1c83f447a8e451780fc42&amp;qlt=95" TargetMode="External"/><Relationship Id="rId347" Type="http://schemas.openxmlformats.org/officeDocument/2006/relationships/hyperlink" Target="https://www.bing.com/th?id=OSK.61c087d41677b94a0d8c0aa2555ab732&amp;qlt=95" TargetMode="External"/><Relationship Id="rId512" Type="http://schemas.openxmlformats.org/officeDocument/2006/relationships/image" Target="../media/image98.GqOT1qhL9G6u"/><Relationship Id="rId44" Type="http://schemas.openxmlformats.org/officeDocument/2006/relationships/hyperlink" Target="https://www.bing.com/images/search?form=xlimg&amp;q=Japan" TargetMode="External"/><Relationship Id="rId86" Type="http://schemas.openxmlformats.org/officeDocument/2006/relationships/hyperlink" Target="https://www.bing.com/images/search?form=xlimg&amp;q=Laos" TargetMode="External"/><Relationship Id="rId151" Type="http://schemas.openxmlformats.org/officeDocument/2006/relationships/hyperlink" Target="https://www.bing.com/images/search?form=xlimg&amp;q=Mali" TargetMode="External"/><Relationship Id="rId389" Type="http://schemas.openxmlformats.org/officeDocument/2006/relationships/hyperlink" Target="https://www.bing.com/th?id=OSK.ced05ad7f720b03979b07bac539097c8&amp;qlt=95" TargetMode="External"/><Relationship Id="rId554" Type="http://schemas.openxmlformats.org/officeDocument/2006/relationships/hyperlink" Target="https://www.bing.com/th?id=OSK.30a540e96f9b1b3398bbed65532e0126&amp;qlt=95" TargetMode="External"/><Relationship Id="rId596" Type="http://schemas.openxmlformats.org/officeDocument/2006/relationships/hyperlink" Target="https://www.bing.com/th?id=OSK.891e7f8c12243242fb408a5c01210533&amp;qlt=95" TargetMode="External"/><Relationship Id="rId193" Type="http://schemas.openxmlformats.org/officeDocument/2006/relationships/hyperlink" Target="https://www.bing.com/th?id=OSK.c437e5b8ffccbf0fd81948a74e4f2617&amp;qlt=95" TargetMode="External"/><Relationship Id="rId207" Type="http://schemas.openxmlformats.org/officeDocument/2006/relationships/image" Target="../media/image41.6d045ff0fc33a1c5f73e9eee1111d044"/><Relationship Id="rId249" Type="http://schemas.openxmlformats.org/officeDocument/2006/relationships/hyperlink" Target="https://www.bing.com/th?id=OSK.75e96d9df112babef1350062ae9b999d&amp;qlt=95" TargetMode="External"/><Relationship Id="rId414" Type="http://schemas.openxmlformats.org/officeDocument/2006/relationships/hyperlink" Target="https://www.bing.com/th?id=OSK.57eddb9e5c586f93ebb1965e3a27908b&amp;qlt=95" TargetMode="External"/><Relationship Id="rId456" Type="http://schemas.openxmlformats.org/officeDocument/2006/relationships/image" Target="../media/image88.2e5ae37a1125e977eb781fe1567bce8a"/><Relationship Id="rId498" Type="http://schemas.openxmlformats.org/officeDocument/2006/relationships/hyperlink" Target="https://www.bing.com/th?id=OSK.3d1f7cdd2e4b04d7d59c9c2070509b97&amp;qlt=95" TargetMode="External"/><Relationship Id="rId13" Type="http://schemas.openxmlformats.org/officeDocument/2006/relationships/hyperlink" Target="https://www.bing.com/th?id=OSK.b26bae4cab65f9f0c5318cfaee55717d&amp;qlt=95" TargetMode="External"/><Relationship Id="rId109" Type="http://schemas.openxmlformats.org/officeDocument/2006/relationships/hyperlink" Target="https://www.bing.com/images/search?form=xlimg&amp;q=Monrovia" TargetMode="External"/><Relationship Id="rId260" Type="http://schemas.openxmlformats.org/officeDocument/2006/relationships/image" Target="../media/image50.e2c3dbad92079182e0cfc64b79c56e63"/><Relationship Id="rId316" Type="http://schemas.openxmlformats.org/officeDocument/2006/relationships/hyperlink" Target="https://www.bing.com/images/search?form=xlimg&amp;q=Asunci%c3%b3n" TargetMode="External"/><Relationship Id="rId523" Type="http://schemas.openxmlformats.org/officeDocument/2006/relationships/hyperlink" Target="https://www.bing.com/th?id=OSK.NJ6O0ikHeQc4OCb2D6qtnf2QXTOC1QHz3vcevULCZC4&amp;qlt=95" TargetMode="External"/><Relationship Id="rId55" Type="http://schemas.openxmlformats.org/officeDocument/2006/relationships/image" Target="../media/image11.2ca2f0cbeb50892f19196895e63ac761"/><Relationship Id="rId97" Type="http://schemas.openxmlformats.org/officeDocument/2006/relationships/image" Target="../media/image19.8e74392a9746afb6ff3d2cf8a35ab651"/><Relationship Id="rId120" Type="http://schemas.openxmlformats.org/officeDocument/2006/relationships/hyperlink" Target="https://www.bing.com/th?id=OSK.WmoS0gHjANRJSdYNHA64N5PdRRN3Ixgv0cesvBZZacU&amp;qlt=95" TargetMode="External"/><Relationship Id="rId358" Type="http://schemas.openxmlformats.org/officeDocument/2006/relationships/hyperlink" Target="https://www.bing.com/images/search?form=xlimg&amp;q=Kigali" TargetMode="External"/><Relationship Id="rId565" Type="http://schemas.openxmlformats.org/officeDocument/2006/relationships/hyperlink" Target="https://www.bing.com/images/search?form=xlimg&amp;q=United%20Arab%20Emirates" TargetMode="External"/><Relationship Id="rId162" Type="http://schemas.openxmlformats.org/officeDocument/2006/relationships/image" Target="../media/image32.Rc1Qm5pTk2AzdVwLkeN3DhYhvHNZ8GgfGxCUCZntD64"/><Relationship Id="rId218" Type="http://schemas.openxmlformats.org/officeDocument/2006/relationships/hyperlink" Target="https://www.bing.com/images/search?form=xlimg&amp;q=Myanmar" TargetMode="External"/><Relationship Id="rId425" Type="http://schemas.openxmlformats.org/officeDocument/2006/relationships/hyperlink" Target="https://www.bing.com/th?id=OSK.60b99c0da60fd327cfdb143cafdfddd3&amp;qlt=95" TargetMode="External"/><Relationship Id="rId467" Type="http://schemas.openxmlformats.org/officeDocument/2006/relationships/hyperlink" Target="https://www.bing.com/th?id=OSK.d70cb80e94a994c88db95c866daf80a9&amp;qlt=95" TargetMode="External"/><Relationship Id="rId271" Type="http://schemas.openxmlformats.org/officeDocument/2006/relationships/hyperlink" Target="https://www.bing.com/images/search?form=xlimg&amp;q=North%20Korea" TargetMode="External"/><Relationship Id="rId24" Type="http://schemas.openxmlformats.org/officeDocument/2006/relationships/hyperlink" Target="https://www.bing.com/images/search?form=xlimg&amp;q=Republic%20of%20Ireland" TargetMode="External"/><Relationship Id="rId66" Type="http://schemas.openxmlformats.org/officeDocument/2006/relationships/hyperlink" Target="https://www.bing.com/images/search?form=xlimg&amp;q=Kiribati" TargetMode="External"/><Relationship Id="rId131" Type="http://schemas.openxmlformats.org/officeDocument/2006/relationships/hyperlink" Target="https://www.bing.com/images/search?form=xlimg&amp;q=Madagascar" TargetMode="External"/><Relationship Id="rId327" Type="http://schemas.openxmlformats.org/officeDocument/2006/relationships/hyperlink" Target="https://www.bing.com/th?id=OSK.dc968cec6c920da93c5700feb5cd0852&amp;qlt=95" TargetMode="External"/><Relationship Id="rId369" Type="http://schemas.openxmlformats.org/officeDocument/2006/relationships/hyperlink" Target="https://www.bing.com/th?id=OSK.322ba1b2334b05382bac048c1bc3ec22&amp;qlt=95" TargetMode="External"/><Relationship Id="rId534" Type="http://schemas.openxmlformats.org/officeDocument/2006/relationships/image" Target="../media/image102.71ec6e50c09b28d4a6ef80ad01877fb0"/><Relationship Id="rId576" Type="http://schemas.openxmlformats.org/officeDocument/2006/relationships/hyperlink" Target="https://www.bing.com/th?id=OSK.08d481ce2e6378c8b3492a5438438208&amp;qlt=95" TargetMode="External"/><Relationship Id="rId173" Type="http://schemas.openxmlformats.org/officeDocument/2006/relationships/hyperlink" Target="https://www.bing.com/th?id=OSK.e84924ff379a8e7fbd21d336aeb4920c&amp;qlt=95" TargetMode="External"/><Relationship Id="rId229" Type="http://schemas.openxmlformats.org/officeDocument/2006/relationships/hyperlink" Target="https://www.bing.com/th?id=OSK.5d1a5982f3d6830b92a8de1170d52293&amp;qlt=95" TargetMode="External"/><Relationship Id="rId380" Type="http://schemas.openxmlformats.org/officeDocument/2006/relationships/hyperlink" Target="https://www.bing.com/images/search?form=xlimg&amp;q=San%20Marino" TargetMode="External"/><Relationship Id="rId436" Type="http://schemas.openxmlformats.org/officeDocument/2006/relationships/hyperlink" Target="https://www.bing.com/images/search?form=xlimg&amp;q=Mogadishu" TargetMode="External"/><Relationship Id="rId601" Type="http://schemas.openxmlformats.org/officeDocument/2006/relationships/hyperlink" Target="https://www.bing.com/th?id=OSK.a63573e184a1dd6a203fecd8090ad2ed&amp;qlt=95" TargetMode="External"/><Relationship Id="rId240" Type="http://schemas.openxmlformats.org/officeDocument/2006/relationships/hyperlink" Target="https://www.bing.com/images/search?form=xlimg&amp;q=Kathmandu" TargetMode="External"/><Relationship Id="rId478" Type="http://schemas.openxmlformats.org/officeDocument/2006/relationships/hyperlink" Target="https://www.bing.com/images/search?form=xlimg&amp;q=Stockholm" TargetMode="External"/><Relationship Id="rId35" Type="http://schemas.openxmlformats.org/officeDocument/2006/relationships/image" Target="../media/image7.YyStd3n6FeCyDWZVKn54i8IqezKRsFpq7XThd1PUiDk"/><Relationship Id="rId77" Type="http://schemas.openxmlformats.org/officeDocument/2006/relationships/image" Target="../media/image15.ce72c991fa8eb54e1fd5f8ff9ee41658"/><Relationship Id="rId100" Type="http://schemas.openxmlformats.org/officeDocument/2006/relationships/hyperlink" Target="https://www.bing.com/th?id=OSK.c608165a1b4877d6710ef59734d0800e&amp;qlt=95" TargetMode="External"/><Relationship Id="rId282" Type="http://schemas.openxmlformats.org/officeDocument/2006/relationships/image" Target="../media/image54.25df30c19d33bb8b6b2e0396595bbfd6"/><Relationship Id="rId338" Type="http://schemas.openxmlformats.org/officeDocument/2006/relationships/hyperlink" Target="https://www.bing.com/images/search?form=xlimg&amp;q=Lisbon" TargetMode="External"/><Relationship Id="rId503" Type="http://schemas.openxmlformats.org/officeDocument/2006/relationships/hyperlink" Target="https://www.bing.com/th?id=OSK.tX4SMFps4CYK8kF24UIm56tPjW_Ak0xcsMgKLeiQt1w&amp;qlt=95" TargetMode="External"/><Relationship Id="rId545" Type="http://schemas.openxmlformats.org/officeDocument/2006/relationships/hyperlink" Target="https://www.bing.com/images/search?form=xlimg&amp;q=Turkmenistan" TargetMode="External"/><Relationship Id="rId587" Type="http://schemas.openxmlformats.org/officeDocument/2006/relationships/hyperlink" Target="https://www.bing.com/images/search?form=xlimg&amp;q=Montevideo" TargetMode="External"/><Relationship Id="rId8" Type="http://schemas.openxmlformats.org/officeDocument/2006/relationships/hyperlink" Target="https://www.bing.com/th?id=OSK.Zl2rYbEOa6RnR5PxgY7VLDcsFkfskAZrZiNUjyMAlyM&amp;qlt=95" TargetMode="External"/><Relationship Id="rId142" Type="http://schemas.openxmlformats.org/officeDocument/2006/relationships/image" Target="../media/image28.75c2b81210d1707ebd5a79ba71af5914"/><Relationship Id="rId184" Type="http://schemas.openxmlformats.org/officeDocument/2006/relationships/hyperlink" Target="https://www.bing.com/images/search?form=xlimg&amp;q=Palikir" TargetMode="External"/><Relationship Id="rId391" Type="http://schemas.openxmlformats.org/officeDocument/2006/relationships/image" Target="../media/image75.ced05ad7f720b03979b07bac539097c8"/><Relationship Id="rId405" Type="http://schemas.openxmlformats.org/officeDocument/2006/relationships/hyperlink" Target="https://www.bing.com/images/search?form=xlimg&amp;q=Seychelles" TargetMode="External"/><Relationship Id="rId447" Type="http://schemas.openxmlformats.org/officeDocument/2006/relationships/hyperlink" Target="https://www.bing.com/th?id=OSK.98c6f3cb1546ba84ed96f0be5d959ee6&amp;qlt=95" TargetMode="External"/><Relationship Id="rId612" Type="http://schemas.openxmlformats.org/officeDocument/2006/relationships/hyperlink" Target="https://www.bing.com/images/search?form=xlimg&amp;q=Ho%20Chi%20Minh%20City" TargetMode="External"/><Relationship Id="rId251" Type="http://schemas.openxmlformats.org/officeDocument/2006/relationships/hyperlink" Target="https://www.bing.com/th?id=OSK.051f5f17c10070e0ec5f865115e870c1&amp;qlt=95" TargetMode="External"/><Relationship Id="rId489" Type="http://schemas.openxmlformats.org/officeDocument/2006/relationships/hyperlink" Target="https://www.bing.com/th?id=OSK.f4eb14ee9b3e9b97344af5261f4eecfa&amp;qlt=95" TargetMode="External"/><Relationship Id="rId46" Type="http://schemas.openxmlformats.org/officeDocument/2006/relationships/hyperlink" Target="https://www.bing.com/th?id=OSK.a5e66df12e2c87d6b1c2825f3d9fd432&amp;qlt=95" TargetMode="External"/><Relationship Id="rId293" Type="http://schemas.openxmlformats.org/officeDocument/2006/relationships/hyperlink" Target="https://www.bing.com/th?id=OSK.9cf87913cf6795efa28eba47240ee543&amp;qlt=95" TargetMode="External"/><Relationship Id="rId307" Type="http://schemas.openxmlformats.org/officeDocument/2006/relationships/hyperlink" Target="https://www.bing.com/th?id=OSK.0cebd113a042df59220ffef943c91086&amp;qlt=95" TargetMode="External"/><Relationship Id="rId349" Type="http://schemas.openxmlformats.org/officeDocument/2006/relationships/hyperlink" Target="https://www.bing.com/th?id=OSK.-vv9GBngWnUSPvi3oyl0yHQjBgdeoIaih8KMBshpXcM&amp;qlt=95" TargetMode="External"/><Relationship Id="rId514" Type="http://schemas.openxmlformats.org/officeDocument/2006/relationships/hyperlink" Target="https://www.bing.com/images/search?form=xlimg&amp;q=Bangkok" TargetMode="External"/><Relationship Id="rId556" Type="http://schemas.openxmlformats.org/officeDocument/2006/relationships/image" Target="../media/image106.30a540e96f9b1b3398bbed65532e0126"/><Relationship Id="rId88" Type="http://schemas.openxmlformats.org/officeDocument/2006/relationships/hyperlink" Target="https://www.bing.com/th?id=OSK.649a746cf3f8f1361e989766c887dad6&amp;qlt=95" TargetMode="External"/><Relationship Id="rId111" Type="http://schemas.openxmlformats.org/officeDocument/2006/relationships/hyperlink" Target="https://www.bing.com/images/search?form=xlimg&amp;q=Libya" TargetMode="External"/><Relationship Id="rId153" Type="http://schemas.openxmlformats.org/officeDocument/2006/relationships/hyperlink" Target="https://www.bing.com/th?id=OSK.a0efe9bc5a154bcbb2e5cf83c8626103&amp;qlt=95" TargetMode="External"/><Relationship Id="rId195" Type="http://schemas.openxmlformats.org/officeDocument/2006/relationships/hyperlink" Target="https://www.bing.com/th?id=OSK.e22694cdd7f986bb3ef2c0110d877bba&amp;qlt=95" TargetMode="External"/><Relationship Id="rId209" Type="http://schemas.openxmlformats.org/officeDocument/2006/relationships/hyperlink" Target="https://www.bing.com/images/search?form=xlimg&amp;q=Rabat" TargetMode="External"/><Relationship Id="rId360" Type="http://schemas.openxmlformats.org/officeDocument/2006/relationships/hyperlink" Target="https://www.bing.com/images/search?form=xlimg&amp;q=Saint%20Kitts%20and%20Nevis" TargetMode="External"/><Relationship Id="rId416" Type="http://schemas.openxmlformats.org/officeDocument/2006/relationships/image" Target="../media/image80.57eddb9e5c586f93ebb1965e3a27908b"/><Relationship Id="rId598" Type="http://schemas.openxmlformats.org/officeDocument/2006/relationships/hyperlink" Target="https://www.bing.com/th?id=OSK.5b46ca7881de0bdad52482b03317e03c&amp;qlt=95" TargetMode="External"/><Relationship Id="rId220" Type="http://schemas.openxmlformats.org/officeDocument/2006/relationships/hyperlink" Target="https://www.bing.com/th?id=OSK.f2e066d74b09d3e3dfcab4ea24cfd6a4&amp;qlt=95" TargetMode="External"/><Relationship Id="rId458" Type="http://schemas.openxmlformats.org/officeDocument/2006/relationships/hyperlink" Target="https://www.bing.com/images/search?form=xlimg&amp;q=Madrid" TargetMode="External"/><Relationship Id="rId15" Type="http://schemas.openxmlformats.org/officeDocument/2006/relationships/image" Target="../media/image3.b26bae4cab65f9f0c5318cfaee55717d"/><Relationship Id="rId57" Type="http://schemas.openxmlformats.org/officeDocument/2006/relationships/hyperlink" Target="https://www.bing.com/images/search?form=xlimg&amp;q=Astana" TargetMode="External"/><Relationship Id="rId262" Type="http://schemas.openxmlformats.org/officeDocument/2006/relationships/hyperlink" Target="https://www.bing.com/images/search?form=xlimg&amp;q=Niamey" TargetMode="External"/><Relationship Id="rId318" Type="http://schemas.openxmlformats.org/officeDocument/2006/relationships/hyperlink" Target="https://www.bing.com/images/search?form=xlimg&amp;q=Peru" TargetMode="External"/><Relationship Id="rId525" Type="http://schemas.openxmlformats.org/officeDocument/2006/relationships/hyperlink" Target="https://www.bing.com/th?id=OSK.EefusVIgl7D5qWmwc1MlcioTrwylPbwhfm2dLW4Cpbo&amp;qlt=95" TargetMode="External"/><Relationship Id="rId567" Type="http://schemas.openxmlformats.org/officeDocument/2006/relationships/hyperlink" Target="https://www.bing.com/th?id=OSK.b2ed0af5a8b904e8db1cac5ff1108af8&amp;qlt=95" TargetMode="External"/><Relationship Id="rId99" Type="http://schemas.openxmlformats.org/officeDocument/2006/relationships/hyperlink" Target="https://www.bing.com/images/search?form=xlimg&amp;q=Beirut" TargetMode="External"/><Relationship Id="rId122" Type="http://schemas.openxmlformats.org/officeDocument/2006/relationships/image" Target="../media/image24.WmoS0gHjANRJSdYNHA64N5PdRRN3Ixgv0cesvBZZacU"/><Relationship Id="rId164" Type="http://schemas.openxmlformats.org/officeDocument/2006/relationships/hyperlink" Target="https://www.bing.com/images/search?form=xlimg&amp;q=Delap-Uliga-Djarrit" TargetMode="External"/><Relationship Id="rId371" Type="http://schemas.openxmlformats.org/officeDocument/2006/relationships/image" Target="../media/image71.322ba1b2334b05382bac048c1bc3ec22"/><Relationship Id="rId427" Type="http://schemas.openxmlformats.org/officeDocument/2006/relationships/hyperlink" Target="https://www.bing.com/th?id=OSK.b454208855b107f84295e713d7529f16&amp;qlt=95" TargetMode="External"/><Relationship Id="rId469" Type="http://schemas.openxmlformats.org/officeDocument/2006/relationships/hyperlink" Target="https://www.bing.com/th?id=OSK.c99b55cf0754f68c8604be95a595b050&amp;qlt=95" TargetMode="External"/><Relationship Id="rId26" Type="http://schemas.openxmlformats.org/officeDocument/2006/relationships/hyperlink" Target="https://www.bing.com/th?id=OSK.afae5b2549e0090890cb6dce4ba08c46&amp;qlt=95" TargetMode="External"/><Relationship Id="rId231" Type="http://schemas.openxmlformats.org/officeDocument/2006/relationships/image" Target="../media/image45.5d1a5982f3d6830b92a8de1170d52293"/><Relationship Id="rId273" Type="http://schemas.openxmlformats.org/officeDocument/2006/relationships/hyperlink" Target="https://www.bing.com/th?id=OSK.eacbef166f7545ceb7b33ab350aab03d&amp;qlt=95" TargetMode="External"/><Relationship Id="rId329" Type="http://schemas.openxmlformats.org/officeDocument/2006/relationships/hyperlink" Target="https://www.bing.com/th?id=OSK.wh-UTEFTEh6yXROAExnHHJuw4N-wHkAAkwvLwczJijw&amp;qlt=95" TargetMode="External"/><Relationship Id="rId480" Type="http://schemas.openxmlformats.org/officeDocument/2006/relationships/hyperlink" Target="https://www.bing.com/images/search?form=xlimg&amp;q=Switzerland" TargetMode="External"/><Relationship Id="rId536" Type="http://schemas.openxmlformats.org/officeDocument/2006/relationships/hyperlink" Target="https://www.bing.com/images/search?form=xlimg&amp;q=Tunis" TargetMode="External"/><Relationship Id="rId68" Type="http://schemas.openxmlformats.org/officeDocument/2006/relationships/hyperlink" Target="https://www.bing.com/th?id=OSK.d88580a4b0497e0bca4e6951e1d9357e&amp;qlt=95" TargetMode="External"/><Relationship Id="rId133" Type="http://schemas.openxmlformats.org/officeDocument/2006/relationships/hyperlink" Target="https://www.bing.com/th?id=OSK.c6ff4c4993358b4854a553218e05786d&amp;qlt=95" TargetMode="External"/><Relationship Id="rId175" Type="http://schemas.openxmlformats.org/officeDocument/2006/relationships/hyperlink" Target="https://www.bing.com/th?id=OSK.cf17e786b97fde4860ff0b98a404701f&amp;qlt=95" TargetMode="External"/><Relationship Id="rId340" Type="http://schemas.openxmlformats.org/officeDocument/2006/relationships/hyperlink" Target="https://www.bing.com/images/search?form=xlimg&amp;q=Qatar" TargetMode="External"/><Relationship Id="rId578" Type="http://schemas.openxmlformats.org/officeDocument/2006/relationships/image" Target="../media/image110.08d481ce2e6378c8b3492a5438438208"/><Relationship Id="rId200" Type="http://schemas.openxmlformats.org/officeDocument/2006/relationships/hyperlink" Target="https://www.bing.com/th?id=OSK.55e18930b9f4f69172095b7b3b0671f6&amp;qlt=95" TargetMode="External"/><Relationship Id="rId382" Type="http://schemas.openxmlformats.org/officeDocument/2006/relationships/hyperlink" Target="https://www.bing.com/th?id=OSK.9f11f576d336fd07a78b21786c55672f&amp;qlt=95" TargetMode="External"/><Relationship Id="rId438" Type="http://schemas.openxmlformats.org/officeDocument/2006/relationships/hyperlink" Target="https://www.bing.com/images/search?form=xlimg&amp;q=South%20Africa" TargetMode="External"/><Relationship Id="rId603" Type="http://schemas.openxmlformats.org/officeDocument/2006/relationships/image" Target="../media/image115.a63573e184a1dd6a203fecd8090ad2ed"/><Relationship Id="rId242" Type="http://schemas.openxmlformats.org/officeDocument/2006/relationships/hyperlink" Target="https://www.bing.com/images/search?form=xlimg&amp;q=Netherlands" TargetMode="External"/><Relationship Id="rId284" Type="http://schemas.openxmlformats.org/officeDocument/2006/relationships/hyperlink" Target="https://www.bing.com/images/search?form=xlimg&amp;q=Oslo" TargetMode="External"/><Relationship Id="rId491" Type="http://schemas.openxmlformats.org/officeDocument/2006/relationships/hyperlink" Target="https://www.bing.com/th?id=OSK.10b40f1e7c7e73c7fa0dff6ffc33689d&amp;qlt=95" TargetMode="External"/><Relationship Id="rId505" Type="http://schemas.openxmlformats.org/officeDocument/2006/relationships/image" Target="../media/image97.tX4SMFps4CYK8kF24UIm56tPjW"/><Relationship Id="rId37" Type="http://schemas.openxmlformats.org/officeDocument/2006/relationships/hyperlink" Target="https://www.bing.com/images/search?form=xlimg&amp;q=Rome" TargetMode="External"/><Relationship Id="rId79" Type="http://schemas.openxmlformats.org/officeDocument/2006/relationships/hyperlink" Target="https://www.bing.com/images/search?form=xlimg&amp;q=Kuwait%20City" TargetMode="External"/><Relationship Id="rId102" Type="http://schemas.openxmlformats.org/officeDocument/2006/relationships/image" Target="../media/image20.c608165a1b4877d6710ef59734d0800e"/><Relationship Id="rId144" Type="http://schemas.openxmlformats.org/officeDocument/2006/relationships/hyperlink" Target="https://www.bing.com/images/search?form=xlimg&amp;q=Kuala%20Lumpur" TargetMode="External"/><Relationship Id="rId547" Type="http://schemas.openxmlformats.org/officeDocument/2006/relationships/hyperlink" Target="https://www.bing.com/th?id=OSK.a23bee748e2f5ee40b46d46f769ef160&amp;qlt=95" TargetMode="External"/><Relationship Id="rId589" Type="http://schemas.openxmlformats.org/officeDocument/2006/relationships/hyperlink" Target="https://www.bing.com/images/search?form=xlimg&amp;q=Uzbekistan" TargetMode="External"/><Relationship Id="rId90" Type="http://schemas.openxmlformats.org/officeDocument/2006/relationships/hyperlink" Target="https://www.bing.com/th?id=OSK.TECalGdjYkn5qFYM2wGnHhJgO5IgABLcGZwbeZUv2pw&amp;qlt=95" TargetMode="External"/><Relationship Id="rId186" Type="http://schemas.openxmlformats.org/officeDocument/2006/relationships/hyperlink" Target="https://www.bing.com/images/search?form=xlimg&amp;q=Moldova" TargetMode="External"/><Relationship Id="rId351" Type="http://schemas.openxmlformats.org/officeDocument/2006/relationships/image" Target="../media/image67.jpeg"/><Relationship Id="rId393" Type="http://schemas.openxmlformats.org/officeDocument/2006/relationships/hyperlink" Target="https://www.bing.com/images/search?form=xlimg&amp;q=Riyadh" TargetMode="External"/><Relationship Id="rId407" Type="http://schemas.openxmlformats.org/officeDocument/2006/relationships/hyperlink" Target="https://www.bing.com/th?id=OSK.580164351fb2c779a582b4b4946b0b0c&amp;qlt=95" TargetMode="External"/><Relationship Id="rId449" Type="http://schemas.openxmlformats.org/officeDocument/2006/relationships/hyperlink" Target="https://www.bing.com/th?id=OSK.bd2a569fefd12ea471208670e0e1bc94&amp;qlt=95" TargetMode="External"/><Relationship Id="rId614" Type="http://schemas.openxmlformats.org/officeDocument/2006/relationships/hyperlink" Target="https://www.bing.com/images/search?form=xlimg&amp;q=Yemen" TargetMode="External"/><Relationship Id="rId211" Type="http://schemas.openxmlformats.org/officeDocument/2006/relationships/hyperlink" Target="https://www.bing.com/images/search?form=xlimg&amp;q=Casablanca" TargetMode="External"/><Relationship Id="rId253" Type="http://schemas.openxmlformats.org/officeDocument/2006/relationships/hyperlink" Target="https://www.bing.com/th?id=OSK.ba16ef5b1a62624fff12d7049683342e&amp;qlt=95" TargetMode="External"/><Relationship Id="rId295" Type="http://schemas.openxmlformats.org/officeDocument/2006/relationships/hyperlink" Target="https://www.bing.com/th?id=OSK.b2aa35cbae33e53acdd5de417df5bff3&amp;qlt=95" TargetMode="External"/><Relationship Id="rId309" Type="http://schemas.openxmlformats.org/officeDocument/2006/relationships/image" Target="../media/image59.0cebd113a042df59220ffef943c91086"/><Relationship Id="rId460" Type="http://schemas.openxmlformats.org/officeDocument/2006/relationships/hyperlink" Target="https://www.bing.com/images/search?form=xlimg&amp;q=Sri%20Lanka" TargetMode="External"/><Relationship Id="rId516" Type="http://schemas.openxmlformats.org/officeDocument/2006/relationships/hyperlink" Target="https://www.bing.com/images/search?form=xlimg&amp;q=Togo" TargetMode="External"/><Relationship Id="rId48" Type="http://schemas.openxmlformats.org/officeDocument/2006/relationships/hyperlink" Target="https://www.bing.com/th?id=OSK.32ccc3069387813a1cebca9111bc6498&amp;qlt=95" TargetMode="External"/><Relationship Id="rId113" Type="http://schemas.openxmlformats.org/officeDocument/2006/relationships/hyperlink" Target="https://www.bing.com/th?id=OSK.e7d009975b862b150b78155159099346&amp;qlt=95" TargetMode="External"/><Relationship Id="rId320" Type="http://schemas.openxmlformats.org/officeDocument/2006/relationships/hyperlink" Target="https://www.bing.com/th?id=OSK.ca9a6d73b5155ee589c0a2e5fb54b558&amp;qlt=95" TargetMode="External"/><Relationship Id="rId558" Type="http://schemas.openxmlformats.org/officeDocument/2006/relationships/hyperlink" Target="https://www.bing.com/images/search?form=xlimg&amp;q=Kampala" TargetMode="External"/><Relationship Id="rId155" Type="http://schemas.openxmlformats.org/officeDocument/2006/relationships/hyperlink" Target="https://www.bing.com/th?id=OSK.99c028b1beae003a52d1a43ed4d4c845&amp;qlt=95" TargetMode="External"/><Relationship Id="rId197" Type="http://schemas.openxmlformats.org/officeDocument/2006/relationships/image" Target="../media/image39.e22694cdd7f986bb3ef2c0110d877bba"/><Relationship Id="rId362" Type="http://schemas.openxmlformats.org/officeDocument/2006/relationships/hyperlink" Target="https://www.bing.com/th?id=OSK.61ab0267a7e07f9e08cdfc499d8f0d13&amp;qlt=95" TargetMode="External"/><Relationship Id="rId418" Type="http://schemas.openxmlformats.org/officeDocument/2006/relationships/hyperlink" Target="https://www.bing.com/images/search?form=xlimg&amp;q=Slovakia" TargetMode="External"/><Relationship Id="rId222" Type="http://schemas.openxmlformats.org/officeDocument/2006/relationships/hyperlink" Target="https://www.bing.com/th?id=OSK.352812fbb80f4a0b3779ee2de1d008c8&amp;qlt=95" TargetMode="External"/><Relationship Id="rId264" Type="http://schemas.openxmlformats.org/officeDocument/2006/relationships/hyperlink" Target="https://www.bing.com/images/search?form=xlimg&amp;q=Nigeria" TargetMode="External"/><Relationship Id="rId471" Type="http://schemas.openxmlformats.org/officeDocument/2006/relationships/image" Target="../media/image91.c99b55cf0754f68c8604be95a595b050"/><Relationship Id="rId17" Type="http://schemas.openxmlformats.org/officeDocument/2006/relationships/hyperlink" Target="https://www.bing.com/images/search?form=xlimg&amp;q=Tehran" TargetMode="External"/><Relationship Id="rId59" Type="http://schemas.openxmlformats.org/officeDocument/2006/relationships/hyperlink" Target="https://www.bing.com/images/search?form=xlimg&amp;q=Almaty" TargetMode="External"/><Relationship Id="rId124" Type="http://schemas.openxmlformats.org/officeDocument/2006/relationships/hyperlink" Target="https://www.bing.com/images/search?form=xlimg&amp;q=Vilnius" TargetMode="External"/><Relationship Id="rId527" Type="http://schemas.openxmlformats.org/officeDocument/2006/relationships/image" Target="../media/image101.EefusVIgl7D5qWmwc1MlcioTrwylPbwhfm2dLW4Cpbo"/><Relationship Id="rId569" Type="http://schemas.openxmlformats.org/officeDocument/2006/relationships/hyperlink" Target="https://www.bing.com/th?id=OSK.URtMT2SV_u8STYsULwJkCHiDUa-_YLvf5S7-YnZFIPo&amp;qlt=95" TargetMode="External"/><Relationship Id="rId70" Type="http://schemas.openxmlformats.org/officeDocument/2006/relationships/hyperlink" Target="https://www.bing.com/th?id=OSK.f8cbd8a69fefe8348641e56808000d99&amp;qlt=95" TargetMode="External"/><Relationship Id="rId166" Type="http://schemas.openxmlformats.org/officeDocument/2006/relationships/hyperlink" Target="https://www.bing.com/images/search?form=xlimg&amp;q=Mauritania" TargetMode="External"/><Relationship Id="rId331" Type="http://schemas.openxmlformats.org/officeDocument/2006/relationships/image" Target="../media/image63.wh"/><Relationship Id="rId373" Type="http://schemas.openxmlformats.org/officeDocument/2006/relationships/hyperlink" Target="https://www.bing.com/images/search?form=xlimg&amp;q=Kingstown" TargetMode="External"/><Relationship Id="rId429" Type="http://schemas.openxmlformats.org/officeDocument/2006/relationships/image" Target="../media/image83.b454208855b107f84295e713d7529f16"/><Relationship Id="rId580" Type="http://schemas.openxmlformats.org/officeDocument/2006/relationships/hyperlink" Target="https://www.bing.com/images/search?form=xlimg&amp;q=Washington,%20D.C." TargetMode="External"/><Relationship Id="rId1" Type="http://schemas.openxmlformats.org/officeDocument/2006/relationships/hyperlink" Target="https://www.bing.com/th?id=OSK.3386bc8d96f35351f9956787a1c677c6&amp;qlt=95" TargetMode="External"/><Relationship Id="rId233" Type="http://schemas.openxmlformats.org/officeDocument/2006/relationships/hyperlink" Target="https://www.bing.com/images/search?form=xlimg&amp;q=Yaren%20District" TargetMode="External"/><Relationship Id="rId440" Type="http://schemas.openxmlformats.org/officeDocument/2006/relationships/hyperlink" Target="https://www.bing.com/th?id=OSK.5bcfa69af4ce5ed2e7d9dbb3c2b30bc7&amp;qlt=95" TargetMode="External"/><Relationship Id="rId28" Type="http://schemas.openxmlformats.org/officeDocument/2006/relationships/hyperlink" Target="https://www.bing.com/th?id=OSK.2645723e4c6975ff4c578c04da130f2e&amp;qlt=95" TargetMode="External"/><Relationship Id="rId275" Type="http://schemas.openxmlformats.org/officeDocument/2006/relationships/hyperlink" Target="https://www.bing.com/th?id=OSK.d6a93a92f09e8d8412ff984010efbef7&amp;qlt=95" TargetMode="External"/><Relationship Id="rId300" Type="http://schemas.openxmlformats.org/officeDocument/2006/relationships/hyperlink" Target="https://www.bing.com/th?id=OSK.4131bac6d80603837b0c3740ca53c4bd&amp;qlt=95" TargetMode="External"/><Relationship Id="rId482" Type="http://schemas.openxmlformats.org/officeDocument/2006/relationships/hyperlink" Target="https://www.bing.com/th?id=OSK.1cc08419eeefac8817623c9b38a46814&amp;qlt=95" TargetMode="External"/><Relationship Id="rId538" Type="http://schemas.openxmlformats.org/officeDocument/2006/relationships/hyperlink" Target="https://www.bing.com/images/search?form=xlimg&amp;q=Turkey" TargetMode="External"/><Relationship Id="rId81" Type="http://schemas.openxmlformats.org/officeDocument/2006/relationships/hyperlink" Target="https://www.bing.com/images/search?form=xlimg&amp;q=Kyrgyzstan" TargetMode="External"/><Relationship Id="rId135" Type="http://schemas.openxmlformats.org/officeDocument/2006/relationships/hyperlink" Target="https://www.bing.com/th?id=OSK.ca6f2d89ccaf37336ed80137ab5b9516&amp;qlt=95" TargetMode="External"/><Relationship Id="rId177" Type="http://schemas.openxmlformats.org/officeDocument/2006/relationships/image" Target="../media/image35.cf17e786b97fde4860ff0b98a404701f"/><Relationship Id="rId342" Type="http://schemas.openxmlformats.org/officeDocument/2006/relationships/hyperlink" Target="https://www.bing.com/th?id=OSK.9563e92e2f1c1089dcbd7f45f00ee27b&amp;qlt=95" TargetMode="External"/><Relationship Id="rId384" Type="http://schemas.openxmlformats.org/officeDocument/2006/relationships/hyperlink" Target="https://www.bing.com/th?id=OSK.eec76c0ad67c3f351e6fc949b2ac827f&amp;qlt=95" TargetMode="External"/><Relationship Id="rId591" Type="http://schemas.openxmlformats.org/officeDocument/2006/relationships/hyperlink" Target="https://www.bing.com/th?id=OSK.754fbb4d346c0b4187e034a1a9d2165d&amp;qlt=95" TargetMode="External"/><Relationship Id="rId605" Type="http://schemas.openxmlformats.org/officeDocument/2006/relationships/hyperlink" Target="https://www.bing.com/images/search?form=xlimg&amp;q=Caracas" TargetMode="External"/><Relationship Id="rId202" Type="http://schemas.openxmlformats.org/officeDocument/2006/relationships/image" Target="../media/image40.55e18930b9f4f69172095b7b3b0671f6"/><Relationship Id="rId244" Type="http://schemas.openxmlformats.org/officeDocument/2006/relationships/hyperlink" Target="https://www.bing.com/th?id=OSK.15f9b0b50ebfafda555c2959c080af5a&amp;qlt=95" TargetMode="External"/><Relationship Id="rId39" Type="http://schemas.openxmlformats.org/officeDocument/2006/relationships/hyperlink" Target="https://www.bing.com/images/search?form=xlimg&amp;q=Jamaica" TargetMode="External"/><Relationship Id="rId286" Type="http://schemas.openxmlformats.org/officeDocument/2006/relationships/hyperlink" Target="https://www.bing.com/images/search?form=xlimg&amp;q=Oman" TargetMode="External"/><Relationship Id="rId451" Type="http://schemas.openxmlformats.org/officeDocument/2006/relationships/image" Target="../media/image87.bd2a569fefd12ea471208670e0e1bc94"/><Relationship Id="rId493" Type="http://schemas.openxmlformats.org/officeDocument/2006/relationships/image" Target="../media/image95.10b40f1e7c7e73c7fa0dff6ffc33689d"/><Relationship Id="rId507" Type="http://schemas.openxmlformats.org/officeDocument/2006/relationships/hyperlink" Target="https://www.bing.com/images/search?form=xlimg&amp;q=Dodoma" TargetMode="External"/><Relationship Id="rId549" Type="http://schemas.openxmlformats.org/officeDocument/2006/relationships/hyperlink" Target="https://www.bing.com/th?id=OSK.73b74397e03b01d704713e78a3c5d314&amp;qlt=95" TargetMode="External"/><Relationship Id="rId50" Type="http://schemas.openxmlformats.org/officeDocument/2006/relationships/image" Target="../media/image10.32ccc3069387813a1cebca9111bc6498"/><Relationship Id="rId104" Type="http://schemas.openxmlformats.org/officeDocument/2006/relationships/hyperlink" Target="https://www.bing.com/images/search?form=xlimg&amp;q=Maseru" TargetMode="External"/><Relationship Id="rId146" Type="http://schemas.openxmlformats.org/officeDocument/2006/relationships/hyperlink" Target="https://www.bing.com/images/search?form=xlimg&amp;q=Maldives" TargetMode="External"/><Relationship Id="rId188" Type="http://schemas.openxmlformats.org/officeDocument/2006/relationships/hyperlink" Target="https://www.bing.com/th?id=OSK.d072f121eb42cabe86a7833f6a4476ab&amp;qlt=95" TargetMode="External"/><Relationship Id="rId311" Type="http://schemas.openxmlformats.org/officeDocument/2006/relationships/hyperlink" Target="https://www.bing.com/images/search?form=xlimg&amp;q=Port%20Moresby" TargetMode="External"/><Relationship Id="rId353" Type="http://schemas.openxmlformats.org/officeDocument/2006/relationships/hyperlink" Target="https://www.bing.com/images/search?form=xlimg&amp;q=Moscow" TargetMode="External"/><Relationship Id="rId395" Type="http://schemas.openxmlformats.org/officeDocument/2006/relationships/hyperlink" Target="https://www.bing.com/images/search?form=xlimg&amp;q=Senegal" TargetMode="External"/><Relationship Id="rId409" Type="http://schemas.openxmlformats.org/officeDocument/2006/relationships/hyperlink" Target="https://www.bing.com/th?id=OSK.a-LKH8Bu_XoEXBm4VFcuRmrDKUG1dduG_8m7eGmJyLM&amp;qlt=95" TargetMode="External"/><Relationship Id="rId560" Type="http://schemas.openxmlformats.org/officeDocument/2006/relationships/hyperlink" Target="https://www.bing.com/images/search?form=xlimg&amp;q=Ukraine" TargetMode="External"/><Relationship Id="rId92" Type="http://schemas.openxmlformats.org/officeDocument/2006/relationships/image" Target="../media/image18.TECalGdjYkn5qFYM2wGnHhJgO5IgABLcGZwbeZUv2pw"/><Relationship Id="rId213" Type="http://schemas.openxmlformats.org/officeDocument/2006/relationships/hyperlink" Target="https://www.bing.com/images/search?form=xlimg&amp;q=Mozambique" TargetMode="External"/><Relationship Id="rId420" Type="http://schemas.openxmlformats.org/officeDocument/2006/relationships/hyperlink" Target="https://www.bing.com/th?id=OSK.ab647d85fcb8cb95298698ac47550cd9&amp;qlt=95" TargetMode="External"/><Relationship Id="rId616" Type="http://schemas.openxmlformats.org/officeDocument/2006/relationships/hyperlink" Target="https://www.bing.com/th?id=OSK.3c89638b5c67beaae950b002b58fc115&amp;qlt=95" TargetMode="External"/><Relationship Id="rId255" Type="http://schemas.openxmlformats.org/officeDocument/2006/relationships/image" Target="../media/image49.ba16ef5b1a62624fff12d7049683342e"/><Relationship Id="rId297" Type="http://schemas.openxmlformats.org/officeDocument/2006/relationships/hyperlink" Target="https://www.bing.com/th?id=OSK.LNADp9m9ngm3oSK0K7z5EDtN_KCj1I4IVxwBciygTyE&amp;qlt=95" TargetMode="External"/><Relationship Id="rId462" Type="http://schemas.openxmlformats.org/officeDocument/2006/relationships/hyperlink" Target="https://www.bing.com/th?id=OSK.cce9aabcd6dda046f9128d3d01859186&amp;qlt=95" TargetMode="External"/><Relationship Id="rId518" Type="http://schemas.openxmlformats.org/officeDocument/2006/relationships/hyperlink" Target="https://www.bing.com/th?id=OSK.611e678edd52b607caf57647c241896d&amp;qlt=95" TargetMode="External"/><Relationship Id="rId115" Type="http://schemas.openxmlformats.org/officeDocument/2006/relationships/image" Target="../media/image23.e7d009975b862b150b78155159099346"/><Relationship Id="rId157" Type="http://schemas.openxmlformats.org/officeDocument/2006/relationships/image" Target="../media/image31.99c028b1beae003a52d1a43ed4d4c845"/><Relationship Id="rId322" Type="http://schemas.openxmlformats.org/officeDocument/2006/relationships/hyperlink" Target="https://www.bing.com/th?id=OSK.94d547e45ab6412094898994510adb0e&amp;qlt=95" TargetMode="External"/><Relationship Id="rId364" Type="http://schemas.openxmlformats.org/officeDocument/2006/relationships/hyperlink" Target="https://www.bing.com/th?id=OSK.b84a4a5caaf94d53f6b7b6a08e532716&amp;qlt=95" TargetMode="External"/><Relationship Id="rId61" Type="http://schemas.openxmlformats.org/officeDocument/2006/relationships/hyperlink" Target="https://www.bing.com/images/search?form=xlimg&amp;q=Kenya" TargetMode="External"/><Relationship Id="rId199" Type="http://schemas.openxmlformats.org/officeDocument/2006/relationships/hyperlink" Target="https://www.bing.com/images/search?form=xlimg&amp;q=Ulaanbaatar" TargetMode="External"/><Relationship Id="rId571" Type="http://schemas.openxmlformats.org/officeDocument/2006/relationships/hyperlink" Target="https://www.bing.com/th?id=OSK.1a33b5115bfc290abc8869de29ebd567&amp;qlt=95" TargetMode="External"/><Relationship Id="rId19" Type="http://schemas.openxmlformats.org/officeDocument/2006/relationships/hyperlink" Target="https://www.bing.com/images/search?form=xlimg&amp;q=Iraq" TargetMode="External"/><Relationship Id="rId224" Type="http://schemas.openxmlformats.org/officeDocument/2006/relationships/hyperlink" Target="https://www.bing.com/th?id=OSK.9f29fb755a77bc301bc1999579ecdd64&amp;qlt=95" TargetMode="External"/><Relationship Id="rId266" Type="http://schemas.openxmlformats.org/officeDocument/2006/relationships/hyperlink" Target="https://www.bing.com/th?id=OSK.5c831692d86ec1a3d2cee64ef3ae85e5&amp;qlt=95" TargetMode="External"/><Relationship Id="rId431" Type="http://schemas.openxmlformats.org/officeDocument/2006/relationships/hyperlink" Target="https://www.bing.com/images/search?form=xlimg&amp;q=Honiara" TargetMode="External"/><Relationship Id="rId473" Type="http://schemas.openxmlformats.org/officeDocument/2006/relationships/hyperlink" Target="https://www.bing.com/images/search?form=xlimg&amp;q=Paramaribo" TargetMode="External"/><Relationship Id="rId529" Type="http://schemas.openxmlformats.org/officeDocument/2006/relationships/hyperlink" Target="https://www.bing.com/images/search?form=xlimg&amp;q=Port%20of%20Spain" TargetMode="External"/><Relationship Id="rId30" Type="http://schemas.openxmlformats.org/officeDocument/2006/relationships/image" Target="../media/image6.2645723e4c6975ff4c578c04da130f2e"/><Relationship Id="rId126" Type="http://schemas.openxmlformats.org/officeDocument/2006/relationships/hyperlink" Target="https://www.bing.com/images/search?form=xlimg&amp;q=Luxembourg" TargetMode="External"/><Relationship Id="rId168" Type="http://schemas.openxmlformats.org/officeDocument/2006/relationships/hyperlink" Target="https://www.bing.com/th?id=OSK.87abceb7fcdb2692022a5d65f0956bdb&amp;qlt=95" TargetMode="External"/><Relationship Id="rId333" Type="http://schemas.openxmlformats.org/officeDocument/2006/relationships/hyperlink" Target="https://www.bing.com/images/search?form=xlimg&amp;q=Warsaw" TargetMode="External"/><Relationship Id="rId540" Type="http://schemas.openxmlformats.org/officeDocument/2006/relationships/hyperlink" Target="https://www.bing.com/th?id=OSK.719d887b978059374a429170a3e1485c&amp;qlt=95" TargetMode="External"/><Relationship Id="rId72" Type="http://schemas.openxmlformats.org/officeDocument/2006/relationships/image" Target="../media/image14.f8cbd8a69fefe8348641e56808000d99"/><Relationship Id="rId375" Type="http://schemas.openxmlformats.org/officeDocument/2006/relationships/hyperlink" Target="https://www.bing.com/images/search?form=xlimg&amp;q=Samoa" TargetMode="External"/><Relationship Id="rId582" Type="http://schemas.openxmlformats.org/officeDocument/2006/relationships/hyperlink" Target="https://www.bing.com/images/search?form=xlimg&amp;q=New%20York%20City" TargetMode="External"/><Relationship Id="rId3" Type="http://schemas.openxmlformats.org/officeDocument/2006/relationships/image" Target="../media/image1.3386bc8d96f35351f9956787a1c677c6"/><Relationship Id="rId235" Type="http://schemas.openxmlformats.org/officeDocument/2006/relationships/hyperlink" Target="https://www.bing.com/images/search?form=xlimg&amp;q=Denigomodu%20District" TargetMode="External"/><Relationship Id="rId277" Type="http://schemas.openxmlformats.org/officeDocument/2006/relationships/image" Target="../media/image53.d6a93a92f09e8d8412ff984010efbef7"/><Relationship Id="rId400" Type="http://schemas.openxmlformats.org/officeDocument/2006/relationships/hyperlink" Target="https://www.bing.com/images/search?form=xlimg&amp;q=Serbia" TargetMode="External"/><Relationship Id="rId442" Type="http://schemas.openxmlformats.org/officeDocument/2006/relationships/hyperlink" Target="https://www.bing.com/th?id=OSK.bce8f7676d1d1922a8fb97695f8a0a3e&amp;qlt=95" TargetMode="External"/><Relationship Id="rId484" Type="http://schemas.openxmlformats.org/officeDocument/2006/relationships/hyperlink" Target="https://www.bing.com/th?id=OSK.7ddce92533c67fdedfdb53a480c51920&amp;qlt=95" TargetMode="External"/><Relationship Id="rId137" Type="http://schemas.openxmlformats.org/officeDocument/2006/relationships/image" Target="../media/image27.ca6f2d89ccaf37336ed80137ab5b9516"/><Relationship Id="rId302" Type="http://schemas.openxmlformats.org/officeDocument/2006/relationships/hyperlink" Target="https://www.bing.com/th?id=OSK.4b54a773b13f1918eeb48f0792a7914b&amp;qlt=95" TargetMode="External"/><Relationship Id="rId344" Type="http://schemas.openxmlformats.org/officeDocument/2006/relationships/hyperlink" Target="https://www.bing.com/th?id=OSK.8zn8I87SMZQID1yeREa5ylZshLmieZDX-S-9EZ_xfG8&amp;qlt=95" TargetMode="External"/><Relationship Id="rId41" Type="http://schemas.openxmlformats.org/officeDocument/2006/relationships/hyperlink" Target="https://www.bing.com/th?id=OSK.8f6da76bcb58427770ed5931f108b471&amp;qlt=95" TargetMode="External"/><Relationship Id="rId83" Type="http://schemas.openxmlformats.org/officeDocument/2006/relationships/hyperlink" Target="https://www.bing.com/th?id=OSK.006089021d812b1590a1e885a2a52086&amp;qlt=95" TargetMode="External"/><Relationship Id="rId179" Type="http://schemas.openxmlformats.org/officeDocument/2006/relationships/hyperlink" Target="https://www.bing.com/images/search?form=xlimg&amp;q=Mexico%20City" TargetMode="External"/><Relationship Id="rId386" Type="http://schemas.openxmlformats.org/officeDocument/2006/relationships/image" Target="../media/image74.eec76c0ad67c3f351e6fc949b2ac827f"/><Relationship Id="rId551" Type="http://schemas.openxmlformats.org/officeDocument/2006/relationships/image" Target="../media/image105.73b74397e03b01d704713e78a3c5d314"/><Relationship Id="rId593" Type="http://schemas.openxmlformats.org/officeDocument/2006/relationships/hyperlink" Target="https://www.bing.com/th?id=OSK.b7bf48b04f89c646e6afa3e8b89f10e2&amp;qlt=95" TargetMode="External"/><Relationship Id="rId607" Type="http://schemas.openxmlformats.org/officeDocument/2006/relationships/hyperlink" Target="https://www.bing.com/images/search?form=xlimg&amp;q=Vietnam" TargetMode="External"/><Relationship Id="rId190" Type="http://schemas.openxmlformats.org/officeDocument/2006/relationships/hyperlink" Target="https://www.bing.com/th?id=OSK.D4xwjISfUSLao3ePvCDt13L2x2dVn_PmQI8AEriEfWM&amp;qlt=95" TargetMode="External"/><Relationship Id="rId204" Type="http://schemas.openxmlformats.org/officeDocument/2006/relationships/hyperlink" Target="https://www.bing.com/images/search?form=xlimg&amp;q=Podgorica" TargetMode="External"/><Relationship Id="rId246" Type="http://schemas.openxmlformats.org/officeDocument/2006/relationships/hyperlink" Target="https://www.bing.com/th?id=OSK.b6a5970ae3dca3a8d37948add590bac6&amp;qlt=95" TargetMode="External"/><Relationship Id="rId288" Type="http://schemas.openxmlformats.org/officeDocument/2006/relationships/hyperlink" Target="https://www.bing.com/th?id=OSK.14df6f85365c068b88f2b7ce0e2da619&amp;qlt=95" TargetMode="External"/><Relationship Id="rId411" Type="http://schemas.openxmlformats.org/officeDocument/2006/relationships/image" Target="../media/image79.a"/><Relationship Id="rId453" Type="http://schemas.openxmlformats.org/officeDocument/2006/relationships/hyperlink" Target="https://www.bing.com/images/search?form=xlimg&amp;q=Juba" TargetMode="External"/><Relationship Id="rId509" Type="http://schemas.openxmlformats.org/officeDocument/2006/relationships/hyperlink" Target="https://www.bing.com/images/search?form=xlimg&amp;q=Dar%20es%20Salaam" TargetMode="External"/><Relationship Id="rId106" Type="http://schemas.openxmlformats.org/officeDocument/2006/relationships/hyperlink" Target="https://www.bing.com/images/search?form=xlimg&amp;q=Liberia" TargetMode="External"/><Relationship Id="rId313" Type="http://schemas.openxmlformats.org/officeDocument/2006/relationships/hyperlink" Target="https://www.bing.com/images/search?form=xlimg&amp;q=Paraguay" TargetMode="External"/><Relationship Id="rId495" Type="http://schemas.openxmlformats.org/officeDocument/2006/relationships/hyperlink" Target="https://www.bing.com/images/search?form=xlimg&amp;q=Taipei" TargetMode="External"/><Relationship Id="rId10" Type="http://schemas.openxmlformats.org/officeDocument/2006/relationships/image" Target="../media/image2.Zl2rYbEOa6RnR5PxgY7VLDcsFkfskAZrZiNUjyMAlyM"/><Relationship Id="rId52" Type="http://schemas.openxmlformats.org/officeDocument/2006/relationships/hyperlink" Target="https://www.bing.com/images/search?form=xlimg&amp;q=Amman" TargetMode="External"/><Relationship Id="rId94" Type="http://schemas.openxmlformats.org/officeDocument/2006/relationships/hyperlink" Target="https://www.bing.com/images/search?form=xlimg&amp;q=Riga" TargetMode="External"/><Relationship Id="rId148" Type="http://schemas.openxmlformats.org/officeDocument/2006/relationships/hyperlink" Target="https://www.bing.com/th?id=OSK.779eb94b7cdd4792ced7466765b86757&amp;qlt=95" TargetMode="External"/><Relationship Id="rId355" Type="http://schemas.openxmlformats.org/officeDocument/2006/relationships/hyperlink" Target="https://www.bing.com/images/search?form=xlimg&amp;q=Rwanda" TargetMode="External"/><Relationship Id="rId397" Type="http://schemas.openxmlformats.org/officeDocument/2006/relationships/hyperlink" Target="https://www.bing.com/th?id=OSK.4d07952d0a3153487a2be64cf45abd9a&amp;qlt=95" TargetMode="External"/><Relationship Id="rId520" Type="http://schemas.openxmlformats.org/officeDocument/2006/relationships/hyperlink" Target="https://www.bing.com/th?id=OSK.da87c1cf0c6018a4d764a1a556d3f0e1&amp;qlt=95" TargetMode="External"/><Relationship Id="rId562" Type="http://schemas.openxmlformats.org/officeDocument/2006/relationships/hyperlink" Target="https://www.bing.com/th?id=OSK.cfb2a3b99201000fd63a2bc5eb9b4132&amp;qlt=95" TargetMode="External"/><Relationship Id="rId215" Type="http://schemas.openxmlformats.org/officeDocument/2006/relationships/hyperlink" Target="https://www.bing.com/th?id=OSK.53c66f976f2ba88b7b6511281aa5fc99&amp;qlt=95" TargetMode="External"/><Relationship Id="rId257" Type="http://schemas.openxmlformats.org/officeDocument/2006/relationships/hyperlink" Target="https://www.bing.com/images/search?form=xlimg&amp;q=Managua" TargetMode="External"/><Relationship Id="rId422" Type="http://schemas.openxmlformats.org/officeDocument/2006/relationships/hyperlink" Target="https://www.bing.com/th?id=OSK.d603cc664aacae23506060091bb6f52d&amp;qlt=95" TargetMode="External"/><Relationship Id="rId464" Type="http://schemas.openxmlformats.org/officeDocument/2006/relationships/hyperlink" Target="https://www.bing.com/th?id=OSK.e9b07c266e405c9ce734f8ba78f77571&amp;qlt=95" TargetMode="External"/><Relationship Id="rId299" Type="http://schemas.openxmlformats.org/officeDocument/2006/relationships/image" Target="../media/image57.LNADp9m9ngm3oSK0K7z5EDtN"/><Relationship Id="rId63" Type="http://schemas.openxmlformats.org/officeDocument/2006/relationships/hyperlink" Target="https://www.bing.com/th?id=OSK.4d219fdf2ba25cb712bf1c489ea3a610&amp;qlt=95" TargetMode="External"/><Relationship Id="rId159" Type="http://schemas.openxmlformats.org/officeDocument/2006/relationships/hyperlink" Target="https://www.bing.com/images/search?form=xlimg&amp;q=Valletta" TargetMode="External"/><Relationship Id="rId366" Type="http://schemas.openxmlformats.org/officeDocument/2006/relationships/image" Target="../media/image70.b84a4a5caaf94d53f6b7b6a08e532716"/><Relationship Id="rId573" Type="http://schemas.openxmlformats.org/officeDocument/2006/relationships/image" Target="../media/image109.1a33b5115bfc290abc8869de29ebd567"/><Relationship Id="rId226" Type="http://schemas.openxmlformats.org/officeDocument/2006/relationships/image" Target="../media/image44.9f29fb755a77bc301bc1999579ecdd64"/><Relationship Id="rId433" Type="http://schemas.openxmlformats.org/officeDocument/2006/relationships/hyperlink" Target="https://www.bing.com/images/search?form=xlimg&amp;q=Somalia" TargetMode="External"/><Relationship Id="rId74" Type="http://schemas.openxmlformats.org/officeDocument/2006/relationships/hyperlink" Target="https://www.bing.com/images/search?form=xlimg&amp;q=Pristina" TargetMode="External"/><Relationship Id="rId377" Type="http://schemas.openxmlformats.org/officeDocument/2006/relationships/hyperlink" Target="https://www.bing.com/th?id=OSK.a1009287bea95ed9ce978d3e08532064&amp;qlt=95" TargetMode="External"/><Relationship Id="rId500" Type="http://schemas.openxmlformats.org/officeDocument/2006/relationships/image" Target="../media/image96.3d1f7cdd2e4b04d7d59c9c2070509b97"/><Relationship Id="rId584" Type="http://schemas.openxmlformats.org/officeDocument/2006/relationships/hyperlink" Target="https://www.bing.com/images/search?form=xlimg&amp;q=Uruguay" TargetMode="External"/><Relationship Id="rId5" Type="http://schemas.openxmlformats.org/officeDocument/2006/relationships/hyperlink" Target="https://www.bing.com/images/search?form=xlimg&amp;q=New%20Delhi" TargetMode="External"/><Relationship Id="rId237" Type="http://schemas.openxmlformats.org/officeDocument/2006/relationships/hyperlink" Target="https://www.bing.com/images/search?form=xlimg&amp;q=Nepal" TargetMode="External"/><Relationship Id="rId444" Type="http://schemas.openxmlformats.org/officeDocument/2006/relationships/hyperlink" Target="https://www.bing.com/th?id=OSK.3ad9dc82b4ada40031ce05d559610900&amp;qlt=95" TargetMode="External"/><Relationship Id="rId290" Type="http://schemas.openxmlformats.org/officeDocument/2006/relationships/hyperlink" Target="https://www.bing.com/th?id=OSK.e965f24f2ce2a4b2b55f2d2c8f816720&amp;qlt=95" TargetMode="External"/><Relationship Id="rId304" Type="http://schemas.openxmlformats.org/officeDocument/2006/relationships/image" Target="../media/image58.4b54a773b13f1918eeb48f0792a7914b"/><Relationship Id="rId388" Type="http://schemas.openxmlformats.org/officeDocument/2006/relationships/hyperlink" Target="https://www.bing.com/images/search?form=xlimg&amp;q=S%c3%a3o%20Tom%c3%a9" TargetMode="External"/><Relationship Id="rId511" Type="http://schemas.openxmlformats.org/officeDocument/2006/relationships/hyperlink" Target="https://www.bing.com/images/search?form=xlimg&amp;q=Thailand" TargetMode="External"/><Relationship Id="rId609" Type="http://schemas.openxmlformats.org/officeDocument/2006/relationships/hyperlink" Target="https://www.bing.com/th?id=OSK.ad8f510eb474d3270ae97037bac3dc18&amp;qlt=95" TargetMode="External"/><Relationship Id="rId85" Type="http://schemas.openxmlformats.org/officeDocument/2006/relationships/hyperlink" Target="https://www.bing.com/th?id=OSK.-wBboG1nhFj0aVTKYtHN2cPaaQjdF84hiPyeCOpiIak&amp;qlt=95" TargetMode="External"/><Relationship Id="rId150" Type="http://schemas.openxmlformats.org/officeDocument/2006/relationships/hyperlink" Target="https://www.bing.com/th?id=OSK.LcRMeggx03inKPTzwsb4AzxlvPrHqvGePwbrfJ4NTQI&amp;qlt=95" TargetMode="External"/><Relationship Id="rId595" Type="http://schemas.openxmlformats.org/officeDocument/2006/relationships/image" Target="../media/image113.b7bf48b04f89c646e6afa3e8b89f10e2"/><Relationship Id="rId248" Type="http://schemas.openxmlformats.org/officeDocument/2006/relationships/image" Target="../media/image48.b6a5970ae3dca3a8d37948add590bac6"/><Relationship Id="rId455" Type="http://schemas.openxmlformats.org/officeDocument/2006/relationships/hyperlink" Target="https://www.bing.com/images/search?form=xlimg&amp;q=Spain" TargetMode="External"/><Relationship Id="rId12" Type="http://schemas.openxmlformats.org/officeDocument/2006/relationships/hyperlink" Target="https://www.bing.com/images/search?form=xlimg&amp;q=Jakarta" TargetMode="External"/><Relationship Id="rId108" Type="http://schemas.openxmlformats.org/officeDocument/2006/relationships/hyperlink" Target="https://www.bing.com/th?id=OSK.6b6bd1ffed48204348e8ebf292f3fa94&amp;qlt=95" TargetMode="External"/><Relationship Id="rId315" Type="http://schemas.openxmlformats.org/officeDocument/2006/relationships/hyperlink" Target="https://www.bing.com/th?id=OSK.e505b6acb508534c003b865b5b0625ed&amp;qlt=95" TargetMode="External"/><Relationship Id="rId522" Type="http://schemas.openxmlformats.org/officeDocument/2006/relationships/image" Target="../media/image100.da87c1cf0c6018a4d764a1a556d3f0e1"/><Relationship Id="rId96" Type="http://schemas.openxmlformats.org/officeDocument/2006/relationships/hyperlink" Target="https://www.bing.com/images/search?form=xlimg&amp;q=Lebanon" TargetMode="External"/><Relationship Id="rId161" Type="http://schemas.openxmlformats.org/officeDocument/2006/relationships/hyperlink" Target="https://www.bing.com/images/search?form=xlimg&amp;q=Marshall%20Islands" TargetMode="External"/><Relationship Id="rId399" Type="http://schemas.openxmlformats.org/officeDocument/2006/relationships/hyperlink" Target="https://www.bing.com/th?id=OSK.c487ba4ced6ceb655b94fb1585b38896&amp;qlt=95" TargetMode="External"/><Relationship Id="rId259" Type="http://schemas.openxmlformats.org/officeDocument/2006/relationships/hyperlink" Target="https://www.bing.com/images/search?form=xlimg&amp;q=Niger" TargetMode="External"/><Relationship Id="rId466" Type="http://schemas.openxmlformats.org/officeDocument/2006/relationships/image" Target="../media/image90.e9b07c266e405c9ce734f8ba78f77571"/><Relationship Id="rId23" Type="http://schemas.openxmlformats.org/officeDocument/2006/relationships/hyperlink" Target="https://www.bing.com/th?id=OSK.EaGKENylPymKR2vxwyKFWGRGtGNcLXtM8meCLdtsfYI&amp;qlt=95" TargetMode="External"/><Relationship Id="rId119" Type="http://schemas.openxmlformats.org/officeDocument/2006/relationships/hyperlink" Target="https://www.bing.com/images/search?form=xlimg&amp;q=Schaan" TargetMode="External"/><Relationship Id="rId326" Type="http://schemas.openxmlformats.org/officeDocument/2006/relationships/hyperlink" Target="https://www.bing.com/images/search?form=xlimg&amp;q=Manila" TargetMode="External"/><Relationship Id="rId533" Type="http://schemas.openxmlformats.org/officeDocument/2006/relationships/hyperlink" Target="https://www.bing.com/images/search?form=xlimg&amp;q=Tunisia" TargetMode="External"/><Relationship Id="rId172" Type="http://schemas.openxmlformats.org/officeDocument/2006/relationships/image" Target="../media/image34.EDIyGEDE84y3RamnSCf3LbkoTiNKb26NajoSDYpHyko"/><Relationship Id="rId477" Type="http://schemas.openxmlformats.org/officeDocument/2006/relationships/hyperlink" Target="https://www.bing.com/th?id=OSK.552fe8a4eebb6eb339b10226d84bd033&amp;qlt=95" TargetMode="External"/><Relationship Id="rId600" Type="http://schemas.openxmlformats.org/officeDocument/2006/relationships/image" Target="../media/image114.5b46ca7881de0bdad52482b03317e03c"/><Relationship Id="rId337" Type="http://schemas.openxmlformats.org/officeDocument/2006/relationships/hyperlink" Target="https://www.bing.com/th?id=OSK.afd232fc301bf2f60901c59a64d2fe66&amp;qlt=95" TargetMode="External"/><Relationship Id="rId34" Type="http://schemas.openxmlformats.org/officeDocument/2006/relationships/hyperlink" Target="https://www.bing.com/images/search?form=xlimg&amp;q=Italy" TargetMode="External"/><Relationship Id="rId544" Type="http://schemas.openxmlformats.org/officeDocument/2006/relationships/hyperlink" Target="https://www.bing.com/th?id=OSK.c5f048e17508b581af8aae6a4c506eb1&amp;qlt=95" TargetMode="External"/><Relationship Id="rId183" Type="http://schemas.openxmlformats.org/officeDocument/2006/relationships/hyperlink" Target="https://www.bing.com/th?id=OSK.3a98fbb532d064628dcbf1621b71e007&amp;qlt=95" TargetMode="External"/><Relationship Id="rId390" Type="http://schemas.openxmlformats.org/officeDocument/2006/relationships/hyperlink" Target="https://www.bing.com/images/search?form=xlimg&amp;q=Saudi%20Arabia" TargetMode="External"/><Relationship Id="rId404" Type="http://schemas.openxmlformats.org/officeDocument/2006/relationships/hyperlink" Target="https://www.bing.com/th?id=OSK.ljNl0oWNJzuDnfkeG13wyiykWTzXRgDIr3ZtPQyxM_k&amp;qlt=95" TargetMode="External"/><Relationship Id="rId611" Type="http://schemas.openxmlformats.org/officeDocument/2006/relationships/hyperlink" Target="https://www.bing.com/th?id=OSK.14e82c66df81efe644657fea21a90664&amp;qlt=95" TargetMode="External"/><Relationship Id="rId250" Type="http://schemas.openxmlformats.org/officeDocument/2006/relationships/hyperlink" Target="https://www.bing.com/images/search?form=xlimg&amp;q=Wellington" TargetMode="External"/><Relationship Id="rId488" Type="http://schemas.openxmlformats.org/officeDocument/2006/relationships/image" Target="../media/image94.7eecc7493acd5da763572de73e65abc1"/><Relationship Id="rId45" Type="http://schemas.openxmlformats.org/officeDocument/2006/relationships/image" Target="../media/image9.mTs9AdlNDLziaMN3BIhJpWCGZaOOUwqIR2jN3FJEeTw"/><Relationship Id="rId110" Type="http://schemas.openxmlformats.org/officeDocument/2006/relationships/hyperlink" Target="https://www.bing.com/th?id=OSK.fb4d51ce3b3c5a41b4f906a3da0010c7&amp;qlt=95" TargetMode="External"/><Relationship Id="rId348" Type="http://schemas.openxmlformats.org/officeDocument/2006/relationships/hyperlink" Target="https://www.bing.com/images/search?form=xlimg&amp;q=Bucharest" TargetMode="External"/><Relationship Id="rId555" Type="http://schemas.openxmlformats.org/officeDocument/2006/relationships/hyperlink" Target="https://www.bing.com/images/search?form=xlimg&amp;q=Uganda" TargetMode="External"/><Relationship Id="rId194" Type="http://schemas.openxmlformats.org/officeDocument/2006/relationships/hyperlink" Target="https://www.bing.com/images/search?form=xlimg&amp;q=Monaco%20City" TargetMode="External"/><Relationship Id="rId208" Type="http://schemas.openxmlformats.org/officeDocument/2006/relationships/hyperlink" Target="https://www.bing.com/th?id=OSK.bc9068c1688e9e45df9c8d658090f135&amp;qlt=95" TargetMode="External"/><Relationship Id="rId415" Type="http://schemas.openxmlformats.org/officeDocument/2006/relationships/hyperlink" Target="https://www.bing.com/images/search?form=xlimg&amp;q=Singapore" TargetMode="External"/><Relationship Id="rId261" Type="http://schemas.openxmlformats.org/officeDocument/2006/relationships/hyperlink" Target="https://www.bing.com/th?id=OSK.39e239dfa1f8bbc09fe24972c1cbfcc7&amp;qlt=95" TargetMode="External"/><Relationship Id="rId499" Type="http://schemas.openxmlformats.org/officeDocument/2006/relationships/hyperlink" Target="https://www.bing.com/images/search?form=xlimg&amp;q=Tajikistan" TargetMode="External"/><Relationship Id="rId56" Type="http://schemas.openxmlformats.org/officeDocument/2006/relationships/hyperlink" Target="https://www.bing.com/th?id=OSK.f598d7357bf8d85e9450bb3e6de80fc5&amp;qlt=95" TargetMode="External"/><Relationship Id="rId359" Type="http://schemas.openxmlformats.org/officeDocument/2006/relationships/hyperlink" Target="https://www.bing.com/th?id=OSK.b0fa55ae76926529331739d0cb9ebaf2&amp;qlt=95" TargetMode="External"/><Relationship Id="rId566" Type="http://schemas.openxmlformats.org/officeDocument/2006/relationships/image" Target="../media/image108.ffaa47f2f4e92fa19bdb4953fe6f287a"/><Relationship Id="rId121" Type="http://schemas.openxmlformats.org/officeDocument/2006/relationships/hyperlink" Target="https://www.bing.com/images/search?form=xlimg&amp;q=Lithuania" TargetMode="External"/><Relationship Id="rId219" Type="http://schemas.openxmlformats.org/officeDocument/2006/relationships/image" Target="../media/image43.2cd9330c156b88cf38e058249385607a"/><Relationship Id="rId426" Type="http://schemas.openxmlformats.org/officeDocument/2006/relationships/hyperlink" Target="https://www.bing.com/images/search?form=xlimg&amp;q=Ljubljana" TargetMode="External"/><Relationship Id="rId67" Type="http://schemas.openxmlformats.org/officeDocument/2006/relationships/image" Target="../media/image13.d86e69d23c6b77dee6209c6f646f4af8"/><Relationship Id="rId272" Type="http://schemas.openxmlformats.org/officeDocument/2006/relationships/image" Target="../media/image52.c224c44215953502f78d61b92b10e01b"/><Relationship Id="rId577" Type="http://schemas.openxmlformats.org/officeDocument/2006/relationships/hyperlink" Target="https://www.bing.com/images/search?form=xlimg&amp;q=United%20States"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blip r:id="rId3"/>
  </webImageSrd>
  <webImageSrd>
    <address r:id="rId4"/>
    <moreImagesAddress r:id="rId5"/>
  </webImageSrd>
  <webImageSrd>
    <address r:id="rId6"/>
    <moreImagesAddress r:id="rId7"/>
  </webImageSrd>
  <webImageSrd>
    <address r:id="rId8"/>
    <moreImagesAddress r:id="rId9"/>
    <blip r:id="rId10"/>
  </webImageSrd>
  <webImageSrd>
    <address r:id="rId11"/>
    <moreImagesAddress r:id="rId12"/>
  </webImageSrd>
  <webImageSrd>
    <address r:id="rId13"/>
    <moreImagesAddress r:id="rId14"/>
    <blip r:id="rId15"/>
  </webImageSrd>
  <webImageSrd>
    <address r:id="rId16"/>
    <moreImagesAddress r:id="rId17"/>
  </webImageSrd>
  <webImageSrd>
    <address r:id="rId18"/>
    <moreImagesAddress r:id="rId19"/>
    <blip r:id="rId20"/>
  </webImageSrd>
  <webImageSrd>
    <address r:id="rId21"/>
    <moreImagesAddress r:id="rId22"/>
  </webImageSrd>
  <webImageSrd>
    <address r:id="rId23"/>
    <moreImagesAddress r:id="rId24"/>
    <blip r:id="rId25"/>
  </webImageSrd>
  <webImageSrd>
    <address r:id="rId26"/>
    <moreImagesAddress r:id="rId27"/>
  </webImageSrd>
  <webImageSrd>
    <address r:id="rId28"/>
    <moreImagesAddress r:id="rId29"/>
    <blip r:id="rId30"/>
  </webImageSrd>
  <webImageSrd>
    <address r:id="rId31"/>
    <moreImagesAddress r:id="rId32"/>
  </webImageSrd>
  <webImageSrd>
    <address r:id="rId33"/>
    <moreImagesAddress r:id="rId34"/>
    <blip r:id="rId35"/>
  </webImageSrd>
  <webImageSrd>
    <address r:id="rId36"/>
    <moreImagesAddress r:id="rId37"/>
  </webImageSrd>
  <webImageSrd>
    <address r:id="rId38"/>
    <moreImagesAddress r:id="rId39"/>
    <blip r:id="rId40"/>
  </webImageSrd>
  <webImageSrd>
    <address r:id="rId41"/>
    <moreImagesAddress r:id="rId42"/>
  </webImageSrd>
  <webImageSrd>
    <address r:id="rId43"/>
    <moreImagesAddress r:id="rId44"/>
    <blip r:id="rId45"/>
  </webImageSrd>
  <webImageSrd>
    <address r:id="rId46"/>
    <moreImagesAddress r:id="rId47"/>
  </webImageSrd>
  <webImageSrd>
    <address r:id="rId48"/>
    <moreImagesAddress r:id="rId49"/>
    <blip r:id="rId50"/>
  </webImageSrd>
  <webImageSrd>
    <address r:id="rId51"/>
    <moreImagesAddress r:id="rId52"/>
  </webImageSrd>
  <webImageSrd>
    <address r:id="rId53"/>
    <moreImagesAddress r:id="rId54"/>
    <blip r:id="rId55"/>
  </webImageSrd>
  <webImageSrd>
    <address r:id="rId56"/>
    <moreImagesAddress r:id="rId57"/>
  </webImageSrd>
  <webImageSrd>
    <address r:id="rId58"/>
    <moreImagesAddress r:id="rId59"/>
  </webImageSrd>
  <webImageSrd>
    <address r:id="rId60"/>
    <moreImagesAddress r:id="rId61"/>
    <blip r:id="rId62"/>
  </webImageSrd>
  <webImageSrd>
    <address r:id="rId63"/>
    <moreImagesAddress r:id="rId64"/>
  </webImageSrd>
  <webImageSrd>
    <address r:id="rId65"/>
    <moreImagesAddress r:id="rId66"/>
    <blip r:id="rId67"/>
  </webImageSrd>
  <webImageSrd>
    <address r:id="rId68"/>
    <moreImagesAddress r:id="rId69"/>
  </webImageSrd>
  <webImageSrd>
    <address r:id="rId70"/>
    <moreImagesAddress r:id="rId71"/>
    <blip r:id="rId72"/>
  </webImageSrd>
  <webImageSrd>
    <address r:id="rId73"/>
    <moreImagesAddress r:id="rId74"/>
  </webImageSrd>
  <webImageSrd>
    <address r:id="rId75"/>
    <moreImagesAddress r:id="rId76"/>
    <blip r:id="rId77"/>
  </webImageSrd>
  <webImageSrd>
    <address r:id="rId78"/>
    <moreImagesAddress r:id="rId79"/>
  </webImageSrd>
  <webImageSrd>
    <address r:id="rId80"/>
    <moreImagesAddress r:id="rId81"/>
    <blip r:id="rId82"/>
  </webImageSrd>
  <webImageSrd>
    <address r:id="rId83"/>
    <moreImagesAddress r:id="rId84"/>
  </webImageSrd>
  <webImageSrd>
    <address r:id="rId85"/>
    <moreImagesAddress r:id="rId86"/>
    <blip r:id="rId87"/>
  </webImageSrd>
  <webImageSrd>
    <address r:id="rId88"/>
    <moreImagesAddress r:id="rId89"/>
  </webImageSrd>
  <webImageSrd>
    <address r:id="rId90"/>
    <moreImagesAddress r:id="rId91"/>
    <blip r:id="rId92"/>
  </webImageSrd>
  <webImageSrd>
    <address r:id="rId93"/>
    <moreImagesAddress r:id="rId94"/>
  </webImageSrd>
  <webImageSrd>
    <address r:id="rId95"/>
    <moreImagesAddress r:id="rId96"/>
    <blip r:id="rId97"/>
  </webImageSrd>
  <webImageSrd>
    <address r:id="rId98"/>
    <moreImagesAddress r:id="rId99"/>
  </webImageSrd>
  <webImageSrd>
    <address r:id="rId100"/>
    <moreImagesAddress r:id="rId101"/>
    <blip r:id="rId102"/>
  </webImageSrd>
  <webImageSrd>
    <address r:id="rId103"/>
    <moreImagesAddress r:id="rId104"/>
  </webImageSrd>
  <webImageSrd>
    <address r:id="rId105"/>
    <moreImagesAddress r:id="rId106"/>
    <blip r:id="rId107"/>
  </webImageSrd>
  <webImageSrd>
    <address r:id="rId108"/>
    <moreImagesAddress r:id="rId109"/>
  </webImageSrd>
  <webImageSrd>
    <address r:id="rId110"/>
    <moreImagesAddress r:id="rId111"/>
    <blip r:id="rId112"/>
  </webImageSrd>
  <webImageSrd>
    <address r:id="rId113"/>
    <moreImagesAddress r:id="rId114"/>
    <blip r:id="rId115"/>
  </webImageSrd>
  <webImageSrd>
    <address r:id="rId116"/>
    <moreImagesAddress r:id="rId117"/>
  </webImageSrd>
  <webImageSrd>
    <address r:id="rId118"/>
    <moreImagesAddress r:id="rId119"/>
  </webImageSrd>
  <webImageSrd>
    <address r:id="rId120"/>
    <moreImagesAddress r:id="rId121"/>
    <blip r:id="rId122"/>
  </webImageSrd>
  <webImageSrd>
    <address r:id="rId123"/>
    <moreImagesAddress r:id="rId124"/>
  </webImageSrd>
  <webImageSrd>
    <address r:id="rId125"/>
    <moreImagesAddress r:id="rId126"/>
    <blip r:id="rId127"/>
  </webImageSrd>
  <webImageSrd>
    <address r:id="rId128"/>
    <moreImagesAddress r:id="rId129"/>
  </webImageSrd>
  <webImageSrd>
    <address r:id="rId130"/>
    <moreImagesAddress r:id="rId131"/>
    <blip r:id="rId132"/>
  </webImageSrd>
  <webImageSrd>
    <address r:id="rId133"/>
    <moreImagesAddress r:id="rId134"/>
  </webImageSrd>
  <webImageSrd>
    <address r:id="rId135"/>
    <moreImagesAddress r:id="rId136"/>
    <blip r:id="rId137"/>
  </webImageSrd>
  <webImageSrd>
    <address r:id="rId138"/>
    <moreImagesAddress r:id="rId139"/>
  </webImageSrd>
  <webImageSrd>
    <address r:id="rId140"/>
    <moreImagesAddress r:id="rId141"/>
    <blip r:id="rId142"/>
  </webImageSrd>
  <webImageSrd>
    <address r:id="rId143"/>
    <moreImagesAddress r:id="rId144"/>
  </webImageSrd>
  <webImageSrd>
    <address r:id="rId145"/>
    <moreImagesAddress r:id="rId146"/>
    <blip r:id="rId147"/>
  </webImageSrd>
  <webImageSrd>
    <address r:id="rId148"/>
    <moreImagesAddress r:id="rId149"/>
  </webImageSrd>
  <webImageSrd>
    <address r:id="rId150"/>
    <moreImagesAddress r:id="rId151"/>
    <blip r:id="rId152"/>
  </webImageSrd>
  <webImageSrd>
    <address r:id="rId153"/>
    <moreImagesAddress r:id="rId154"/>
  </webImageSrd>
  <webImageSrd>
    <address r:id="rId155"/>
    <moreImagesAddress r:id="rId156"/>
    <blip r:id="rId157"/>
  </webImageSrd>
  <webImageSrd>
    <address r:id="rId158"/>
    <moreImagesAddress r:id="rId159"/>
  </webImageSrd>
  <webImageSrd>
    <address r:id="rId160"/>
    <moreImagesAddress r:id="rId161"/>
    <blip r:id="rId162"/>
  </webImageSrd>
  <webImageSrd>
    <address r:id="rId163"/>
    <moreImagesAddress r:id="rId164"/>
  </webImageSrd>
  <webImageSrd>
    <address r:id="rId165"/>
    <moreImagesAddress r:id="rId166"/>
    <blip r:id="rId167"/>
  </webImageSrd>
  <webImageSrd>
    <address r:id="rId168"/>
    <moreImagesAddress r:id="rId169"/>
  </webImageSrd>
  <webImageSrd>
    <address r:id="rId170"/>
    <moreImagesAddress r:id="rId171"/>
    <blip r:id="rId172"/>
  </webImageSrd>
  <webImageSrd>
    <address r:id="rId173"/>
    <moreImagesAddress r:id="rId174"/>
  </webImageSrd>
  <webImageSrd>
    <address r:id="rId175"/>
    <moreImagesAddress r:id="rId176"/>
    <blip r:id="rId177"/>
  </webImageSrd>
  <webImageSrd>
    <address r:id="rId178"/>
    <moreImagesAddress r:id="rId179"/>
  </webImageSrd>
  <webImageSrd>
    <address r:id="rId180"/>
    <moreImagesAddress r:id="rId181"/>
    <blip r:id="rId182"/>
  </webImageSrd>
  <webImageSrd>
    <address r:id="rId183"/>
    <moreImagesAddress r:id="rId184"/>
  </webImageSrd>
  <webImageSrd>
    <address r:id="rId185"/>
    <moreImagesAddress r:id="rId186"/>
    <blip r:id="rId187"/>
  </webImageSrd>
  <webImageSrd>
    <address r:id="rId188"/>
    <moreImagesAddress r:id="rId189"/>
  </webImageSrd>
  <webImageSrd>
    <address r:id="rId190"/>
    <moreImagesAddress r:id="rId191"/>
    <blip r:id="rId192"/>
  </webImageSrd>
  <webImageSrd>
    <address r:id="rId193"/>
    <moreImagesAddress r:id="rId194"/>
  </webImageSrd>
  <webImageSrd>
    <address r:id="rId195"/>
    <moreImagesAddress r:id="rId196"/>
    <blip r:id="rId197"/>
  </webImageSrd>
  <webImageSrd>
    <address r:id="rId198"/>
    <moreImagesAddress r:id="rId199"/>
  </webImageSrd>
  <webImageSrd>
    <address r:id="rId200"/>
    <moreImagesAddress r:id="rId201"/>
    <blip r:id="rId202"/>
  </webImageSrd>
  <webImageSrd>
    <address r:id="rId203"/>
    <moreImagesAddress r:id="rId204"/>
  </webImageSrd>
  <webImageSrd>
    <address r:id="rId205"/>
    <moreImagesAddress r:id="rId206"/>
    <blip r:id="rId207"/>
  </webImageSrd>
  <webImageSrd>
    <address r:id="rId208"/>
    <moreImagesAddress r:id="rId209"/>
  </webImageSrd>
  <webImageSrd>
    <address r:id="rId210"/>
    <moreImagesAddress r:id="rId211"/>
  </webImageSrd>
  <webImageSrd>
    <address r:id="rId212"/>
    <moreImagesAddress r:id="rId213"/>
    <blip r:id="rId214"/>
  </webImageSrd>
  <webImageSrd>
    <address r:id="rId215"/>
    <moreImagesAddress r:id="rId216"/>
  </webImageSrd>
  <webImageSrd>
    <address r:id="rId217"/>
    <moreImagesAddress r:id="rId218"/>
    <blip r:id="rId219"/>
  </webImageSrd>
  <webImageSrd>
    <address r:id="rId220"/>
    <moreImagesAddress r:id="rId221"/>
  </webImageSrd>
  <webImageSrd>
    <address r:id="rId222"/>
    <moreImagesAddress r:id="rId223"/>
  </webImageSrd>
  <webImageSrd>
    <address r:id="rId224"/>
    <moreImagesAddress r:id="rId225"/>
    <blip r:id="rId226"/>
  </webImageSrd>
  <webImageSrd>
    <address r:id="rId227"/>
    <moreImagesAddress r:id="rId228"/>
  </webImageSrd>
  <webImageSrd>
    <address r:id="rId229"/>
    <moreImagesAddress r:id="rId230"/>
    <blip r:id="rId231"/>
  </webImageSrd>
  <webImageSrd>
    <address r:id="rId232"/>
    <moreImagesAddress r:id="rId233"/>
  </webImageSrd>
  <webImageSrd>
    <address r:id="rId234"/>
    <moreImagesAddress r:id="rId235"/>
  </webImageSrd>
  <webImageSrd>
    <address r:id="rId236"/>
    <moreImagesAddress r:id="rId237"/>
    <blip r:id="rId238"/>
  </webImageSrd>
  <webImageSrd>
    <address r:id="rId239"/>
    <moreImagesAddress r:id="rId240"/>
  </webImageSrd>
  <webImageSrd>
    <address r:id="rId241"/>
    <moreImagesAddress r:id="rId242"/>
    <blip r:id="rId243"/>
  </webImageSrd>
  <webImageSrd>
    <address r:id="rId244"/>
    <moreImagesAddress r:id="rId245"/>
  </webImageSrd>
  <webImageSrd>
    <address r:id="rId246"/>
    <moreImagesAddress r:id="rId247"/>
    <blip r:id="rId248"/>
  </webImageSrd>
  <webImageSrd>
    <address r:id="rId249"/>
    <moreImagesAddress r:id="rId250"/>
  </webImageSrd>
  <webImageSrd>
    <address r:id="rId251"/>
    <moreImagesAddress r:id="rId252"/>
  </webImageSrd>
  <webImageSrd>
    <address r:id="rId253"/>
    <moreImagesAddress r:id="rId254"/>
    <blip r:id="rId255"/>
  </webImageSrd>
  <webImageSrd>
    <address r:id="rId256"/>
    <moreImagesAddress r:id="rId257"/>
  </webImageSrd>
  <webImageSrd>
    <address r:id="rId258"/>
    <moreImagesAddress r:id="rId259"/>
    <blip r:id="rId260"/>
  </webImageSrd>
  <webImageSrd>
    <address r:id="rId261"/>
    <moreImagesAddress r:id="rId262"/>
  </webImageSrd>
  <webImageSrd>
    <address r:id="rId263"/>
    <moreImagesAddress r:id="rId264"/>
    <blip r:id="rId265"/>
  </webImageSrd>
  <webImageSrd>
    <address r:id="rId266"/>
    <moreImagesAddress r:id="rId267"/>
  </webImageSrd>
  <webImageSrd>
    <address r:id="rId268"/>
    <moreImagesAddress r:id="rId269"/>
  </webImageSrd>
  <webImageSrd>
    <address r:id="rId270"/>
    <moreImagesAddress r:id="rId271"/>
    <blip r:id="rId272"/>
  </webImageSrd>
  <webImageSrd>
    <address r:id="rId273"/>
    <moreImagesAddress r:id="rId274"/>
  </webImageSrd>
  <webImageSrd>
    <address r:id="rId275"/>
    <moreImagesAddress r:id="rId276"/>
    <blip r:id="rId277"/>
  </webImageSrd>
  <webImageSrd>
    <address r:id="rId278"/>
    <moreImagesAddress r:id="rId279"/>
  </webImageSrd>
  <webImageSrd>
    <address r:id="rId280"/>
    <moreImagesAddress r:id="rId281"/>
    <blip r:id="rId282"/>
  </webImageSrd>
  <webImageSrd>
    <address r:id="rId283"/>
    <moreImagesAddress r:id="rId284"/>
  </webImageSrd>
  <webImageSrd>
    <address r:id="rId285"/>
    <moreImagesAddress r:id="rId286"/>
    <blip r:id="rId287"/>
  </webImageSrd>
  <webImageSrd>
    <address r:id="rId288"/>
    <moreImagesAddress r:id="rId289"/>
  </webImageSrd>
  <webImageSrd>
    <address r:id="rId290"/>
    <moreImagesAddress r:id="rId291"/>
    <blip r:id="rId292"/>
  </webImageSrd>
  <webImageSrd>
    <address r:id="rId293"/>
    <moreImagesAddress r:id="rId294"/>
  </webImageSrd>
  <webImageSrd>
    <address r:id="rId295"/>
    <moreImagesAddress r:id="rId296"/>
  </webImageSrd>
  <webImageSrd>
    <address r:id="rId297"/>
    <moreImagesAddress r:id="rId298"/>
    <blip r:id="rId299"/>
  </webImageSrd>
  <webImageSrd>
    <address r:id="rId300"/>
    <moreImagesAddress r:id="rId301"/>
  </webImageSrd>
  <webImageSrd>
    <address r:id="rId302"/>
    <moreImagesAddress r:id="rId303"/>
    <blip r:id="rId304"/>
  </webImageSrd>
  <webImageSrd>
    <address r:id="rId305"/>
    <moreImagesAddress r:id="rId306"/>
  </webImageSrd>
  <webImageSrd>
    <address r:id="rId307"/>
    <moreImagesAddress r:id="rId308"/>
    <blip r:id="rId309"/>
  </webImageSrd>
  <webImageSrd>
    <address r:id="rId310"/>
    <moreImagesAddress r:id="rId311"/>
  </webImageSrd>
  <webImageSrd>
    <address r:id="rId312"/>
    <moreImagesAddress r:id="rId313"/>
    <blip r:id="rId314"/>
  </webImageSrd>
  <webImageSrd>
    <address r:id="rId315"/>
    <moreImagesAddress r:id="rId316"/>
  </webImageSrd>
  <webImageSrd>
    <address r:id="rId317"/>
    <moreImagesAddress r:id="rId318"/>
    <blip r:id="rId319"/>
  </webImageSrd>
  <webImageSrd>
    <address r:id="rId320"/>
    <moreImagesAddress r:id="rId321"/>
  </webImageSrd>
  <webImageSrd>
    <address r:id="rId322"/>
    <moreImagesAddress r:id="rId323"/>
    <blip r:id="rId324"/>
  </webImageSrd>
  <webImageSrd>
    <address r:id="rId325"/>
    <moreImagesAddress r:id="rId326"/>
  </webImageSrd>
  <webImageSrd>
    <address r:id="rId327"/>
    <moreImagesAddress r:id="rId328"/>
  </webImageSrd>
  <webImageSrd>
    <address r:id="rId329"/>
    <moreImagesAddress r:id="rId330"/>
    <blip r:id="rId331"/>
  </webImageSrd>
  <webImageSrd>
    <address r:id="rId332"/>
    <moreImagesAddress r:id="rId333"/>
  </webImageSrd>
  <webImageSrd>
    <address r:id="rId334"/>
    <moreImagesAddress r:id="rId335"/>
    <blip r:id="rId336"/>
  </webImageSrd>
  <webImageSrd>
    <address r:id="rId337"/>
    <moreImagesAddress r:id="rId338"/>
  </webImageSrd>
  <webImageSrd>
    <address r:id="rId339"/>
    <moreImagesAddress r:id="rId340"/>
    <blip r:id="rId341"/>
  </webImageSrd>
  <webImageSrd>
    <address r:id="rId342"/>
    <moreImagesAddress r:id="rId343"/>
  </webImageSrd>
  <webImageSrd>
    <address r:id="rId344"/>
    <moreImagesAddress r:id="rId345"/>
    <blip r:id="rId346"/>
  </webImageSrd>
  <webImageSrd>
    <address r:id="rId347"/>
    <moreImagesAddress r:id="rId348"/>
  </webImageSrd>
  <webImageSrd>
    <address r:id="rId349"/>
    <moreImagesAddress r:id="rId350"/>
    <blip r:id="rId351"/>
  </webImageSrd>
  <webImageSrd>
    <address r:id="rId352"/>
    <moreImagesAddress r:id="rId353"/>
  </webImageSrd>
  <webImageSrd>
    <address r:id="rId354"/>
    <moreImagesAddress r:id="rId355"/>
    <blip r:id="rId356"/>
  </webImageSrd>
  <webImageSrd>
    <address r:id="rId357"/>
    <moreImagesAddress r:id="rId358"/>
  </webImageSrd>
  <webImageSrd>
    <address r:id="rId359"/>
    <moreImagesAddress r:id="rId360"/>
    <blip r:id="rId361"/>
  </webImageSrd>
  <webImageSrd>
    <address r:id="rId362"/>
    <moreImagesAddress r:id="rId363"/>
  </webImageSrd>
  <webImageSrd>
    <address r:id="rId364"/>
    <moreImagesAddress r:id="rId365"/>
    <blip r:id="rId366"/>
  </webImageSrd>
  <webImageSrd>
    <address r:id="rId367"/>
    <moreImagesAddress r:id="rId368"/>
  </webImageSrd>
  <webImageSrd>
    <address r:id="rId369"/>
    <moreImagesAddress r:id="rId370"/>
    <blip r:id="rId371"/>
  </webImageSrd>
  <webImageSrd>
    <address r:id="rId372"/>
    <moreImagesAddress r:id="rId373"/>
  </webImageSrd>
  <webImageSrd>
    <address r:id="rId374"/>
    <moreImagesAddress r:id="rId375"/>
    <blip r:id="rId376"/>
  </webImageSrd>
  <webImageSrd>
    <address r:id="rId377"/>
    <moreImagesAddress r:id="rId378"/>
  </webImageSrd>
  <webImageSrd>
    <address r:id="rId379"/>
    <moreImagesAddress r:id="rId380"/>
    <blip r:id="rId381"/>
  </webImageSrd>
  <webImageSrd>
    <address r:id="rId382"/>
    <moreImagesAddress r:id="rId383"/>
  </webImageSrd>
  <webImageSrd>
    <address r:id="rId384"/>
    <moreImagesAddress r:id="rId385"/>
    <blip r:id="rId386"/>
  </webImageSrd>
  <webImageSrd>
    <address r:id="rId387"/>
    <moreImagesAddress r:id="rId388"/>
  </webImageSrd>
  <webImageSrd>
    <address r:id="rId389"/>
    <moreImagesAddress r:id="rId390"/>
    <blip r:id="rId391"/>
  </webImageSrd>
  <webImageSrd>
    <address r:id="rId392"/>
    <moreImagesAddress r:id="rId393"/>
  </webImageSrd>
  <webImageSrd>
    <address r:id="rId394"/>
    <moreImagesAddress r:id="rId395"/>
    <blip r:id="rId396"/>
  </webImageSrd>
  <webImageSrd>
    <address r:id="rId397"/>
    <moreImagesAddress r:id="rId398"/>
  </webImageSrd>
  <webImageSrd>
    <address r:id="rId399"/>
    <moreImagesAddress r:id="rId400"/>
    <blip r:id="rId401"/>
  </webImageSrd>
  <webImageSrd>
    <address r:id="rId402"/>
    <moreImagesAddress r:id="rId403"/>
  </webImageSrd>
  <webImageSrd>
    <address r:id="rId404"/>
    <moreImagesAddress r:id="rId405"/>
    <blip r:id="rId406"/>
  </webImageSrd>
  <webImageSrd>
    <address r:id="rId407"/>
    <moreImagesAddress r:id="rId408"/>
  </webImageSrd>
  <webImageSrd>
    <address r:id="rId409"/>
    <moreImagesAddress r:id="rId410"/>
    <blip r:id="rId411"/>
  </webImageSrd>
  <webImageSrd>
    <address r:id="rId412"/>
    <moreImagesAddress r:id="rId413"/>
  </webImageSrd>
  <webImageSrd>
    <address r:id="rId414"/>
    <moreImagesAddress r:id="rId415"/>
    <blip r:id="rId416"/>
  </webImageSrd>
  <webImageSrd>
    <address r:id="rId417"/>
    <moreImagesAddress r:id="rId418"/>
    <blip r:id="rId419"/>
  </webImageSrd>
  <webImageSrd>
    <address r:id="rId420"/>
    <moreImagesAddress r:id="rId421"/>
  </webImageSrd>
  <webImageSrd>
    <address r:id="rId422"/>
    <moreImagesAddress r:id="rId423"/>
    <blip r:id="rId424"/>
  </webImageSrd>
  <webImageSrd>
    <address r:id="rId425"/>
    <moreImagesAddress r:id="rId426"/>
  </webImageSrd>
  <webImageSrd>
    <address r:id="rId427"/>
    <moreImagesAddress r:id="rId428"/>
    <blip r:id="rId429"/>
  </webImageSrd>
  <webImageSrd>
    <address r:id="rId430"/>
    <moreImagesAddress r:id="rId431"/>
  </webImageSrd>
  <webImageSrd>
    <address r:id="rId432"/>
    <moreImagesAddress r:id="rId433"/>
    <blip r:id="rId434"/>
  </webImageSrd>
  <webImageSrd>
    <address r:id="rId435"/>
    <moreImagesAddress r:id="rId436"/>
  </webImageSrd>
  <webImageSrd>
    <address r:id="rId437"/>
    <moreImagesAddress r:id="rId438"/>
    <blip r:id="rId439"/>
  </webImageSrd>
  <webImageSrd>
    <address r:id="rId440"/>
    <moreImagesAddress r:id="rId441"/>
  </webImageSrd>
  <webImageSrd>
    <address r:id="rId442"/>
    <moreImagesAddress r:id="rId443"/>
  </webImageSrd>
  <webImageSrd>
    <address r:id="rId444"/>
    <moreImagesAddress r:id="rId445"/>
    <blip r:id="rId446"/>
  </webImageSrd>
  <webImageSrd>
    <address r:id="rId447"/>
    <moreImagesAddress r:id="rId448"/>
  </webImageSrd>
  <webImageSrd>
    <address r:id="rId449"/>
    <moreImagesAddress r:id="rId450"/>
    <blip r:id="rId451"/>
  </webImageSrd>
  <webImageSrd>
    <address r:id="rId452"/>
    <moreImagesAddress r:id="rId453"/>
  </webImageSrd>
  <webImageSrd>
    <address r:id="rId454"/>
    <moreImagesAddress r:id="rId455"/>
    <blip r:id="rId456"/>
  </webImageSrd>
  <webImageSrd>
    <address r:id="rId457"/>
    <moreImagesAddress r:id="rId458"/>
  </webImageSrd>
  <webImageSrd>
    <address r:id="rId459"/>
    <moreImagesAddress r:id="rId460"/>
    <blip r:id="rId461"/>
  </webImageSrd>
  <webImageSrd>
    <address r:id="rId462"/>
    <moreImagesAddress r:id="rId463"/>
  </webImageSrd>
  <webImageSrd>
    <address r:id="rId464"/>
    <moreImagesAddress r:id="rId465"/>
    <blip r:id="rId466"/>
  </webImageSrd>
  <webImageSrd>
    <address r:id="rId467"/>
    <moreImagesAddress r:id="rId468"/>
  </webImageSrd>
  <webImageSrd>
    <address r:id="rId469"/>
    <moreImagesAddress r:id="rId470"/>
    <blip r:id="rId471"/>
  </webImageSrd>
  <webImageSrd>
    <address r:id="rId472"/>
    <moreImagesAddress r:id="rId473"/>
  </webImageSrd>
  <webImageSrd>
    <address r:id="rId474"/>
    <moreImagesAddress r:id="rId475"/>
    <blip r:id="rId476"/>
  </webImageSrd>
  <webImageSrd>
    <address r:id="rId477"/>
    <moreImagesAddress r:id="rId478"/>
  </webImageSrd>
  <webImageSrd>
    <address r:id="rId479"/>
    <moreImagesAddress r:id="rId480"/>
    <blip r:id="rId481"/>
  </webImageSrd>
  <webImageSrd>
    <address r:id="rId482"/>
    <moreImagesAddress r:id="rId483"/>
  </webImageSrd>
  <webImageSrd>
    <address r:id="rId484"/>
    <moreImagesAddress r:id="rId485"/>
  </webImageSrd>
  <webImageSrd>
    <address r:id="rId486"/>
    <moreImagesAddress r:id="rId487"/>
    <blip r:id="rId488"/>
  </webImageSrd>
  <webImageSrd>
    <address r:id="rId489"/>
    <moreImagesAddress r:id="rId490"/>
  </webImageSrd>
  <webImageSrd>
    <address r:id="rId491"/>
    <moreImagesAddress r:id="rId492"/>
    <blip r:id="rId493"/>
  </webImageSrd>
  <webImageSrd>
    <address r:id="rId494"/>
    <moreImagesAddress r:id="rId495"/>
  </webImageSrd>
  <webImageSrd>
    <address r:id="rId496"/>
    <moreImagesAddress r:id="rId497"/>
  </webImageSrd>
  <webImageSrd>
    <address r:id="rId498"/>
    <moreImagesAddress r:id="rId499"/>
    <blip r:id="rId500"/>
  </webImageSrd>
  <webImageSrd>
    <address r:id="rId501"/>
    <moreImagesAddress r:id="rId502"/>
  </webImageSrd>
  <webImageSrd>
    <address r:id="rId503"/>
    <moreImagesAddress r:id="rId504"/>
    <blip r:id="rId505"/>
  </webImageSrd>
  <webImageSrd>
    <address r:id="rId506"/>
    <moreImagesAddress r:id="rId507"/>
  </webImageSrd>
  <webImageSrd>
    <address r:id="rId508"/>
    <moreImagesAddress r:id="rId509"/>
  </webImageSrd>
  <webImageSrd>
    <address r:id="rId510"/>
    <moreImagesAddress r:id="rId511"/>
    <blip r:id="rId512"/>
  </webImageSrd>
  <webImageSrd>
    <address r:id="rId513"/>
    <moreImagesAddress r:id="rId514"/>
  </webImageSrd>
  <webImageSrd>
    <address r:id="rId515"/>
    <moreImagesAddress r:id="rId516"/>
    <blip r:id="rId517"/>
  </webImageSrd>
  <webImageSrd>
    <address r:id="rId518"/>
    <moreImagesAddress r:id="rId519"/>
  </webImageSrd>
  <webImageSrd>
    <address r:id="rId520"/>
    <moreImagesAddress r:id="rId521"/>
    <blip r:id="rId522"/>
  </webImageSrd>
  <webImageSrd>
    <address r:id="rId523"/>
    <moreImagesAddress r:id="rId524"/>
  </webImageSrd>
  <webImageSrd>
    <address r:id="rId525"/>
    <moreImagesAddress r:id="rId526"/>
    <blip r:id="rId527"/>
  </webImageSrd>
  <webImageSrd>
    <address r:id="rId528"/>
    <moreImagesAddress r:id="rId529"/>
  </webImageSrd>
  <webImageSrd>
    <address r:id="rId530"/>
    <moreImagesAddress r:id="rId531"/>
  </webImageSrd>
  <webImageSrd>
    <address r:id="rId532"/>
    <moreImagesAddress r:id="rId533"/>
    <blip r:id="rId534"/>
  </webImageSrd>
  <webImageSrd>
    <address r:id="rId535"/>
    <moreImagesAddress r:id="rId536"/>
  </webImageSrd>
  <webImageSrd>
    <address r:id="rId537"/>
    <moreImagesAddress r:id="rId538"/>
    <blip r:id="rId539"/>
  </webImageSrd>
  <webImageSrd>
    <address r:id="rId540"/>
    <moreImagesAddress r:id="rId541"/>
  </webImageSrd>
  <webImageSrd>
    <address r:id="rId542"/>
    <moreImagesAddress r:id="rId543"/>
  </webImageSrd>
  <webImageSrd>
    <address r:id="rId544"/>
    <moreImagesAddress r:id="rId545"/>
    <blip r:id="rId546"/>
  </webImageSrd>
  <webImageSrd>
    <address r:id="rId547"/>
    <moreImagesAddress r:id="rId548"/>
  </webImageSrd>
  <webImageSrd>
    <address r:id="rId549"/>
    <moreImagesAddress r:id="rId550"/>
    <blip r:id="rId551"/>
  </webImageSrd>
  <webImageSrd>
    <address r:id="rId552"/>
    <moreImagesAddress r:id="rId553"/>
  </webImageSrd>
  <webImageSrd>
    <address r:id="rId554"/>
    <moreImagesAddress r:id="rId555"/>
    <blip r:id="rId556"/>
  </webImageSrd>
  <webImageSrd>
    <address r:id="rId557"/>
    <moreImagesAddress r:id="rId558"/>
  </webImageSrd>
  <webImageSrd>
    <address r:id="rId559"/>
    <moreImagesAddress r:id="rId560"/>
    <blip r:id="rId561"/>
  </webImageSrd>
  <webImageSrd>
    <address r:id="rId562"/>
    <moreImagesAddress r:id="rId563"/>
  </webImageSrd>
  <webImageSrd>
    <address r:id="rId564"/>
    <moreImagesAddress r:id="rId565"/>
    <blip r:id="rId566"/>
  </webImageSrd>
  <webImageSrd>
    <address r:id="rId567"/>
    <moreImagesAddress r:id="rId568"/>
  </webImageSrd>
  <webImageSrd>
    <address r:id="rId569"/>
    <moreImagesAddress r:id="rId570"/>
  </webImageSrd>
  <webImageSrd>
    <address r:id="rId571"/>
    <moreImagesAddress r:id="rId572"/>
    <blip r:id="rId573"/>
  </webImageSrd>
  <webImageSrd>
    <address r:id="rId574"/>
    <moreImagesAddress r:id="rId575"/>
  </webImageSrd>
  <webImageSrd>
    <address r:id="rId576"/>
    <moreImagesAddress r:id="rId577"/>
    <blip r:id="rId578"/>
  </webImageSrd>
  <webImageSrd>
    <address r:id="rId579"/>
    <moreImagesAddress r:id="rId580"/>
  </webImageSrd>
  <webImageSrd>
    <address r:id="rId581"/>
    <moreImagesAddress r:id="rId582"/>
  </webImageSrd>
  <webImageSrd>
    <address r:id="rId583"/>
    <moreImagesAddress r:id="rId584"/>
    <blip r:id="rId585"/>
  </webImageSrd>
  <webImageSrd>
    <address r:id="rId586"/>
    <moreImagesAddress r:id="rId587"/>
  </webImageSrd>
  <webImageSrd>
    <address r:id="rId588"/>
    <moreImagesAddress r:id="rId589"/>
    <blip r:id="rId590"/>
  </webImageSrd>
  <webImageSrd>
    <address r:id="rId591"/>
    <moreImagesAddress r:id="rId592"/>
  </webImageSrd>
  <webImageSrd>
    <address r:id="rId593"/>
    <moreImagesAddress r:id="rId594"/>
    <blip r:id="rId595"/>
  </webImageSrd>
  <webImageSrd>
    <address r:id="rId596"/>
    <moreImagesAddress r:id="rId597"/>
  </webImageSrd>
  <webImageSrd>
    <address r:id="rId598"/>
    <moreImagesAddress r:id="rId599"/>
    <blip r:id="rId600"/>
  </webImageSrd>
  <webImageSrd>
    <address r:id="rId601"/>
    <moreImagesAddress r:id="rId602"/>
    <blip r:id="rId603"/>
  </webImageSrd>
  <webImageSrd>
    <address r:id="rId604"/>
    <moreImagesAddress r:id="rId605"/>
  </webImageSrd>
  <webImageSrd>
    <address r:id="rId606"/>
    <moreImagesAddress r:id="rId607"/>
    <blip r:id="rId608"/>
  </webImageSrd>
  <webImageSrd>
    <address r:id="rId609"/>
    <moreImagesAddress r:id="rId610"/>
  </webImageSrd>
  <webImageSrd>
    <address r:id="rId611"/>
    <moreImagesAddress r:id="rId612"/>
  </webImageSrd>
  <webImageSrd>
    <address r:id="rId613"/>
    <moreImagesAddress r:id="rId614"/>
    <blip r:id="rId615"/>
  </webImageSrd>
  <webImageSrd>
    <address r:id="rId616"/>
    <moreImagesAddress r:id="rId617"/>
  </webImageSrd>
</webImagesSrd>
</file>

<file path=xl/richData/rdarray.xml><?xml version="1.0" encoding="utf-8"?>
<arrayData xmlns="http://schemas.microsoft.com/office/spreadsheetml/2017/richdata2" count="434">
  <a r="3">
    <v t="r">21</v>
    <v t="r">22</v>
    <v t="r">23</v>
  </a>
  <a r="2">
    <v t="s">Indian English</v>
    <v t="s">Hindi</v>
  </a>
  <a r="34">
    <v t="r">42</v>
    <v t="r">43</v>
    <v t="r">44</v>
    <v t="r">45</v>
    <v t="r">46</v>
    <v t="r">47</v>
    <v t="r">48</v>
    <v t="r">49</v>
    <v t="r">50</v>
    <v t="r">51</v>
    <v t="r">52</v>
    <v t="r">53</v>
    <v t="r">54</v>
    <v t="r">55</v>
    <v t="r">56</v>
    <v t="r">57</v>
    <v t="r">58</v>
    <v t="r">59</v>
    <v t="r">60</v>
    <v t="r">61</v>
    <v t="r">62</v>
    <v t="r">63</v>
    <v t="r">64</v>
    <v t="r">65</v>
    <v t="r">66</v>
    <v t="r">67</v>
    <v t="r">68</v>
    <v t="r">69</v>
    <v t="r">70</v>
    <v t="r">71</v>
    <v t="r">72</v>
    <v t="r">73</v>
    <v t="r">74</v>
    <v t="r">75</v>
  </a>
  <a r="1">
    <v t="s">Indian Standard Time</v>
  </a>
  <a r="4">
    <v t="r">125</v>
    <v t="r">126</v>
    <v t="r">127</v>
    <v t="r">128</v>
  </a>
  <a r="1">
    <v t="s">Indonesian language</v>
  </a>
  <a r="34">
    <v t="r">147</v>
    <v t="r">148</v>
    <v t="r">149</v>
    <v t="r">150</v>
    <v t="r">151</v>
    <v t="r">152</v>
    <v t="r">153</v>
    <v t="r">154</v>
    <v t="r">155</v>
    <v t="r">156</v>
    <v t="r">157</v>
    <v t="r">158</v>
    <v t="r">159</v>
    <v t="r">160</v>
    <v t="r">161</v>
    <v t="r">162</v>
    <v t="r">163</v>
    <v t="r">164</v>
    <v t="r">165</v>
    <v t="r">166</v>
    <v t="r">167</v>
    <v t="r">168</v>
    <v t="r">169</v>
    <v t="r">170</v>
    <v t="r">171</v>
    <v t="r">172</v>
    <v t="r">173</v>
    <v t="r">174</v>
    <v t="r">175</v>
    <v t="r">176</v>
    <v t="r">177</v>
    <v t="r">111</v>
    <v t="r">178</v>
    <v t="r">179</v>
  </a>
  <a r="2">
    <v t="s">Indonesia Western Standard Time</v>
    <v t="s">Indonesia Central Standard Time</v>
  </a>
  <a r="1">
    <v t="r">190</v>
  </a>
  <a r="1">
    <v t="s">Indonesia Western Standard Time</v>
  </a>
  <a r="3">
    <v t="r">223</v>
    <v t="r">224</v>
    <v t="r">225</v>
  </a>
  <a r="1">
    <v t="s">Persian language</v>
  </a>
  <a r="31">
    <v t="r">243</v>
    <v t="r">244</v>
    <v t="r">245</v>
    <v t="r">246</v>
    <v t="r">247</v>
    <v t="r">248</v>
    <v t="r">249</v>
    <v t="r">250</v>
    <v t="r">251</v>
    <v t="r">252</v>
    <v t="r">253</v>
    <v t="r">254</v>
    <v t="r">255</v>
    <v t="r">256</v>
    <v t="r">257</v>
    <v t="r">258</v>
    <v t="r">259</v>
    <v t="r">260</v>
    <v t="r">261</v>
    <v t="r">262</v>
    <v t="r">263</v>
    <v t="r">264</v>
    <v t="r">265</v>
    <v t="r">266</v>
    <v t="r">267</v>
    <v t="r">268</v>
    <v t="r">269</v>
    <v t="r">270</v>
    <v t="r">271</v>
    <v t="r">272</v>
    <v t="r">273</v>
  </a>
  <a r="1">
    <v t="s">Iran Standard Time Zone</v>
  </a>
  <a r="1">
    <v t="r">284</v>
  </a>
  <a r="4">
    <v t="r">316</v>
    <v t="r">317</v>
    <v t="r">318</v>
    <v t="r">319</v>
  </a>
  <a r="2">
    <v t="s">Modern Standard Arabic</v>
    <v t="s">Kurdish languages</v>
  </a>
  <a r="18">
    <v t="r">337</v>
    <v t="r">338</v>
    <v t="r">339</v>
    <v t="r">340</v>
    <v t="r">341</v>
    <v t="r">342</v>
    <v t="r">343</v>
    <v t="r">344</v>
    <v t="r">345</v>
    <v t="r">346</v>
    <v t="r">347</v>
    <v t="r">348</v>
    <v t="r">349</v>
    <v t="r">350</v>
    <v t="r">351</v>
    <v t="r">352</v>
    <v t="r">353</v>
    <v t="r">354</v>
  </a>
  <a r="1">
    <v t="r">365</v>
  </a>
  <a r="2">
    <v t="r">397</v>
    <v t="r">398</v>
  </a>
  <a r="2">
    <v t="s">English language</v>
    <v t="s">Irish language</v>
  </a>
  <a r="26">
    <v t="r">417</v>
    <v t="r">418</v>
    <v t="r">419</v>
    <v t="r">420</v>
    <v t="r">421</v>
    <v t="r">422</v>
    <v t="r">423</v>
    <v t="r">424</v>
    <v t="r">425</v>
    <v t="r">426</v>
    <v t="r">427</v>
    <v t="r">428</v>
    <v t="r">429</v>
    <v t="r">430</v>
    <v t="r">431</v>
    <v t="r">432</v>
    <v t="r">433</v>
    <v t="r">434</v>
    <v t="r">435</v>
    <v t="r">436</v>
    <v t="r">437</v>
    <v t="r">438</v>
    <v t="r">439</v>
    <v t="r">440</v>
    <v t="r">441</v>
    <v t="r">442</v>
  </a>
  <a r="3">
    <v t="r">487</v>
    <v t="r">488</v>
    <v t="r">489</v>
  </a>
  <a r="1">
    <v t="s">Hebrew language</v>
  </a>
  <a r="6">
    <v t="r">507</v>
    <v t="r">508</v>
    <v t="r">509</v>
    <v t="r">510</v>
    <v t="r">511</v>
    <v t="r">512</v>
  </a>
  <a r="1">
    <v t="r">523</v>
  </a>
  <a r="2">
    <v t="r">555</v>
    <v t="r">556</v>
  </a>
  <a r="1">
    <v t="s">Italian language</v>
  </a>
  <a r="20">
    <v t="r">573</v>
    <v t="r">574</v>
    <v t="r">575</v>
    <v t="r">576</v>
    <v t="r">577</v>
    <v t="r">578</v>
    <v t="r">579</v>
    <v t="r">580</v>
    <v t="r">581</v>
    <v t="r">582</v>
    <v t="r">583</v>
    <v t="r">584</v>
    <v t="r">585</v>
    <v t="r">586</v>
    <v t="r">587</v>
    <v t="r">588</v>
    <v t="r">589</v>
    <v t="r">590</v>
    <v t="r">591</v>
    <v t="r">592</v>
  </a>
  <a r="1">
    <v t="r">603</v>
  </a>
  <a r="2">
    <v t="r">634</v>
    <v t="r">635</v>
  </a>
  <a r="1">
    <v t="s">Jamaican English</v>
  </a>
  <a r="2">
    <v t="r">654</v>
    <v t="r">655</v>
  </a>
  <a r="1">
    <v t="r">665</v>
  </a>
  <a r="1">
    <v t="r">697</v>
  </a>
  <a r="1">
    <v t="s">Japanese language</v>
  </a>
  <a r="46">
    <v t="r">713</v>
    <v t="r">714</v>
    <v t="r">715</v>
    <v t="r">716</v>
    <v t="r">717</v>
    <v t="r">718</v>
    <v t="r">719</v>
    <v t="r">720</v>
    <v t="r">721</v>
    <v t="r">722</v>
    <v t="r">723</v>
    <v t="r">724</v>
    <v t="r">683</v>
    <v t="r">725</v>
    <v t="r">726</v>
    <v t="r">727</v>
    <v t="r">728</v>
    <v t="r">729</v>
    <v t="r">730</v>
    <v t="r">731</v>
    <v t="r">732</v>
    <v t="r">733</v>
    <v t="r">734</v>
    <v t="r">735</v>
    <v t="r">736</v>
    <v t="r">737</v>
    <v t="r">738</v>
    <v t="r">739</v>
    <v t="r">740</v>
    <v t="r">741</v>
    <v t="r">742</v>
    <v t="r">743</v>
    <v t="r">744</v>
    <v t="r">745</v>
    <v t="r">746</v>
    <v t="r">747</v>
    <v t="r">748</v>
    <v t="r">749</v>
    <v t="r">750</v>
    <v t="r">751</v>
    <v t="r">752</v>
    <v t="r">753</v>
    <v t="r">754</v>
    <v t="r">755</v>
    <v t="r">756</v>
    <v t="r">757</v>
  </a>
  <a r="1">
    <v t="s">Japan Standard Time</v>
  </a>
  <a r="1">
    <v t="r">769</v>
  </a>
  <a r="2">
    <v t="r">800</v>
    <v t="r">801</v>
  </a>
  <a r="1">
    <v t="s">Modern Standard Arabic</v>
  </a>
  <a r="12">
    <v t="r">820</v>
    <v t="r">821</v>
    <v t="r">822</v>
    <v t="r">823</v>
    <v t="r">824</v>
    <v t="r">825</v>
    <v t="r">826</v>
    <v t="r">827</v>
    <v t="r">828</v>
    <v t="r">829</v>
    <v t="r">830</v>
    <v t="r">831</v>
  </a>
  <a r="1">
    <v t="r">841</v>
  </a>
  <a r="1">
    <v t="s">Eastern European Time</v>
  </a>
  <a r="2">
    <v t="r">875</v>
    <v t="r">876</v>
  </a>
  <a r="2">
    <v t="s">Russian language</v>
    <v t="s">Kazakh language</v>
  </a>
  <a r="18">
    <v t="r">860</v>
    <v t="r">874</v>
    <v t="r">893</v>
    <v t="r">894</v>
    <v t="r">895</v>
    <v t="r">896</v>
    <v t="r">897</v>
    <v t="r">898</v>
    <v t="r">899</v>
    <v t="r">900</v>
    <v t="r">901</v>
    <v t="r">902</v>
    <v t="r">903</v>
    <v t="r">904</v>
    <v t="r">905</v>
    <v t="r">906</v>
    <v t="r">907</v>
    <v t="r">908</v>
  </a>
  <a r="2">
    <v t="r">952</v>
    <v t="r">953</v>
  </a>
  <a r="2">
    <v t="s">English language</v>
    <v t="s">Swahili language</v>
  </a>
  <a r="1">
    <v t="r">970</v>
  </a>
  <a r="1">
    <v t="r">981</v>
  </a>
  <a r="2">
    <v t="r">1009</v>
    <v t="r">1010</v>
  </a>
  <a r="2">
    <v t="s">Gilbertese language</v>
    <v t="s">English language</v>
  </a>
  <a r="2">
    <v t="r">1050</v>
    <v t="r">1051</v>
  </a>
  <a r="2">
    <v t="s">Albanian language</v>
    <v t="s">Serbian language</v>
  </a>
  <a r="7">
    <v t="r">1056</v>
    <v t="r">1057</v>
    <v t="r">1058</v>
    <v t="r">1059</v>
    <v t="r">1060</v>
    <v t="r">1061</v>
    <v t="r">1062</v>
  </a>
  <a r="1">
    <v t="r">1069</v>
  </a>
  <a r="1">
    <v t="s">Central European Time</v>
  </a>
  <a r="1">
    <v t="r">1102</v>
  </a>
  <a r="6">
    <v t="r">1112</v>
    <v t="r">1113</v>
    <v t="r">1114</v>
    <v t="r">1115</v>
    <v t="r">1116</v>
    <v t="r">1117</v>
  </a>
  <a r="1">
    <v t="r">1157</v>
  </a>
  <a r="2">
    <v t="s">Kyrgyz language</v>
    <v t="s">Russian language</v>
  </a>
  <a r="9">
    <v t="r">1143</v>
    <v t="r">1173</v>
    <v t="r">1174</v>
    <v t="r">1175</v>
    <v t="r">1176</v>
    <v t="r">1177</v>
    <v t="r">1178</v>
    <v t="r">1179</v>
    <v t="r">1180</v>
  </a>
  <a r="1">
    <v t="r">1189</v>
  </a>
  <a r="3">
    <v t="r">1219</v>
    <v t="r">1220</v>
    <v t="r">1221</v>
  </a>
  <a r="1">
    <v t="s">Lao language</v>
  </a>
  <a r="17">
    <v t="r">1239</v>
    <v t="r">1240</v>
    <v t="r">1241</v>
    <v t="r">1242</v>
    <v t="r">1243</v>
    <v t="r">1244</v>
    <v t="r">1245</v>
    <v t="r">1246</v>
    <v t="r">1247</v>
    <v t="r">1248</v>
    <v t="r">1249</v>
    <v t="r">1250</v>
    <v t="r">1251</v>
    <v t="r">1252</v>
    <v t="r">1253</v>
    <v t="r">1254</v>
    <v t="r">1255</v>
  </a>
  <a r="1">
    <v t="r">1265</v>
  </a>
  <a r="2">
    <v t="r">1297</v>
    <v t="r">1298</v>
  </a>
  <a r="1">
    <v t="s">Latvian language</v>
  </a>
  <a r="94">
    <v t="r">1312</v>
    <v t="r">1313</v>
    <v t="r">1314</v>
    <v t="r">1315</v>
    <v t="r">1316</v>
    <v t="r">1283</v>
    <v t="r">1317</v>
    <v t="r">1318</v>
    <v t="r">1319</v>
    <v t="r">1320</v>
    <v t="r">1321</v>
    <v t="r">1322</v>
    <v t="r">1323</v>
    <v t="r">1324</v>
    <v t="r">1325</v>
    <v t="r">1326</v>
    <v t="r">1327</v>
    <v t="r">1328</v>
    <v t="r">1329</v>
    <v t="r">1330</v>
    <v t="r">1331</v>
    <v t="r">1332</v>
    <v t="r">1333</v>
    <v t="r">1334</v>
    <v t="r">1335</v>
    <v t="r">1336</v>
    <v t="r">1337</v>
    <v t="r">1338</v>
    <v t="r">1339</v>
    <v t="r">1340</v>
    <v t="r">1341</v>
    <v t="r">1342</v>
    <v t="r">1343</v>
    <v t="r">1344</v>
    <v t="r">1345</v>
    <v t="r">1346</v>
    <v t="r">1347</v>
    <v t="r">1348</v>
    <v t="r">1349</v>
    <v t="r">1350</v>
    <v t="r">1351</v>
    <v t="r">1352</v>
    <v t="r">1353</v>
    <v t="r">1354</v>
    <v t="r">1355</v>
    <v t="r">1356</v>
    <v t="r">1357</v>
    <v t="r">1358</v>
    <v t="r">1359</v>
    <v t="r">1360</v>
    <v t="r">1361</v>
    <v t="r">1362</v>
    <v t="r">1363</v>
    <v t="r">1364</v>
    <v t="r">1365</v>
    <v t="r">1366</v>
    <v t="r">1367</v>
    <v t="r">1368</v>
    <v t="r">1369</v>
    <v t="r">1370</v>
    <v t="r">1371</v>
    <v t="r">1372</v>
    <v t="r">1373</v>
    <v t="r">1374</v>
    <v t="r">1375</v>
    <v t="r">1376</v>
    <v t="r">1377</v>
    <v t="r">1378</v>
    <v t="r">1379</v>
    <v t="r">1380</v>
    <v t="r">1381</v>
    <v t="r">1382</v>
    <v t="r">1383</v>
    <v t="r">1384</v>
    <v t="r">1385</v>
    <v t="r">1386</v>
    <v t="r">1387</v>
    <v t="r">1388</v>
    <v t="r">1389</v>
    <v t="r">1390</v>
    <v t="r">1391</v>
    <v t="r">1392</v>
    <v t="r">1393</v>
    <v t="r">1394</v>
    <v t="r">1395</v>
    <v t="r">1396</v>
    <v t="r">1397</v>
    <v t="r">1398</v>
    <v t="r">1399</v>
    <v t="r">1400</v>
    <v t="r">1401</v>
    <v t="r">1402</v>
    <v t="r">1403</v>
    <v t="r">1404</v>
  </a>
  <a r="3">
    <v t="s">Eastern European Time</v>
    <v t="s">Daylight saving time</v>
    <v t="s">Eastern European Summer Time</v>
  </a>
  <a r="1">
    <v t="r">1415</v>
  </a>
  <a r="1">
    <v t="r">1447</v>
  </a>
  <a r="1">
    <v t="s">Arabic</v>
  </a>
  <a r="6">
    <v t="r">1462</v>
    <v t="r">1463</v>
    <v t="r">1464</v>
    <v t="r">1465</v>
    <v t="r">1466</v>
    <v t="r">1467</v>
  </a>
  <a r="2">
    <v t="r">1478</v>
    <v t="r">1479</v>
  </a>
  <a r="2">
    <v t="r">1509</v>
    <v t="r">1510</v>
  </a>
  <a r="2">
    <v t="s">South African English</v>
    <v t="s">Sesotho</v>
  </a>
  <a r="10">
    <v t="r">1527</v>
    <v t="r">1528</v>
    <v t="r">1529</v>
    <v t="r">1530</v>
    <v t="r">1531</v>
    <v t="r">1532</v>
    <v t="r">1533</v>
    <v t="r">1534</v>
    <v t="r">1535</v>
    <v t="r">1536</v>
  </a>
  <a r="4">
    <v t="r">1575</v>
    <v t="r">1576</v>
    <v t="r">1577</v>
    <v t="r">1578</v>
  </a>
  <a r="1">
    <v t="s">Liberian English</v>
  </a>
  <a r="15">
    <v t="r">1593</v>
    <v t="r">1594</v>
    <v t="r">1595</v>
    <v t="r">1596</v>
    <v t="r">1597</v>
    <v t="r">1598</v>
    <v t="r">1599</v>
    <v t="r">1600</v>
    <v t="r">1601</v>
    <v t="r">1602</v>
    <v t="r">1603</v>
    <v t="r">1604</v>
    <v t="r">1605</v>
    <v t="r">1606</v>
    <v t="r">1607</v>
  </a>
  <a r="1">
    <v t="r">1617</v>
  </a>
  <a r="1">
    <v t="s">Greenwich Mean Time</v>
  </a>
  <a r="1">
    <v t="r">1650</v>
  </a>
  <a r="26">
    <v t="r">1660</v>
    <v t="r">1661</v>
    <v t="r">1662</v>
    <v t="r">1663</v>
    <v t="r">1664</v>
    <v t="r">1665</v>
    <v t="r">1666</v>
    <v t="r">1667</v>
    <v t="r">1668</v>
    <v t="r">1669</v>
    <v t="r">1670</v>
    <v t="r">1671</v>
    <v t="r">1672</v>
    <v t="r">1673</v>
    <v t="r">1674</v>
    <v t="r">1675</v>
    <v t="r">1676</v>
    <v t="r">1677</v>
    <v t="r">1678</v>
    <v t="r">1679</v>
    <v t="r">1680</v>
    <v t="r">1681</v>
    <v t="r">1682</v>
    <v t="r">1683</v>
    <v t="r">1684</v>
    <v t="r">1685</v>
  </a>
  <a r="2">
    <v t="r">1718</v>
    <v t="r">1719</v>
  </a>
  <a r="1">
    <v t="s">German language</v>
  </a>
  <a r="10">
    <v t="r">1725</v>
    <v t="r">1726</v>
    <v t="r">1727</v>
    <v t="r">1728</v>
    <v t="r">1717</v>
    <v t="r">1729</v>
    <v t="r">1708</v>
    <v t="r">1730</v>
    <v t="r">1731</v>
    <v t="r">1732</v>
  </a>
  <a r="1">
    <v t="r">1739</v>
  </a>
  <a r="2">
    <v t="r">1773</v>
    <v t="r">1774</v>
  </a>
  <a r="1">
    <v t="s">Lithuanian language</v>
  </a>
  <a r="10">
    <v t="r">1787</v>
    <v t="r">1788</v>
    <v t="r">1789</v>
    <v t="r">1790</v>
    <v t="r">1791</v>
    <v t="r">1792</v>
    <v t="r">1793</v>
    <v t="r">1794</v>
    <v t="r">1795</v>
    <v t="r">1796</v>
  </a>
  <a r="1">
    <v t="r">1806</v>
  </a>
  <a r="1">
    <v t="r">1837</v>
  </a>
  <a r="3">
    <v t="s">Luxembourgish</v>
    <v t="s">German language</v>
    <v t="s">French language</v>
  </a>
  <a r="12">
    <v t="r">1854</v>
    <v t="r">1855</v>
    <v t="r">1856</v>
    <v t="r">1857</v>
    <v t="r">1858</v>
    <v t="r">1859</v>
    <v t="r">1860</v>
    <v t="r">1861</v>
    <v t="r">1862</v>
    <v t="r">1863</v>
    <v t="r">1864</v>
    <v t="r">1865</v>
  </a>
  <a r="1">
    <v t="r">1875</v>
  </a>
  <a r="1">
    <v t="r">1903</v>
  </a>
  <a r="2">
    <v t="s">Malagasy language</v>
    <v t="s">French language</v>
  </a>
  <a r="6">
    <v t="r">1921</v>
    <v t="r">1922</v>
    <v t="r">1923</v>
    <v t="r">1924</v>
    <v t="r">1925</v>
    <v t="r">1926</v>
  </a>
  <a r="1">
    <v t="s">Naina Andriantsitohaina (Mayor)</v>
  </a>
  <a r="4">
    <v t="r">1965</v>
    <v t="r">1966</v>
    <v t="r">1967</v>
    <v t="r">1968</v>
  </a>
  <a r="1">
    <v t="s">English language</v>
  </a>
  <a r="1">
    <v t="r">1992</v>
  </a>
  <a r="3">
    <v t="r">2024</v>
    <v t="r">2025</v>
    <v t="r">2026</v>
  </a>
  <a r="1">
    <v t="s">Malaysian Malay</v>
  </a>
  <a r="16">
    <v t="r">2038</v>
    <v t="r">2039</v>
    <v t="r">2040</v>
    <v t="r">2041</v>
    <v t="r">2042</v>
    <v t="r">2043</v>
    <v t="r">2044</v>
    <v t="r">2045</v>
    <v t="r">2046</v>
    <v t="r">2047</v>
    <v t="r">2048</v>
    <v t="r">2049</v>
    <v t="r">2050</v>
    <v t="r">2011</v>
    <v t="r">2051</v>
    <v t="r">2052</v>
  </a>
  <a r="1">
    <v t="r">2061</v>
  </a>
  <a r="1">
    <v t="s">Malay language</v>
  </a>
  <a r="3">
    <v t="r">2089</v>
    <v t="r">2090</v>
    <v t="r">2091</v>
  </a>
  <a r="1">
    <v t="s">Maldivian language</v>
  </a>
  <a r="19">
    <v t="r">2107</v>
    <v t="r">2108</v>
    <v t="r">2109</v>
    <v t="r">2110</v>
    <v t="r">2111</v>
    <v t="r">2112</v>
    <v t="r">2113</v>
    <v t="r">2114</v>
    <v t="r">2115</v>
    <v t="r">2116</v>
    <v t="r">2117</v>
    <v t="r">2118</v>
    <v t="r">2119</v>
    <v t="r">2120</v>
    <v t="r">2121</v>
    <v t="r">2122</v>
    <v t="r">2123</v>
    <v t="r">2124</v>
    <v t="r">2125</v>
  </a>
  <a r="1">
    <v t="r">2134</v>
  </a>
  <a r="2">
    <v t="r">2163</v>
    <v t="r">2164</v>
  </a>
  <a r="13">
    <v t="s">Bambara language</v>
    <v t="s">Minyanka language</v>
    <v t="s">Dogon languages</v>
    <v t="s">Kassonke language</v>
    <v t="s">Bobo language</v>
    <v t="s">Soninke language</v>
    <v t="s">Songhay languages</v>
    <v t="s">Hassaniya Arabic</v>
    <v t="s">Tamasheq language</v>
    <v t="s">Bozo language</v>
    <v t="s">Fula language</v>
    <v t="s">Senufo languages</v>
    <v t="s">Maninka language</v>
  </a>
  <a r="9">
    <v t="r">2179</v>
    <v t="r">2180</v>
    <v t="r">2151</v>
    <v t="r">2181</v>
    <v t="r">2182</v>
    <v t="r">2183</v>
    <v t="r">2184</v>
    <v t="r">2185</v>
    <v t="r">2186</v>
  </a>
  <a r="2">
    <v t="r">2223</v>
    <v t="r">2224</v>
  </a>
  <a r="2">
    <v t="s">Maltese language</v>
    <v t="s">English language</v>
  </a>
  <a r="1">
    <v t="r">2248</v>
  </a>
  <a r="2">
    <v t="r">2276</v>
    <v t="r">2277</v>
  </a>
  <a r="2">
    <v t="s">Marshallese language</v>
    <v t="s">English language</v>
  </a>
  <a r="28">
    <v t="r">2286</v>
    <v t="r">2287</v>
    <v t="r">2288</v>
    <v t="r">2289</v>
    <v t="r">2290</v>
    <v t="r">2291</v>
    <v t="r">2292</v>
    <v t="r">2293</v>
    <v t="r">2294</v>
    <v t="r">2295</v>
    <v t="r">2296</v>
    <v t="r">2297</v>
    <v t="r">2298</v>
    <v t="r">2299</v>
    <v t="r">2300</v>
    <v t="r">2301</v>
    <v t="r">2302</v>
    <v t="r">2303</v>
    <v t="r">2304</v>
    <v t="r">2305</v>
    <v t="r">2306</v>
    <v t="r">2307</v>
    <v t="r">2308</v>
    <v t="r">2309</v>
    <v t="r">2310</v>
    <v t="r">2311</v>
    <v t="r">2312</v>
    <v t="r">2313</v>
  </a>
  <a r="2">
    <v t="r">2347</v>
    <v t="r">2348</v>
  </a>
  <a r="13">
    <v t="r">2363</v>
    <v t="r">2364</v>
    <v t="r">2365</v>
    <v t="r">2366</v>
    <v t="r">2335</v>
    <v t="r">2367</v>
    <v t="r">2368</v>
    <v t="r">2369</v>
    <v t="r">2370</v>
    <v t="r">2371</v>
    <v t="r">2372</v>
    <v t="r">2373</v>
    <v t="r">2374</v>
  </a>
  <a r="3">
    <v t="r">2413</v>
    <v t="r">2414</v>
    <v t="r">2415</v>
  </a>
  <a r="4">
    <v t="s">De facto</v>
    <v t="s">English language</v>
    <v t="s">De jure</v>
    <v t="s">French language</v>
  </a>
  <a r="9">
    <v t="r">2430</v>
    <v t="r">2431</v>
    <v t="r">2432</v>
    <v t="r">2433</v>
    <v t="r">2434</v>
    <v t="r">2435</v>
    <v t="r">2436</v>
    <v t="r">2437</v>
    <v t="r">2438</v>
  </a>
  <a r="1">
    <v t="r">2446</v>
  </a>
  <a r="2">
    <v t="r">2474</v>
    <v t="r">2475</v>
  </a>
  <a r="1">
    <v t="s">Mexican Spanish</v>
  </a>
  <a r="32">
    <v t="r">2460</v>
    <v t="r">2492</v>
    <v t="r">2493</v>
    <v t="r">2494</v>
    <v t="r">2495</v>
    <v t="r">2496</v>
    <v t="r">2497</v>
    <v t="r">2498</v>
    <v t="r">2499</v>
    <v t="r">2500</v>
    <v t="r">2501</v>
    <v t="r">2502</v>
    <v t="r">2503</v>
    <v t="r">2504</v>
    <v t="r">2505</v>
    <v t="r">2506</v>
    <v t="r">2507</v>
    <v t="r">2508</v>
    <v t="r">2509</v>
    <v t="r">2510</v>
    <v t="r">2511</v>
    <v t="r">2512</v>
    <v t="r">2513</v>
    <v t="r">2514</v>
    <v t="r">2515</v>
    <v t="r">2516</v>
    <v t="r">2517</v>
    <v t="r">2518</v>
    <v t="r">2519</v>
    <v t="r">2520</v>
    <v t="r">2521</v>
    <v t="r">2522</v>
  </a>
  <a r="4">
    <v t="s">Central Time Zone</v>
    <v t="s">Mountain Time Zone</v>
    <v t="s">Pacific Time Zone</v>
    <v t="s">Eastern Time Zone</v>
  </a>
  <a r="1">
    <v t="r">2533</v>
  </a>
  <a r="2">
    <v t="r">2559</v>
    <v t="r">2560</v>
  </a>
  <a r="3">
    <v t="r">2572</v>
    <v t="r">2573</v>
    <v t="r">2574</v>
  </a>
  <a r="2">
    <v t="r">2610</v>
    <v t="r">2611</v>
  </a>
  <a r="1">
    <v t="s">Romanian language</v>
  </a>
  <a r="33">
    <v t="r">2625</v>
    <v t="r">2626</v>
    <v t="r">2627</v>
    <v t="r">2628</v>
    <v t="r">2629</v>
    <v t="r">2630</v>
    <v t="r">2631</v>
    <v t="r">2632</v>
    <v t="r">2633</v>
    <v t="r">2634</v>
    <v t="r">2635</v>
    <v t="r">2636</v>
    <v t="r">2637</v>
    <v t="r">2638</v>
    <v t="r">2639</v>
    <v t="r">2640</v>
    <v t="r">2641</v>
    <v t="r">2642</v>
    <v t="r">2643</v>
    <v t="r">2644</v>
    <v t="r">2645</v>
    <v t="r">2646</v>
    <v t="r">2647</v>
    <v t="r">2648</v>
    <v t="r">2649</v>
    <v t="r">2650</v>
    <v t="r">2651</v>
    <v t="r">2652</v>
    <v t="r">2653</v>
    <v t="r">2654</v>
    <v t="r">2655</v>
    <v t="r">2656</v>
    <v t="r">2657</v>
  </a>
  <a r="1">
    <v t="r">2665</v>
  </a>
  <a r="2">
    <v t="r">2683</v>
    <v t="r">2684</v>
  </a>
  <a r="1">
    <v t="s">French of France</v>
  </a>
  <a r="2">
    <v t="r">2726</v>
    <v t="r">2727</v>
  </a>
  <a r="1">
    <v t="s">Mongolian language</v>
  </a>
  <a r="21">
    <v t="r">2712</v>
    <v t="r">2741</v>
    <v t="r">2742</v>
    <v t="r">2743</v>
    <v t="r">2744</v>
    <v t="r">2745</v>
    <v t="r">2746</v>
    <v t="r">2747</v>
    <v t="r">2748</v>
    <v t="r">2749</v>
    <v t="r">2750</v>
    <v t="r">2751</v>
    <v t="r">2752</v>
    <v t="r">2753</v>
    <v t="r">2754</v>
    <v t="r">2755</v>
    <v t="r">2756</v>
    <v t="r">2757</v>
    <v t="r">2758</v>
    <v t="r">2759</v>
    <v t="r">2760</v>
  </a>
  <a r="3">
    <v t="r">2796</v>
    <v t="r">2797</v>
    <v t="r">2798</v>
  </a>
  <a r="1">
    <v t="s">Montenegrin language</v>
  </a>
  <a r="22">
    <v t="r">2813</v>
    <v t="r">2814</v>
    <v t="r">2815</v>
    <v t="r">2816</v>
    <v t="r">2817</v>
    <v t="r">2818</v>
    <v t="r">2819</v>
    <v t="r">2820</v>
    <v t="r">2821</v>
    <v t="r">2822</v>
    <v t="r">2823</v>
    <v t="r">2824</v>
    <v t="r">2825</v>
    <v t="r">2826</v>
    <v t="r">2827</v>
    <v t="r">2828</v>
    <v t="r">2829</v>
    <v t="r">2830</v>
    <v t="r">2831</v>
    <v t="r">2832</v>
    <v t="r">2833</v>
    <v t="r">2834</v>
  </a>
  <a r="1">
    <v t="r">2843</v>
  </a>
  <a r="2">
    <v t="r">2876</v>
    <v t="r">2877</v>
  </a>
  <a r="2">
    <v t="s">Modern Standard Arabic</v>
    <v t="s">Standard Moroccan Amazigh</v>
  </a>
  <a r="12">
    <v t="r">2893</v>
    <v t="r">2894</v>
    <v t="r">2895</v>
    <v t="r">2896</v>
    <v t="r">2897</v>
    <v t="r">2898</v>
    <v t="r">2899</v>
    <v t="r">2900</v>
    <v t="r">2901</v>
    <v t="r">2902</v>
    <v t="r">2903</v>
    <v t="r">2904</v>
  </a>
  <a r="1">
    <v t="r">2914</v>
  </a>
  <a r="1">
    <v t="r">2923</v>
  </a>
  <a r="2">
    <v t="r">2954</v>
    <v t="r">2955</v>
  </a>
  <a r="1">
    <v t="s">Portuguese language</v>
  </a>
  <a r="11">
    <v t="r">2972</v>
    <v t="r">2973</v>
    <v t="r">2974</v>
    <v t="r">2975</v>
    <v t="r">2941</v>
    <v t="r">2976</v>
    <v t="r">2977</v>
    <v t="r">2978</v>
    <v t="r">2979</v>
    <v t="r">2980</v>
    <v t="r">2981</v>
  </a>
  <a r="1">
    <v t="r">2990</v>
  </a>
  <a r="3">
    <v t="r">3025</v>
    <v t="r">3026</v>
    <v t="r">3027</v>
  </a>
  <a r="1">
    <v t="s">Burmese language</v>
  </a>
  <a r="15">
    <v t="r">3041</v>
    <v t="r">3042</v>
    <v t="r">3043</v>
    <v t="r">3044</v>
    <v t="r">3045</v>
    <v t="r">3046</v>
    <v t="r">3047</v>
    <v t="r">3048</v>
    <v t="r">3049</v>
    <v t="r">3050</v>
    <v t="r">3051</v>
    <v t="r">3052</v>
    <v t="r">3053</v>
    <v t="r">3054</v>
    <v t="r">3055</v>
  </a>
  <a r="1">
    <v t="r">3073</v>
  </a>
  <a r="5">
    <v t="r">3104</v>
    <v t="r">3105</v>
    <v t="r">3106</v>
    <v t="r">3107</v>
    <v t="r">3108</v>
  </a>
  <a r="14">
    <v t="r">3121</v>
    <v t="r">3122</v>
    <v t="r">3123</v>
    <v t="r">3124</v>
    <v t="r">3125</v>
    <v t="r">3126</v>
    <v t="r">3127</v>
    <v t="r">3128</v>
    <v t="r">3129</v>
    <v t="r">3130</v>
    <v t="r">3131</v>
    <v t="r">3132</v>
    <v t="r">3133</v>
    <v t="r">3134</v>
  </a>
  <a r="1">
    <v t="r">3143</v>
  </a>
  <a r="1">
    <v t="r">3162</v>
  </a>
  <a r="2">
    <v t="s">English language</v>
    <v t="s">Nauruan language</v>
  </a>
  <a r="14">
    <v t="r">3167</v>
    <v t="r">3168</v>
    <v t="r">3169</v>
    <v t="r">3170</v>
    <v t="r">3171</v>
    <v t="r">3172</v>
    <v t="r">3173</v>
    <v t="r">3161</v>
    <v t="r">3174</v>
    <v t="r">3175</v>
    <v t="r">3176</v>
    <v t="r">3177</v>
    <v t="r">3178</v>
    <v t="r">3158</v>
  </a>
  <a r="4">
    <v t="r">3215</v>
    <v t="r">3216</v>
    <v t="r">3217</v>
    <v t="r">3218</v>
  </a>
  <a r="1">
    <v t="s">Nepali language</v>
  </a>
  <a r="1">
    <v t="s">Nepal Standard Time</v>
  </a>
  <a r="1">
    <v t="r">3240</v>
  </a>
  <a r="2">
    <v t="r">3271</v>
    <v t="r">3272</v>
  </a>
  <a r="1">
    <v t="s">Dutch language</v>
  </a>
  <a r="14">
    <v t="r">3285</v>
    <v t="r">3286</v>
    <v t="r">3287</v>
    <v t="r">3288</v>
    <v t="r">3289</v>
    <v t="r">3290</v>
    <v t="r">3291</v>
    <v t="r">3292</v>
    <v t="r">3293</v>
    <v t="r">3294</v>
    <v t="r">3295</v>
    <v t="r">3296</v>
    <v t="r">3297</v>
    <v t="r">3298</v>
  </a>
  <a r="1">
    <v t="s">Atlantic Time Zone</v>
  </a>
  <a r="1">
    <v t="r">3310</v>
  </a>
  <a r="2">
    <v t="r">634</v>
    <v t="r">3342</v>
  </a>
  <a r="2">
    <v t="s">New Zealand Sign Language</v>
    <v t="s">New Zealand English</v>
  </a>
  <a r="13">
    <v t="r">3354</v>
    <v t="r">3355</v>
    <v t="r">3356</v>
    <v t="r">3357</v>
    <v t="r">3358</v>
    <v t="r">3359</v>
    <v t="r">3360</v>
    <v t="r">3361</v>
    <v t="r">3362</v>
    <v t="r">3363</v>
    <v t="r">3364</v>
    <v t="r">3365</v>
    <v t="r">3366</v>
  </a>
  <a r="1">
    <v t="r">3376</v>
  </a>
  <a r="1">
    <v t="r">3385</v>
  </a>
  <a r="1">
    <v t="s">Daylight saving time</v>
  </a>
  <a r="2">
    <v t="r">3416</v>
    <v t="r">3417</v>
  </a>
  <a r="1">
    <v t="s">Nicaraguan Spanish</v>
  </a>
  <a r="17">
    <v t="r">3429</v>
    <v t="r">3430</v>
    <v t="r">3431</v>
    <v t="r">3432</v>
    <v t="r">3433</v>
    <v t="r">3434</v>
    <v t="r">3435</v>
    <v t="r">3436</v>
    <v t="r">3437</v>
    <v t="r">3438</v>
    <v t="r">3439</v>
    <v t="r">3440</v>
    <v t="r">3441</v>
    <v t="r">3442</v>
    <v t="r">3443</v>
    <v t="r">3444</v>
    <v t="r">3445</v>
  </a>
  <a r="1">
    <v t="r">3455</v>
  </a>
  <a r="1">
    <v t="r">3489</v>
  </a>
  <a r="1">
    <v t="s">French language</v>
  </a>
  <a r="8">
    <v t="r">3503</v>
    <v t="r">3504</v>
    <v t="r">3505</v>
    <v t="r">3506</v>
    <v t="r">3476</v>
    <v t="r">3507</v>
    <v t="r">3508</v>
    <v t="r">3509</v>
  </a>
  <a r="1">
    <v t="r">3518</v>
  </a>
  <a r="4">
    <v t="r">3550</v>
    <v t="r">3551</v>
    <v t="r">3552</v>
    <v t="r">3553</v>
  </a>
  <a r="37">
    <v t="r">3566</v>
    <v t="r">3567</v>
    <v t="r">3568</v>
    <v t="r">3569</v>
    <v t="r">3570</v>
    <v t="r">3571</v>
    <v t="r">3572</v>
    <v t="r">3573</v>
    <v t="r">3574</v>
    <v t="r">3575</v>
    <v t="r">3576</v>
    <v t="r">3577</v>
    <v t="r">3578</v>
    <v t="r">3579</v>
    <v t="r">3580</v>
    <v t="r">3581</v>
    <v t="r">3582</v>
    <v t="r">3583</v>
    <v t="r">3584</v>
    <v t="r">3585</v>
    <v t="r">3586</v>
    <v t="r">3587</v>
    <v t="r">3588</v>
    <v t="r">3589</v>
    <v t="r">3590</v>
    <v t="r">3591</v>
    <v t="r">3592</v>
    <v t="r">3593</v>
    <v t="r">3594</v>
    <v t="r">3595</v>
    <v t="r">3596</v>
    <v t="r">3597</v>
    <v t="r">3598</v>
    <v t="r">3599</v>
    <v t="r">3600</v>
    <v t="r">3601</v>
    <v t="r">3602</v>
  </a>
  <a r="1">
    <v t="r">3619</v>
  </a>
  <a r="3">
    <v t="r">3646</v>
    <v t="r">3647</v>
    <v t="r">3648</v>
  </a>
  <a r="1">
    <v t="s">Korean language</v>
  </a>
  <a r="12">
    <v t="r">3634</v>
    <v t="r">3657</v>
    <v t="r">3658</v>
    <v t="r">3659</v>
    <v t="r">3660</v>
    <v t="r">3661</v>
    <v t="r">3662</v>
    <v t="r">3663</v>
    <v t="r">3664</v>
    <v t="r">3665</v>
    <v t="r">3666</v>
    <v t="r">3667</v>
  </a>
  <a r="2">
    <v t="r">3690</v>
    <v t="r">3691</v>
  </a>
  <a r="7">
    <v t="s">Albanian language</v>
    <v t="s">Bosnian language</v>
    <v t="s">Romani language</v>
    <v t="s">Serbian language</v>
    <v t="s">Turkish language</v>
    <v t="s">Aromanian language</v>
    <v t="s">Macedonian language</v>
  </a>
  <a r="76">
    <v t="r">3697</v>
    <v t="r">3698</v>
    <v t="r">3699</v>
    <v t="r">3700</v>
    <v t="r">3701</v>
    <v t="r">3702</v>
    <v t="r">3703</v>
    <v t="r">3704</v>
    <v t="r">3705</v>
    <v t="r">3706</v>
    <v t="r">3707</v>
    <v t="r">3708</v>
    <v t="r">3709</v>
    <v t="r">3710</v>
    <v t="r">3711</v>
    <v t="r">3712</v>
    <v t="r">3713</v>
    <v t="r">3714</v>
    <v t="r">3715</v>
    <v t="r">3716</v>
    <v t="r">3717</v>
    <v t="r">3718</v>
    <v t="r">3719</v>
    <v t="r">3720</v>
    <v t="r">3721</v>
    <v t="r">3722</v>
    <v t="r">3723</v>
    <v t="r">3724</v>
    <v t="r">3725</v>
    <v t="r">3726</v>
    <v t="r">3727</v>
    <v t="r">3728</v>
    <v t="r">3729</v>
    <v t="r">3730</v>
    <v t="r">3731</v>
    <v t="r">3732</v>
    <v t="r">3733</v>
    <v t="r">3734</v>
    <v t="r">3735</v>
    <v t="r">3736</v>
    <v t="r">3737</v>
    <v t="r">3738</v>
    <v t="r">3739</v>
    <v t="r">3740</v>
    <v t="r">3741</v>
    <v t="r">3742</v>
    <v t="r">3743</v>
    <v t="r">3744</v>
    <v t="r">3745</v>
    <v t="r">3746</v>
    <v t="r">3747</v>
    <v t="r">3748</v>
    <v t="r">3749</v>
    <v t="r">3750</v>
    <v t="r">3751</v>
    <v t="r">3752</v>
    <v t="r">3753</v>
    <v t="r">3754</v>
    <v t="r">3755</v>
    <v t="r">3756</v>
    <v t="r">3757</v>
    <v t="r">3758</v>
    <v t="r">3759</v>
    <v t="r">3760</v>
    <v t="r">3761</v>
    <v t="r">3762</v>
    <v t="r">3763</v>
    <v t="r">3764</v>
    <v t="r">3765</v>
    <v t="r">3766</v>
    <v t="r">3767</v>
    <v t="r">3768</v>
    <v t="r">3769</v>
    <v t="r">3770</v>
    <v t="r">3771</v>
    <v t="r">3772</v>
  </a>
  <a r="1">
    <v t="r">3777</v>
  </a>
  <a r="1">
    <v t="s">Central European Summer Time</v>
  </a>
  <a r="3">
    <v t="r">3812</v>
    <v t="r">3813</v>
    <v t="r">3814</v>
  </a>
  <a r="1">
    <v t="s">Norwegian language</v>
  </a>
  <a r="14">
    <v t="r">3826</v>
    <v t="r">3798</v>
    <v t="r">3827</v>
    <v t="r">3828</v>
    <v t="r">3829</v>
    <v t="r">3830</v>
    <v t="r">3831</v>
    <v t="r">3832</v>
    <v t="r">3833</v>
    <v t="r">3834</v>
    <v t="r">3835</v>
    <v t="r">3836</v>
    <v t="r">3837</v>
    <v t="r">3838</v>
  </a>
  <a r="1">
    <v t="r">3848</v>
  </a>
  <a r="1">
    <v t="s">Theyazin bin Haitham (Crown prince)</v>
  </a>
  <a r="11">
    <v t="r">3889</v>
    <v t="r">3890</v>
    <v t="r">3891</v>
    <v t="r">3892</v>
    <v t="r">3893</v>
    <v t="r">3894</v>
    <v t="r">3895</v>
    <v t="r">3896</v>
    <v t="r">3897</v>
    <v t="r">3898</v>
    <v t="r">3899</v>
  </a>
  <a r="3">
    <v t="r">3943</v>
    <v t="r">3944</v>
    <v t="r">3945</v>
  </a>
  <a r="2">
    <v t="s">Pakistani English</v>
    <v t="s">Urdu</v>
  </a>
  <a r="7">
    <v t="r">3962</v>
    <v t="r">3963</v>
    <v t="r">3964</v>
    <v t="r">3965</v>
    <v t="r">3966</v>
    <v t="r">3967</v>
    <v t="r">3968</v>
  </a>
  <a r="1">
    <v t="r">3978</v>
  </a>
  <a r="1">
    <v t="s">Pakistan Standard Time</v>
  </a>
  <a r="1">
    <v t="r">3989</v>
  </a>
  <a r="2">
    <v t="r">4015</v>
    <v t="r">4016</v>
  </a>
  <a r="2">
    <v t="s">English language</v>
    <v t="s">Palauan language</v>
  </a>
  <a r="15">
    <v t="r">4025</v>
    <v t="r">4026</v>
    <v t="r">4027</v>
    <v t="r">4028</v>
    <v t="r">4029</v>
    <v t="r">4030</v>
    <v t="r">4031</v>
    <v t="r">4032</v>
    <v t="r">4033</v>
    <v t="r">4034</v>
    <v t="r">4035</v>
    <v t="r">4036</v>
    <v t="r">4037</v>
    <v t="r">4038</v>
    <v t="r">4039</v>
  </a>
  <a r="2">
    <v t="r">4077</v>
    <v t="r">4078</v>
  </a>
  <a r="1">
    <v t="s">Panamanian Spanish</v>
  </a>
  <a r="14">
    <v t="r">4095</v>
    <v t="r">4096</v>
    <v t="r">4097</v>
    <v t="r">4098</v>
    <v t="r">4099</v>
    <v t="r">4100</v>
    <v t="r">4101</v>
    <v t="r">4102</v>
    <v t="r">4103</v>
    <v t="r">4104</v>
    <v t="r">4105</v>
    <v t="r">4106</v>
    <v t="r">4107</v>
    <v t="r">4108</v>
  </a>
  <a r="1">
    <v t="r">4117</v>
  </a>
  <a r="2">
    <v t="r">634</v>
    <v t="r">4145</v>
  </a>
  <a r="4">
    <v t="s">English</v>
    <v t="s">Tok Pisin</v>
    <v t="s">Papua New Guinean Sign Language</v>
    <v t="s">Hiri Motu</v>
  </a>
  <a r="22">
    <v t="r">4158</v>
    <v t="r">4159</v>
    <v t="r">4160</v>
    <v t="r">4161</v>
    <v t="r">4162</v>
    <v t="r">4163</v>
    <v t="r">4164</v>
    <v t="r">4165</v>
    <v t="r">4166</v>
    <v t="r">4167</v>
    <v t="r">4168</v>
    <v t="r">4169</v>
    <v t="r">4170</v>
    <v t="r">4171</v>
    <v t="r">4172</v>
    <v t="r">4173</v>
    <v t="r">4174</v>
    <v t="r">4175</v>
    <v t="r">4176</v>
    <v t="r">4177</v>
    <v t="r">4178</v>
    <v t="r">4179</v>
  </a>
  <a r="1">
    <v t="r">4188</v>
  </a>
  <a r="2">
    <v t="r">4223</v>
    <v t="r">4224</v>
  </a>
  <a r="2">
    <v t="s">Spanish language</v>
    <v t="s">Guarani language</v>
  </a>
  <a r="17">
    <v t="r">4238</v>
    <v t="r">4239</v>
    <v t="r">4240</v>
    <v t="r">4241</v>
    <v t="r">4242</v>
    <v t="r">4243</v>
    <v t="r">4244</v>
    <v t="r">4245</v>
    <v t="r">4246</v>
    <v t="r">4247</v>
    <v t="r">4248</v>
    <v t="r">4249</v>
    <v t="r">4250</v>
    <v t="r">4251</v>
    <v t="r">4252</v>
    <v t="r">4253</v>
    <v t="r">4254</v>
  </a>
  <a r="2">
    <v t="r">4288</v>
    <v t="r">4289</v>
  </a>
  <a r="1">
    <v t="s">Spanish language</v>
  </a>
  <a r="24">
    <v t="r">4303</v>
    <v t="r">4304</v>
    <v t="r">4305</v>
    <v t="r">4306</v>
    <v t="r">4307</v>
    <v t="r">4308</v>
    <v t="r">4309</v>
    <v t="r">4310</v>
    <v t="r">4311</v>
    <v t="r">4312</v>
    <v t="r">4313</v>
    <v t="r">4314</v>
    <v t="r">4315</v>
    <v t="r">4316</v>
    <v t="r">4317</v>
    <v t="r">4318</v>
    <v t="r">4319</v>
    <v t="r">4320</v>
    <v t="r">4321</v>
    <v t="r">4322</v>
    <v t="r">4323</v>
    <v t="r">4324</v>
    <v t="r">4325</v>
    <v t="r">4326</v>
  </a>
  <a r="1">
    <v t="s">Peru Time Zone</v>
  </a>
  <a r="1">
    <v t="r">4338</v>
  </a>
  <a r="4">
    <v t="r">4365</v>
    <v t="r">4366</v>
    <v t="r">4367</v>
    <v t="r">4368</v>
  </a>
  <a r="2">
    <v t="s">Philippine English</v>
    <v t="s">Filipino language</v>
  </a>
  <a r="1">
    <v t="r">4381</v>
  </a>
  <a r="1">
    <v t="s">Philippine Standard Time</v>
  </a>
  <a r="1">
    <v t="r">4392</v>
  </a>
  <a r="1">
    <v t="r">4401</v>
  </a>
  <a r="2">
    <v t="r">4427</v>
    <v t="r">4428</v>
  </a>
  <a r="1">
    <v t="s">Polish language</v>
  </a>
  <a r="16">
    <v t="r">4440</v>
    <v t="r">4441</v>
    <v t="r">4442</v>
    <v t="r">4443</v>
    <v t="r">4444</v>
    <v t="r">4445</v>
    <v t="r">4446</v>
    <v t="r">4447</v>
    <v t="r">4448</v>
    <v t="r">4449</v>
    <v t="r">4450</v>
    <v t="r">4451</v>
    <v t="r">4452</v>
    <v t="r">4453</v>
    <v t="r">4454</v>
    <v t="r">4455</v>
  </a>
  <a r="1">
    <v t="s">Rafał Trzaskowski (Mayor)</v>
  </a>
  <a r="2">
    <v t="r">4492</v>
    <v t="r">4493</v>
  </a>
  <a r="20">
    <v t="r">4505</v>
    <v t="r">4506</v>
    <v t="r">4507</v>
    <v t="r">4508</v>
    <v t="r">4509</v>
    <v t="r">4510</v>
    <v t="r">4511</v>
    <v t="r">4512</v>
    <v t="r">4513</v>
    <v t="r">4514</v>
    <v t="r">4515</v>
    <v t="r">4516</v>
    <v t="r">4517</v>
    <v t="r">4518</v>
    <v t="r">4519</v>
    <v t="r">4520</v>
    <v t="r">4521</v>
    <v t="r">4522</v>
    <v t="r">4523</v>
    <v t="r">4524</v>
  </a>
  <a r="1">
    <v t="r">4557</v>
  </a>
  <a r="7">
    <v t="r">4566</v>
    <v t="r">4567</v>
    <v t="r">4568</v>
    <v t="r">4569</v>
    <v t="r">4570</v>
    <v t="r">4571</v>
    <v t="r">4572</v>
  </a>
  <a r="2">
    <v t="r">4604</v>
    <v t="r">4605</v>
  </a>
  <a r="42">
    <v t="r">4617</v>
    <v t="r">4618</v>
    <v t="r">4619</v>
    <v t="r">4620</v>
    <v t="r">4621</v>
    <v t="r">4622</v>
    <v t="r">4623</v>
    <v t="r">4624</v>
    <v t="r">4625</v>
    <v t="r">4626</v>
    <v t="r">4627</v>
    <v t="r">4628</v>
    <v t="r">4629</v>
    <v t="r">4630</v>
    <v t="r">4631</v>
    <v t="r">4632</v>
    <v t="r">4633</v>
    <v t="r">4634</v>
    <v t="r">4635</v>
    <v t="r">4636</v>
    <v t="r">4637</v>
    <v t="r">4638</v>
    <v t="r">4639</v>
    <v t="r">4640</v>
    <v t="r">4641</v>
    <v t="r">4642</v>
    <v t="r">4643</v>
    <v t="r">4644</v>
    <v t="r">4645</v>
    <v t="r">4646</v>
    <v t="r">4647</v>
    <v t="r">4648</v>
    <v t="r">4649</v>
    <v t="r">4650</v>
    <v t="r">4651</v>
    <v t="r">4652</v>
    <v t="r">4653</v>
    <v t="r">4654</v>
    <v t="r">4655</v>
    <v t="r">4656</v>
    <v t="r">4657</v>
    <v t="r">4593</v>
  </a>
  <a r="1">
    <v t="r">4666</v>
  </a>
  <a r="2">
    <v t="r">4692</v>
    <v t="r">4693</v>
  </a>
  <a r="1">
    <v t="s">Russian language</v>
  </a>
  <a r="83">
    <v t="r">4707</v>
    <v t="r">4708</v>
    <v t="r">4709</v>
    <v t="r">4710</v>
    <v t="r">4711</v>
    <v t="r">4712</v>
    <v t="r">4713</v>
    <v t="r">4714</v>
    <v t="r">4715</v>
    <v t="r">4716</v>
    <v t="r">4717</v>
    <v t="r">4718</v>
    <v t="r">4719</v>
    <v t="r">4720</v>
    <v t="r">4721</v>
    <v t="r">4722</v>
    <v t="r">4723</v>
    <v t="r">4724</v>
    <v t="r">4725</v>
    <v t="r">4726</v>
    <v t="r">4727</v>
    <v t="r">4728</v>
    <v t="r">4729</v>
    <v t="r">4730</v>
    <v t="r">4731</v>
    <v t="r">4732</v>
    <v t="r">4733</v>
    <v t="r">4734</v>
    <v t="r">4735</v>
    <v t="r">4736</v>
    <v t="r">4737</v>
    <v t="r">4738</v>
    <v t="r">4739</v>
    <v t="r">4740</v>
    <v t="r">4741</v>
    <v t="r">4742</v>
    <v t="r">4743</v>
    <v t="r">4744</v>
    <v t="r">4745</v>
    <v t="r">4746</v>
    <v t="r">4747</v>
    <v t="r">4748</v>
    <v t="r">4749</v>
    <v t="r">4750</v>
    <v t="r">4751</v>
    <v t="r">4752</v>
    <v t="r">4753</v>
    <v t="r">4754</v>
    <v t="r">4755</v>
    <v t="r">4756</v>
    <v t="r">4757</v>
    <v t="r">4758</v>
    <v t="r">4759</v>
    <v t="r">4760</v>
    <v t="r">4761</v>
    <v t="r">4762</v>
    <v t="r">4763</v>
    <v t="r">4764</v>
    <v t="r">4765</v>
    <v t="r">4766</v>
    <v t="r">4767</v>
    <v t="r">4768</v>
    <v t="r">4769</v>
    <v t="r">4770</v>
    <v t="r">4771</v>
    <v t="r">4772</v>
    <v t="r">4773</v>
    <v t="r">4774</v>
    <v t="r">4775</v>
    <v t="r">4776</v>
    <v t="r">4777</v>
    <v t="r">4778</v>
    <v t="r">4779</v>
    <v t="r">4780</v>
    <v t="r">4781</v>
    <v t="r">4679</v>
    <v t="r">4782</v>
    <v t="r">4783</v>
    <v t="r">4784</v>
    <v t="r">4785</v>
    <v t="r">4786</v>
    <v t="r">4787</v>
    <v t="r">4788</v>
  </a>
  <a r="13">
    <v t="s">Moscow Time</v>
    <v t="s">Samara Time</v>
    <v t="s">Yekaterinburg Time</v>
    <v t="s">Omsk Time</v>
    <v t="s">Krasnoyarsk Time</v>
    <v t="s">Irkutsk Time</v>
    <v t="s">Yakutsk Time</v>
    <v t="s">Kamchatka Time</v>
    <v t="s">Eastern European Time</v>
    <v t="s">Vladivostok Time</v>
    <v t="s">Srednekolymsk Time</v>
    <v t="s">Magadan Time</v>
    <v t="s">Kaliningrad Time</v>
  </a>
  <a r="1">
    <v t="r">4797</v>
  </a>
  <a r="1">
    <v t="s">Moscow Time</v>
  </a>
  <a r="2">
    <v t="r">4824</v>
    <v t="r">4825</v>
  </a>
  <a r="4">
    <v t="s">Kinyarwanda</v>
    <v t="s">English language</v>
    <v t="s">Swahili language</v>
    <v t="s">French language</v>
  </a>
  <a r="4">
    <v t="r">4839</v>
    <v t="r">4840</v>
    <v t="r">4841</v>
    <v t="r">4842</v>
  </a>
  <a r="1">
    <v t="r">4852</v>
  </a>
  <a r="2">
    <v t="r">634</v>
    <v t="r">4875</v>
  </a>
  <a r="14">
    <v t="r">4883</v>
    <v t="r">4884</v>
    <v t="r">4885</v>
    <v t="r">4886</v>
    <v t="r">4887</v>
    <v t="r">4888</v>
    <v t="r">4889</v>
    <v t="r">4890</v>
    <v t="r">4891</v>
    <v t="r">4892</v>
    <v t="r">4893</v>
    <v t="r">4894</v>
    <v t="r">4895</v>
    <v t="r">4896</v>
  </a>
  <a r="2">
    <v t="r">634</v>
    <v t="r">4929</v>
  </a>
  <a r="1">
    <v t="s">English</v>
  </a>
  <a r="9">
    <v t="r">4942</v>
    <v t="r">4943</v>
    <v t="r">4944</v>
    <v t="r">4945</v>
    <v t="r">4946</v>
    <v t="r">4947</v>
    <v t="r">4948</v>
    <v t="r">4949</v>
    <v t="r">4950</v>
  </a>
  <a r="1">
    <v t="r">4960</v>
  </a>
  <a r="2">
    <v t="r">634</v>
    <v t="r">4985</v>
  </a>
  <a r="6">
    <v t="r">4994</v>
    <v t="r">4995</v>
    <v t="r">4996</v>
    <v t="r">4997</v>
    <v t="r">4998</v>
    <v t="r">4999</v>
  </a>
  <a r="1">
    <v t="r">5030</v>
  </a>
  <a r="2">
    <v t="s">English language</v>
    <v t="s">Samoan language</v>
  </a>
  <a r="10">
    <v t="r">5044</v>
    <v t="r">5045</v>
    <v t="r">5046</v>
    <v t="r">5047</v>
    <v t="r">5048</v>
    <v t="r">5049</v>
    <v t="r">5050</v>
    <v t="r">5051</v>
    <v t="r">5052</v>
    <v t="r">5053</v>
  </a>
  <a r="9">
    <v t="r">5076</v>
    <v t="r">5090</v>
    <v t="r">5091</v>
    <v t="r">5092</v>
    <v t="r">5093</v>
    <v t="r">5094</v>
    <v t="r">5095</v>
    <v t="r">5096</v>
    <v t="r">5097</v>
  </a>
  <a r="2">
    <v t="r">5128</v>
    <v t="r">5129</v>
  </a>
  <a r="6">
    <v t="r">5142</v>
    <v t="r">5143</v>
    <v t="r">5144</v>
    <v t="r">5145</v>
    <v t="r">5146</v>
    <v t="r">5147</v>
  </a>
  <a r="2">
    <v t="r">5182</v>
    <v t="r">5183</v>
  </a>
  <a r="13">
    <v t="r">5193</v>
    <v t="r">5194</v>
    <v t="r">5195</v>
    <v t="r">5196</v>
    <v t="r">5197</v>
    <v t="r">5198</v>
    <v t="r">5199</v>
    <v t="r">5200</v>
    <v t="r">5201</v>
    <v t="r">5202</v>
    <v t="r">5203</v>
    <v t="r">5204</v>
    <v t="r">5205</v>
  </a>
  <a r="2">
    <v t="s">Faisal bin Abdulaziz Al Muqrin (Mayor)</v>
    <v t="s">Faisal bin Bandar Al Saud (Governor)</v>
  </a>
  <a r="2">
    <v t="r">5243</v>
    <v t="r">5244</v>
  </a>
  <a r="1">
    <v t="s">French</v>
  </a>
  <a r="14">
    <v t="r">5257</v>
    <v t="r">5258</v>
    <v t="r">5259</v>
    <v t="r">5260</v>
    <v t="r">5261</v>
    <v t="r">5262</v>
    <v t="r">5263</v>
    <v t="r">5264</v>
    <v t="r">5265</v>
    <v t="r">5266</v>
    <v t="r">5267</v>
    <v t="r">5268</v>
    <v t="r">5269</v>
    <v t="r">5270</v>
  </a>
  <a r="1">
    <v t="r">5281</v>
  </a>
  <a r="2">
    <v t="r">5308</v>
    <v t="r">5309</v>
  </a>
  <a r="1">
    <v t="s">Serbian language</v>
  </a>
  <a r="24">
    <v t="r">5322</v>
    <v t="r">5323</v>
    <v t="r">5324</v>
    <v t="r">5325</v>
    <v t="r">5326</v>
    <v t="r">5327</v>
    <v t="r">5328</v>
    <v t="r">5329</v>
    <v t="r">5330</v>
    <v t="r">5331</v>
    <v t="r">5332</v>
    <v t="r">5333</v>
    <v t="r">5334</v>
    <v t="r">5335</v>
    <v t="r">5336</v>
    <v t="r">5337</v>
    <v t="r">5338</v>
    <v t="r">5339</v>
    <v t="r">5340</v>
    <v t="r">5341</v>
    <v t="r">5342</v>
    <v t="r">5343</v>
    <v t="r">5344</v>
    <v t="r">5345</v>
  </a>
  <a r="1">
    <v t="r">5354</v>
  </a>
  <a r="2">
    <v t="r">5377</v>
    <v t="r">5378</v>
  </a>
  <a r="3">
    <v t="s">Seychellois Creole</v>
    <v t="s">English language</v>
    <v t="s">French language</v>
  </a>
  <a r="24">
    <v t="r">5389</v>
    <v t="r">5390</v>
    <v t="r">5391</v>
    <v t="r">5392</v>
    <v t="r">5393</v>
    <v t="r">5394</v>
    <v t="r">5395</v>
    <v t="r">5396</v>
    <v t="r">5397</v>
    <v t="r">5398</v>
    <v t="r">5399</v>
    <v t="r">5400</v>
    <v t="r">5401</v>
    <v t="r">5402</v>
    <v t="r">5403</v>
    <v t="r">5404</v>
    <v t="r">5405</v>
    <v t="r">5406</v>
    <v t="r">5407</v>
    <v t="r">5408</v>
    <v t="r">5409</v>
    <v t="r">5410</v>
    <v t="r">5411</v>
    <v t="r">5412</v>
  </a>
  <a r="1">
    <v t="r">5420</v>
  </a>
  <a r="3">
    <v t="r">5446</v>
    <v t="r">5447</v>
    <v t="r">5448</v>
  </a>
  <a r="4">
    <v t="r">5459</v>
    <v t="r">5460</v>
    <v t="r">5461</v>
    <v t="r">5462</v>
  </a>
  <a r="1">
    <v t="r">5472</v>
  </a>
  <a r="2">
    <v t="r">5500</v>
    <v t="r">5501</v>
  </a>
  <a r="4">
    <v t="s">Malay</v>
    <v t="s">Mandarin Chinese</v>
    <v t="s">English language</v>
    <v t="s">Tamil language</v>
  </a>
  <a r="1">
    <v t="s">Singapore Standard Time</v>
  </a>
  <a r="2">
    <v t="r">5538</v>
    <v t="r">5539</v>
  </a>
  <a r="1">
    <v t="s">Slovak language</v>
  </a>
  <a r="8">
    <v t="r">5556</v>
    <v t="r">5557</v>
    <v t="r">5558</v>
    <v t="r">5559</v>
    <v t="r">5560</v>
    <v t="r">5561</v>
    <v t="r">5562</v>
    <v t="r">5563</v>
  </a>
  <a r="1">
    <v t="r">5573</v>
  </a>
  <a r="2">
    <v t="r">5598</v>
    <v t="r">5599</v>
  </a>
  <a r="1">
    <v t="s">Slovene language</v>
  </a>
  <a r="125">
    <v t="r">5614</v>
    <v t="r">5615</v>
    <v t="r">5616</v>
    <v t="r">5617</v>
    <v t="r">5618</v>
    <v t="r">5619</v>
    <v t="r">5620</v>
    <v t="r">5621</v>
    <v t="r">5622</v>
    <v t="r">5623</v>
    <v t="r">5624</v>
    <v t="r">5625</v>
    <v t="r">5626</v>
    <v t="r">5627</v>
    <v t="r">5628</v>
    <v t="r">5629</v>
    <v t="r">5630</v>
    <v t="r">5631</v>
    <v t="r">5632</v>
    <v t="r">5633</v>
    <v t="r">5634</v>
    <v t="r">5635</v>
    <v t="r">5636</v>
    <v t="r">5637</v>
    <v t="r">5638</v>
    <v t="r">5639</v>
    <v t="r">5640</v>
    <v t="r">5641</v>
    <v t="r">5642</v>
    <v t="r">5643</v>
    <v t="r">5644</v>
    <v t="r">5645</v>
    <v t="r">5646</v>
    <v t="r">5647</v>
    <v t="r">5648</v>
    <v t="r">5649</v>
    <v t="r">5650</v>
    <v t="r">5651</v>
    <v t="r">5652</v>
    <v t="r">5653</v>
    <v t="r">5654</v>
    <v t="r">5655</v>
    <v t="r">5656</v>
    <v t="r">5657</v>
    <v t="r">5658</v>
    <v t="r">5659</v>
    <v t="r">5660</v>
    <v t="r">5661</v>
    <v t="r">5662</v>
    <v t="r">5663</v>
    <v t="r">5664</v>
    <v t="r">5665</v>
    <v t="r">5666</v>
    <v t="r">5667</v>
    <v t="r">5668</v>
    <v t="r">5669</v>
    <v t="r">5670</v>
    <v t="r">5671</v>
    <v t="r">5672</v>
    <v t="r">5673</v>
    <v t="r">5674</v>
    <v t="r">5675</v>
    <v t="r">5676</v>
    <v t="r">5677</v>
    <v t="r">5678</v>
    <v t="r">5679</v>
    <v t="r">5680</v>
    <v t="r">5681</v>
    <v t="r">5682</v>
    <v t="r">5683</v>
    <v t="r">5684</v>
    <v t="r">5685</v>
    <v t="r">5686</v>
    <v t="r">5687</v>
    <v t="r">5688</v>
    <v t="r">5689</v>
    <v t="r">5690</v>
    <v t="r">5691</v>
    <v t="r">5692</v>
    <v t="r">5693</v>
    <v t="r">5694</v>
    <v t="r">5695</v>
    <v t="r">5696</v>
    <v t="r">5697</v>
    <v t="r">5698</v>
    <v t="r">5699</v>
    <v t="r">5700</v>
    <v t="r">5701</v>
    <v t="r">5702</v>
    <v t="r">5703</v>
    <v t="r">5704</v>
    <v t="r">5705</v>
    <v t="r">5706</v>
    <v t="r">5707</v>
    <v t="r">5708</v>
    <v t="r">5709</v>
    <v t="r">5710</v>
    <v t="r">5711</v>
    <v t="r">5712</v>
    <v t="r">5713</v>
    <v t="r">5714</v>
    <v t="r">5715</v>
    <v t="r">5716</v>
    <v t="r">5717</v>
    <v t="r">5718</v>
    <v t="r">5719</v>
    <v t="r">5720</v>
    <v t="r">5721</v>
    <v t="r">5722</v>
    <v t="r">5723</v>
    <v t="r">5724</v>
    <v t="r">5725</v>
    <v t="r">5726</v>
    <v t="r">5727</v>
    <v t="r">5728</v>
    <v t="r">5729</v>
    <v t="r">5730</v>
    <v t="r">5731</v>
    <v t="r">5732</v>
    <v t="r">5733</v>
    <v t="r">5734</v>
    <v t="r">5735</v>
    <v t="r">5736</v>
    <v t="r">5737</v>
    <v t="r">5738</v>
  </a>
  <a r="1">
    <v t="r">5748</v>
  </a>
  <a r="2">
    <v t="r">634</v>
    <v t="r">5772</v>
  </a>
  <a r="2">
    <v t="s">Pijin language</v>
    <v t="s">English language</v>
  </a>
  <a r="10">
    <v t="r">5785</v>
    <v t="r">5786</v>
    <v t="r">5787</v>
    <v t="r">5762</v>
    <v t="r">5788</v>
    <v t="r">5789</v>
    <v t="r">5790</v>
    <v t="r">5791</v>
    <v t="r">5792</v>
    <v t="r">5793</v>
  </a>
  <a r="1">
    <v t="r">5802</v>
  </a>
  <a r="3">
    <v t="r">5826</v>
    <v t="r">5827</v>
    <v t="r">5828</v>
  </a>
  <a r="2">
    <v t="s">Arabic</v>
    <v t="s">Somali language</v>
  </a>
  <a r="13">
    <v t="r">5837</v>
    <v t="r">5838</v>
    <v t="r">5839</v>
    <v t="r">5840</v>
    <v t="r">5841</v>
    <v t="r">5842</v>
    <v t="r">5843</v>
    <v t="r">5844</v>
    <v t="r">5845</v>
    <v t="r">5846</v>
    <v t="r">5847</v>
    <v t="r">5848</v>
    <v t="r">5849</v>
  </a>
  <a r="1">
    <v t="r">5858</v>
  </a>
  <a r="2">
    <v t="r">5887</v>
    <v t="r">5888</v>
  </a>
  <a r="26">
    <v t="s">Gujarati language</v>
    <v t="s">South African English</v>
    <v t="s">Khoisan languages</v>
    <v t="s">Greek language</v>
    <v t="s">Arabic</v>
    <v t="s">Swazi language</v>
    <v t="s">Venda language</v>
    <v t="s">Tsonga language</v>
    <v t="s">Khoekhoe language</v>
    <v t="s">Afrikaans</v>
    <v t="s">Portuguese language</v>
    <v t="s">Hindi</v>
    <v t="s">Tswana language</v>
    <v t="s">Sesotho</v>
    <v t="s">Urdu</v>
    <v t="s">Khoe languages</v>
    <v t="s">South African Sign Language</v>
    <v t="s">Hebrew language</v>
    <v t="s">Xhosa language</v>
    <v t="s">Telugu language</v>
    <v t="s">German language</v>
    <v t="s">Zulu language</v>
    <v t="s">Southern Ndebele language</v>
    <v t="s">Tamil language</v>
    <v t="s">Sanskrit</v>
    <v t="s">Northern Sotho language</v>
  </a>
  <a r="9">
    <v t="r">5902</v>
    <v t="r">5903</v>
    <v t="r">5904</v>
    <v t="r">5905</v>
    <v t="r">5906</v>
    <v t="r">5907</v>
    <v t="r">5908</v>
    <v t="r">5909</v>
    <v t="r">5910</v>
  </a>
  <a r="1">
    <v t="r">5920</v>
  </a>
  <a r="1">
    <v t="r">5930</v>
  </a>
  <a r="2">
    <v t="r">5959</v>
    <v t="r">5960</v>
  </a>
  <a r="2">
    <v t="s">Korean Sign Language</v>
    <v t="s">Korean language</v>
  </a>
  <a r="17">
    <v t="r">5945</v>
    <v t="r">5973</v>
    <v t="r">5974</v>
    <v t="r">5975</v>
    <v t="r">5976</v>
    <v t="r">5977</v>
    <v t="r">5978</v>
    <v t="r">5979</v>
    <v t="r">5980</v>
    <v t="r">5981</v>
    <v t="r">5982</v>
    <v t="r">5983</v>
    <v t="r">5984</v>
    <v t="r">5985</v>
    <v t="r">5986</v>
    <v t="r">5987</v>
    <v t="r">5988</v>
  </a>
  <a r="1">
    <v t="s">Korea Standard Time</v>
  </a>
  <a r="1">
    <v t="r">6000</v>
  </a>
  <a r="3">
    <v t="r">6025</v>
    <v t="r">6026</v>
    <v t="r">6027</v>
  </a>
  <a r="2">
    <v t="r">6037</v>
    <v t="r">6038</v>
  </a>
  <a r="1">
    <v t="r">6048</v>
  </a>
  <a r="2">
    <v t="r">6076</v>
    <v t="r">6077</v>
  </a>
  <a r="18">
    <v t="r">6091</v>
    <v t="r">6092</v>
    <v t="r">6093</v>
    <v t="r">6094</v>
    <v t="r">6095</v>
    <v t="r">6096</v>
    <v t="r">6097</v>
    <v t="r">6098</v>
    <v t="r">6099</v>
    <v t="r">6100</v>
    <v t="r">6101</v>
    <v t="r">6102</v>
    <v t="r">6103</v>
    <v t="r">6104</v>
    <v t="r">6105</v>
    <v t="r">6106</v>
    <v t="r">6107</v>
    <v t="r">6108</v>
  </a>
  <a r="1">
    <v t="r">6117</v>
  </a>
  <a r="4">
    <v t="r">6144</v>
    <v t="r">6145</v>
    <v t="r">6145</v>
    <v t="r">6146</v>
  </a>
  <a r="2">
    <v t="s">Sinhala language</v>
    <v t="s">Tamil language</v>
  </a>
  <a r="9">
    <v t="r">6159</v>
    <v t="r">6160</v>
    <v t="r">6161</v>
    <v t="r">6162</v>
    <v t="r">6163</v>
    <v t="r">6164</v>
    <v t="r">6165</v>
    <v t="r">6166</v>
    <v t="r">6167</v>
  </a>
  <a r="1">
    <v t="r">6178</v>
  </a>
  <a r="1">
    <v t="r">6206</v>
  </a>
  <a r="2">
    <v t="s">Arabic</v>
    <v t="s">English language</v>
  </a>
  <a r="15">
    <v t="r">6217</v>
    <v t="r">6218</v>
    <v t="r">6219</v>
    <v t="r">6220</v>
    <v t="r">6221</v>
    <v t="r">6222</v>
    <v t="r">6223</v>
    <v t="r">6224</v>
    <v t="r">6225</v>
    <v t="r">6226</v>
    <v t="r">6227</v>
    <v t="r">6228</v>
    <v t="r">6229</v>
    <v t="r">6230</v>
    <v t="r">6231</v>
  </a>
  <a r="2">
    <v t="r">6266</v>
    <v t="r">6267</v>
  </a>
  <a r="1">
    <v t="s">Surinamese Dutch</v>
  </a>
  <a r="10">
    <v t="r">6279</v>
    <v t="r">6280</v>
    <v t="r">6281</v>
    <v t="r">6282</v>
    <v t="r">6283</v>
    <v t="r">6284</v>
    <v t="r">6285</v>
    <v t="r">6286</v>
    <v t="r">6287</v>
    <v t="r">6288</v>
  </a>
  <a r="2">
    <v t="r">6324</v>
    <v t="r">6325</v>
  </a>
  <a r="1">
    <v t="s">Swedish language</v>
  </a>
  <a r="21">
    <v t="r">6337</v>
    <v t="r">6338</v>
    <v t="r">6339</v>
    <v t="r">6340</v>
    <v t="r">6341</v>
    <v t="r">6342</v>
    <v t="r">6343</v>
    <v t="r">6344</v>
    <v t="r">6345</v>
    <v t="r">6346</v>
    <v t="r">6347</v>
    <v t="r">6348</v>
    <v t="r">6349</v>
    <v t="r">6350</v>
    <v t="r">6351</v>
    <v t="r">6352</v>
    <v t="r">6353</v>
    <v t="r">6354</v>
    <v t="r">6355</v>
    <v t="r">6356</v>
    <v t="r">6357</v>
  </a>
  <a r="1">
    <v t="r">6368</v>
  </a>
  <a r="7">
    <v t="r">6395</v>
    <v t="r">6396</v>
    <v t="r">6397</v>
    <v t="r">6398</v>
    <v t="r">6399</v>
    <v t="r">6400</v>
    <v t="r">6401</v>
  </a>
  <a r="4">
    <v t="s">Italian language</v>
    <v t="s">Romansh language</v>
    <v t="s">German language</v>
    <v t="s">French language</v>
  </a>
  <a r="25">
    <v t="r">6414</v>
    <v t="r">6415</v>
    <v t="r">6416</v>
    <v t="r">6417</v>
    <v t="r">6418</v>
    <v t="r">6419</v>
    <v t="r">6420</v>
    <v t="r">6421</v>
    <v t="r">6422</v>
    <v t="r">6423</v>
    <v t="r">6424</v>
    <v t="r">6425</v>
    <v t="r">6426</v>
    <v t="r">6427</v>
    <v t="r">6428</v>
    <v t="r">6429</v>
    <v t="r">6430</v>
    <v t="r">6431</v>
    <v t="r">6432</v>
    <v t="r">6433</v>
    <v t="r">6434</v>
    <v t="r">6435</v>
    <v t="r">6436</v>
    <v t="r">6437</v>
    <v t="r">6438</v>
  </a>
  <a r="1">
    <v t="r">6449</v>
  </a>
  <a r="1">
    <v t="r">6459</v>
  </a>
  <a r="3">
    <v t="r">6486</v>
    <v t="r">6487</v>
    <v t="r">6488</v>
  </a>
  <a r="14">
    <v t="r">6500</v>
    <v t="r">6501</v>
    <v t="r">6502</v>
    <v t="r">6503</v>
    <v t="r">6504</v>
    <v t="r">6505</v>
    <v t="r">6506</v>
    <v t="r">6507</v>
    <v t="r">6508</v>
    <v t="r">6509</v>
    <v t="r">6510</v>
    <v t="r">6511</v>
    <v t="r">6512</v>
    <v t="r">6513</v>
  </a>
  <a r="1">
    <v t="r">6522</v>
  </a>
  <a r="2">
    <v t="r">6538</v>
    <v t="r">6539</v>
  </a>
  <a r="1">
    <v t="s">Standard Chinese</v>
  </a>
  <a r="8">
    <v t="r">6534</v>
    <v t="r">6537</v>
    <v t="r">6545</v>
    <v t="r">6546</v>
    <v t="r">6547</v>
    <v t="r">6548</v>
    <v t="r">6549</v>
    <v t="r">6550</v>
  </a>
  <a r="1">
    <v t="s">Taiwan time</v>
  </a>
  <a r="1">
    <v t="r">6557</v>
  </a>
  <a r="1">
    <v t="r">6565</v>
  </a>
  <a r="2">
    <v t="r">6593</v>
    <v t="r">6594</v>
  </a>
  <a r="2">
    <v t="s">Russian language</v>
    <v t="s">Tajik language</v>
  </a>
  <a r="4">
    <v t="r">6604</v>
    <v t="r">6605</v>
    <v t="r">6606</v>
    <v t="r">6607</v>
  </a>
  <a r="1">
    <v t="r">6616</v>
  </a>
  <a r="5">
    <v t="r">6644</v>
    <v t="r">6645</v>
    <v t="r">6646</v>
    <v t="r">6647</v>
    <v t="r">6648</v>
  </a>
  <a r="3">
    <v t="s">Arabic</v>
    <v t="s">English language</v>
    <v t="s">Swahili language</v>
  </a>
  <a r="36">
    <v t="r">6662</v>
    <v t="r">6663</v>
    <v t="r">6664</v>
    <v t="r">6665</v>
    <v t="r">6666</v>
    <v t="r">6667</v>
    <v t="r">6668</v>
    <v t="r">6669</v>
    <v t="r">6670</v>
    <v t="r">6671</v>
    <v t="r">6672</v>
    <v t="r">6673</v>
    <v t="r">6674</v>
    <v t="r">6675</v>
    <v t="r">6676</v>
    <v t="r">6677</v>
    <v t="r">6678</v>
    <v t="r">6679</v>
    <v t="r">6680</v>
    <v t="r">6681</v>
    <v t="r">6682</v>
    <v t="r">6683</v>
    <v t="r">6684</v>
    <v t="r">6685</v>
    <v t="r">6686</v>
    <v t="r">6687</v>
    <v t="r">6688</v>
    <v t="r">6689</v>
    <v t="r">6643</v>
    <v t="r">6690</v>
    <v t="r">6691</v>
    <v t="r">6692</v>
    <v t="r">6693</v>
    <v t="r">6694</v>
    <v t="r">6695</v>
    <v t="r">6696</v>
  </a>
  <a r="1">
    <v t="s">East Africa Time</v>
  </a>
  <a r="1">
    <v t="r">6707</v>
  </a>
  <a r="2">
    <v t="r">6741</v>
    <v t="r">6742</v>
  </a>
  <a r="1">
    <v t="s">Thai language</v>
  </a>
  <a r="76">
    <v t="r">6754</v>
    <v t="r">6755</v>
    <v t="r">6756</v>
    <v t="r">6757</v>
    <v t="r">6758</v>
    <v t="r">6759</v>
    <v t="r">6760</v>
    <v t="r">6761</v>
    <v t="r">6762</v>
    <v t="r">6763</v>
    <v t="r">6764</v>
    <v t="r">6765</v>
    <v t="r">6766</v>
    <v t="r">6767</v>
    <v t="r">6768</v>
    <v t="r">6769</v>
    <v t="r">6770</v>
    <v t="r">6771</v>
    <v t="r">6772</v>
    <v t="r">6773</v>
    <v t="r">6774</v>
    <v t="r">6775</v>
    <v t="r">6776</v>
    <v t="r">6777</v>
    <v t="r">6778</v>
    <v t="r">6779</v>
    <v t="r">6780</v>
    <v t="r">6781</v>
    <v t="r">6782</v>
    <v t="r">6783</v>
    <v t="r">6784</v>
    <v t="r">6785</v>
    <v t="r">6786</v>
    <v t="r">6787</v>
    <v t="r">6788</v>
    <v t="r">6789</v>
    <v t="r">6728</v>
    <v t="r">6790</v>
    <v t="r">6791</v>
    <v t="r">6792</v>
    <v t="r">6793</v>
    <v t="r">6794</v>
    <v t="r">6795</v>
    <v t="r">6796</v>
    <v t="r">6797</v>
    <v t="r">6798</v>
    <v t="r">6799</v>
    <v t="r">6800</v>
    <v t="r">6801</v>
    <v t="r">6802</v>
    <v t="r">6803</v>
    <v t="r">6804</v>
    <v t="r">6805</v>
    <v t="r">6806</v>
    <v t="r">6807</v>
    <v t="r">6808</v>
    <v t="r">6809</v>
    <v t="r">6810</v>
    <v t="r">6811</v>
    <v t="r">6812</v>
    <v t="r">6813</v>
    <v t="r">6814</v>
    <v t="r">6815</v>
    <v t="r">6816</v>
    <v t="r">6817</v>
    <v t="r">6818</v>
    <v t="r">6819</v>
    <v t="r">6820</v>
    <v t="r">6821</v>
    <v t="r">6822</v>
    <v t="r">6823</v>
    <v t="r">6824</v>
    <v t="r">6825</v>
    <v t="r">6826</v>
    <v t="r">6827</v>
    <v t="r">6828</v>
  </a>
  <a r="1">
    <v t="r">6837</v>
  </a>
  <a r="2">
    <v t="r">6863</v>
    <v t="r">6864</v>
  </a>
  <a r="5">
    <v t="r">6876</v>
    <v t="r">6877</v>
    <v t="r">6878</v>
    <v t="r">6879</v>
    <v t="r">6880</v>
  </a>
  <a r="1">
    <v t="r">6890</v>
  </a>
  <a r="2">
    <v t="r">6914</v>
    <v t="r">6915</v>
  </a>
  <a r="2">
    <v t="s">Tongan language</v>
    <v t="s">English language</v>
  </a>
  <a r="4">
    <v t="r">6957</v>
    <v t="r">6958</v>
    <v t="r">6959</v>
    <v t="r">6960</v>
  </a>
  <a r="1">
    <v t="s">Trinidadian and Tobagonian English</v>
  </a>
  <a r="14">
    <v t="r">6943</v>
    <v t="r">6956</v>
    <v t="r">6973</v>
    <v t="r">6974</v>
    <v t="r">6975</v>
    <v t="r">6976</v>
    <v t="r">6977</v>
    <v t="r">6978</v>
    <v t="r">6979</v>
    <v t="r">6980</v>
    <v t="r">6981</v>
    <v t="r">6982</v>
    <v t="r">6983</v>
    <v t="r">6984</v>
  </a>
  <a r="1">
    <v t="r">6993</v>
  </a>
  <a r="1">
    <v t="r">7000</v>
  </a>
  <a r="2">
    <v t="r">7025</v>
    <v t="r">7026</v>
  </a>
  <a r="24">
    <v t="r">7036</v>
    <v t="r">7037</v>
    <v t="r">7038</v>
    <v t="r">7039</v>
    <v t="r">7040</v>
    <v t="r">7041</v>
    <v t="r">7042</v>
    <v t="r">7043</v>
    <v t="r">7044</v>
    <v t="r">7045</v>
    <v t="r">7046</v>
    <v t="r">7047</v>
    <v t="r">7048</v>
    <v t="r">7049</v>
    <v t="r">7050</v>
    <v t="r">7051</v>
    <v t="r">7052</v>
    <v t="r">7053</v>
    <v t="r">7054</v>
    <v t="r">7055</v>
    <v t="r">7056</v>
    <v t="r">7057</v>
    <v t="r">7058</v>
    <v t="r">7059</v>
  </a>
  <a r="1">
    <v t="r">7070</v>
  </a>
  <a r="3">
    <v t="r">7097</v>
    <v t="r">7098</v>
    <v t="r">7099</v>
  </a>
  <a r="1">
    <v t="s">Turkish language</v>
  </a>
  <a r="81">
    <v t="r">7111</v>
    <v t="r">7112</v>
    <v t="r">7113</v>
    <v t="r">7114</v>
    <v t="r">7115</v>
    <v t="r">7116</v>
    <v t="r">7117</v>
    <v t="r">7118</v>
    <v t="r">7119</v>
    <v t="r">7120</v>
    <v t="r">7121</v>
    <v t="r">7122</v>
    <v t="r">7123</v>
    <v t="r">7124</v>
    <v t="r">7125</v>
    <v t="r">7126</v>
    <v t="r">7127</v>
    <v t="r">7128</v>
    <v t="r">7129</v>
    <v t="r">7130</v>
    <v t="r">7131</v>
    <v t="r">7132</v>
    <v t="r">7133</v>
    <v t="r">7134</v>
    <v t="r">7135</v>
    <v t="r">7136</v>
    <v t="r">7137</v>
    <v t="r">7138</v>
    <v t="r">7139</v>
    <v t="r">7140</v>
    <v t="r">7141</v>
    <v t="r">7142</v>
    <v t="r">7143</v>
    <v t="r">7144</v>
    <v t="r">7145</v>
    <v t="r">7146</v>
    <v t="r">7147</v>
    <v t="r">7148</v>
    <v t="r">7149</v>
    <v t="r">7150</v>
    <v t="r">7151</v>
    <v t="r">7152</v>
    <v t="r">7153</v>
    <v t="r">7154</v>
    <v t="r">7155</v>
    <v t="r">7156</v>
    <v t="r">7157</v>
    <v t="r">7158</v>
    <v t="r">7159</v>
    <v t="r">7160</v>
    <v t="r">7161</v>
    <v t="r">7162</v>
    <v t="r">7163</v>
    <v t="r">7164</v>
    <v t="r">7165</v>
    <v t="r">7166</v>
    <v t="r">7167</v>
    <v t="r">7168</v>
    <v t="r">7169</v>
    <v t="r">7170</v>
    <v t="r">7171</v>
    <v t="r">7172</v>
    <v t="r">7173</v>
    <v t="r">7174</v>
    <v t="r">7175</v>
    <v t="r">7176</v>
    <v t="r">7177</v>
    <v t="r">7178</v>
    <v t="r">7179</v>
    <v t="r">7180</v>
    <v t="r">7181</v>
    <v t="r">7182</v>
    <v t="r">7183</v>
    <v t="r">7184</v>
    <v t="r">7185</v>
    <v t="r">7186</v>
    <v t="r">7187</v>
    <v t="r">7188</v>
    <v t="r">7189</v>
    <v t="r">7190</v>
    <v t="r">7191</v>
  </a>
  <a r="2">
    <v t="r">7201</v>
    <v t="r">7202</v>
  </a>
  <a r="1">
    <v t="r">7211</v>
  </a>
  <a r="2">
    <v t="r">7236</v>
    <v t="r">7237</v>
  </a>
  <a r="1">
    <v t="s">Turkmen language</v>
  </a>
  <a r="6">
    <v t="r">7226</v>
    <v t="r">7246</v>
    <v t="r">7247</v>
    <v t="r">7248</v>
    <v t="r">7249</v>
    <v t="r">7250</v>
  </a>
  <a r="1">
    <v t="r">7257</v>
  </a>
  <a r="2">
    <v t="r">634</v>
    <v t="r">7276</v>
  </a>
  <a r="2">
    <v t="s">English language</v>
    <v t="s">Tuvaluan language</v>
  </a>
  <a r="3">
    <v t="r">7312</v>
    <v t="r">7313</v>
    <v t="r">7314</v>
  </a>
  <a r="2">
    <v t="s">Ugandan English</v>
    <v t="s">Swahili language</v>
  </a>
  <a r="112">
    <v t="r">7327</v>
    <v t="r">7328</v>
    <v t="r">7329</v>
    <v t="r">7330</v>
    <v t="r">7331</v>
    <v t="r">7332</v>
    <v t="r">7333</v>
    <v t="r">7334</v>
    <v t="r">7335</v>
    <v t="r">7336</v>
    <v t="r">7337</v>
    <v t="r">7338</v>
    <v t="r">7339</v>
    <v t="r">7340</v>
    <v t="r">7341</v>
    <v t="r">7342</v>
    <v t="r">7343</v>
    <v t="r">7344</v>
    <v t="r">7345</v>
    <v t="r">7346</v>
    <v t="r">7347</v>
    <v t="r">7348</v>
    <v t="r">7349</v>
    <v t="r">7350</v>
    <v t="r">7351</v>
    <v t="r">7352</v>
    <v t="r">7353</v>
    <v t="r">7354</v>
    <v t="r">7355</v>
    <v t="r">7356</v>
    <v t="r">7357</v>
    <v t="r">7358</v>
    <v t="r">7359</v>
    <v t="r">7360</v>
    <v t="r">7361</v>
    <v t="r">7362</v>
    <v t="r">7363</v>
    <v t="r">7364</v>
    <v t="r">7365</v>
    <v t="r">7366</v>
    <v t="r">7367</v>
    <v t="r">7368</v>
    <v t="r">7369</v>
    <v t="r">7370</v>
    <v t="r">7371</v>
    <v t="r">7372</v>
    <v t="r">7373</v>
    <v t="r">7374</v>
    <v t="r">7375</v>
    <v t="r">7376</v>
    <v t="r">7377</v>
    <v t="r">7378</v>
    <v t="r">7379</v>
    <v t="r">7380</v>
    <v t="r">7381</v>
    <v t="r">7382</v>
    <v t="r">7383</v>
    <v t="r">7384</v>
    <v t="r">7385</v>
    <v t="r">7386</v>
    <v t="r">7387</v>
    <v t="r">7388</v>
    <v t="r">7389</v>
    <v t="r">7390</v>
    <v t="r">7391</v>
    <v t="r">7392</v>
    <v t="r">7393</v>
    <v t="r">7394</v>
    <v t="r">7395</v>
    <v t="r">7396</v>
    <v t="r">7397</v>
    <v t="r">7398</v>
    <v t="r">7399</v>
    <v t="r">7400</v>
    <v t="r">7401</v>
    <v t="r">7402</v>
    <v t="r">7403</v>
    <v t="r">7404</v>
    <v t="r">7405</v>
    <v t="r">7406</v>
    <v t="r">7407</v>
    <v t="r">7408</v>
    <v t="r">7409</v>
    <v t="r">7410</v>
    <v t="r">7411</v>
    <v t="r">7412</v>
    <v t="r">7413</v>
    <v t="r">7414</v>
    <v t="r">7415</v>
    <v t="r">7416</v>
    <v t="r">7417</v>
    <v t="r">7418</v>
    <v t="r">7419</v>
    <v t="r">7420</v>
    <v t="r">7421</v>
    <v t="r">7422</v>
    <v t="r">7423</v>
    <v t="r">7424</v>
    <v t="r">7425</v>
    <v t="r">7426</v>
    <v t="r">7427</v>
    <v t="r">7428</v>
    <v t="r">7429</v>
    <v t="r">7430</v>
    <v t="r">7431</v>
    <v t="r">7432</v>
    <v t="r">7433</v>
    <v t="r">7434</v>
    <v t="r">7435</v>
    <v t="r">7436</v>
    <v t="r">7437</v>
    <v t="r">7438</v>
  </a>
  <a r="2">
    <v t="r">7470</v>
    <v t="r">7471</v>
  </a>
  <a r="1">
    <v t="s">Ukrainian language</v>
  </a>
  <a r="27">
    <v t="r">7457</v>
    <v t="r">7483</v>
    <v t="r">7484</v>
    <v t="r">7485</v>
    <v t="r">7486</v>
    <v t="r">7487</v>
    <v t="r">7488</v>
    <v t="r">7489</v>
    <v t="r">7490</v>
    <v t="r">7491</v>
    <v t="r">7492</v>
    <v t="r">7493</v>
    <v t="r">7494</v>
    <v t="r">7495</v>
    <v t="r">7496</v>
    <v t="r">7497</v>
    <v t="r">7498</v>
    <v t="r">7499</v>
    <v t="r">7500</v>
    <v t="r">7501</v>
    <v t="r">7502</v>
    <v t="r">7503</v>
    <v t="r">7504</v>
    <v t="r">7505</v>
    <v t="r">7506</v>
    <v t="r">7507</v>
    <v t="r">4783</v>
  </a>
  <a r="1">
    <v t="r">7516</v>
  </a>
  <a r="2">
    <v t="s">Eastern European Time</v>
    <v t="s">Daylight saving time</v>
  </a>
  <a r="2">
    <v t="r">7543</v>
    <v t="r">7544</v>
  </a>
  <a r="5">
    <v t="r">7553</v>
    <v t="r">7554</v>
    <v t="r">7555</v>
    <v t="r">7556</v>
    <v t="r">7557</v>
  </a>
  <a r="2">
    <v t="r">634</v>
    <v t="r">7596</v>
  </a>
  <a r="4">
    <v t="r">7607</v>
    <v t="r">7608</v>
    <v t="r">7609</v>
    <v t="r">7610</v>
  </a>
  <a r="2">
    <v t="s">Greenwich Mean Time</v>
    <v t="s">Western European Time</v>
  </a>
  <a r="1">
    <v t="r">7622</v>
  </a>
  <a r="4">
    <v t="r">7650</v>
    <v t="r">7651</v>
    <v t="r">7652</v>
    <v t="r">7653</v>
  </a>
  <a r="55">
    <v t="r">7665</v>
    <v t="r">7666</v>
    <v t="r">7667</v>
    <v t="r">7668</v>
    <v t="r">7669</v>
    <v t="r">7670</v>
    <v t="r">7671</v>
    <v t="r">7672</v>
    <v t="r">7673</v>
    <v t="r">7674</v>
    <v t="r">7675</v>
    <v t="r">7676</v>
    <v t="r">7677</v>
    <v t="r">7678</v>
    <v t="r">7679</v>
    <v t="r">7680</v>
    <v t="r">7681</v>
    <v t="r">7682</v>
    <v t="r">7683</v>
    <v t="r">7684</v>
    <v t="r">7685</v>
    <v t="r">7686</v>
    <v t="r">7687</v>
    <v t="r">7688</v>
    <v t="r">7689</v>
    <v t="r">7690</v>
    <v t="r">7691</v>
    <v t="r">7692</v>
    <v t="r">7693</v>
    <v t="r">7694</v>
    <v t="r">7695</v>
    <v t="r">7696</v>
    <v t="r">7697</v>
    <v t="r">7698</v>
    <v t="r">7699</v>
    <v t="r">7700</v>
    <v t="r">7701</v>
    <v t="r">7702</v>
    <v t="r">7703</v>
    <v t="r">7704</v>
    <v t="r">7705</v>
    <v t="r">7706</v>
    <v t="r">7707</v>
    <v t="r">7708</v>
    <v t="r">7709</v>
    <v t="r">7710</v>
    <v t="r">7711</v>
    <v t="r">7712</v>
    <v t="r">7713</v>
    <v t="r">7714</v>
    <v t="r">7715</v>
    <v t="r">7716</v>
    <v t="r">7717</v>
    <v t="r">7718</v>
    <v t="r">7719</v>
  </a>
  <a r="6">
    <v t="s">Samoa Time Zone</v>
    <v t="s">Atlantic Time Zone</v>
    <v t="s">Central Time Zone</v>
    <v t="s">Alaska Time Zone</v>
    <v t="s">Mountain Time Zone</v>
    <v t="s">Chamorro Time Zone</v>
  </a>
  <a r="1">
    <v t="r">7732</v>
  </a>
  <a r="1">
    <v t="s">Eastern Time Zone</v>
  </a>
  <a r="1">
    <v t="r">7751</v>
  </a>
  <a r="2">
    <v t="r">7778</v>
    <v t="r">7779</v>
  </a>
  <a r="2">
    <v t="s">Rioplatense Spanish</v>
    <v t="s">Uruguayan Sign Language</v>
  </a>
  <a r="19">
    <v t="r">7791</v>
    <v t="r">7792</v>
    <v t="r">7793</v>
    <v t="r">7794</v>
    <v t="r">7795</v>
    <v t="r">7796</v>
    <v t="r">7797</v>
    <v t="r">7798</v>
    <v t="r">7799</v>
    <v t="r">7800</v>
    <v t="r">7801</v>
    <v t="r">7802</v>
    <v t="r">7803</v>
    <v t="r">7804</v>
    <v t="r">7805</v>
    <v t="r">7806</v>
    <v t="r">7807</v>
    <v t="r">7808</v>
    <v t="r">7809</v>
  </a>
  <a r="2">
    <v t="r">7842</v>
    <v t="r">7843</v>
  </a>
  <a r="1">
    <v t="s">Uzbek language</v>
  </a>
  <a r="14">
    <v t="r">7830</v>
    <v t="r">7854</v>
    <v t="r">7855</v>
    <v t="r">7856</v>
    <v t="r">7857</v>
    <v t="r">7858</v>
    <v t="r">7859</v>
    <v t="r">7860</v>
    <v t="r">7861</v>
    <v t="r">7862</v>
    <v t="r">7863</v>
    <v t="r">7864</v>
    <v t="r">7865</v>
    <v t="r">7866</v>
  </a>
  <a r="2">
    <v t="r">7897</v>
    <v t="r">7898</v>
  </a>
  <a r="3">
    <v t="s">English language</v>
    <v t="s">Bislama</v>
    <v t="s">French language</v>
  </a>
  <a r="6">
    <v t="r">7908</v>
    <v t="r">7909</v>
    <v t="r">7910</v>
    <v t="r">7911</v>
    <v t="r">7912</v>
    <v t="r">7913</v>
  </a>
  <a r="1">
    <v t="r">7922</v>
  </a>
  <a r="1">
    <v t="r">7934</v>
  </a>
  <a r="2">
    <v t="s">Latin</v>
    <v t="s">Italian</v>
  </a>
  <a r="2">
    <v t="r">7964</v>
    <v t="r">7965</v>
  </a>
  <a r="1">
    <v t="s">Venezuelan Spanish</v>
  </a>
  <a r="25">
    <v t="r">7979</v>
    <v t="r">7980</v>
    <v t="r">7981</v>
    <v t="r">7982</v>
    <v t="r">7983</v>
    <v t="r">7984</v>
    <v t="r">7985</v>
    <v t="r">7986</v>
    <v t="r">7987</v>
    <v t="r">7988</v>
    <v t="r">7989</v>
    <v t="r">7990</v>
    <v t="r">7991</v>
    <v t="r">7992</v>
    <v t="r">7993</v>
    <v t="r">7994</v>
    <v t="r">7995</v>
    <v t="r">7996</v>
    <v t="r">7997</v>
    <v t="r">7998</v>
    <v t="r">7999</v>
    <v t="r">8000</v>
    <v t="r">8001</v>
    <v t="r">8002</v>
    <v t="r">8003</v>
  </a>
  <a r="2">
    <v t="r">8040</v>
    <v t="r">8041</v>
  </a>
  <a r="1">
    <v t="s">Vietnamese language</v>
  </a>
  <a r="62">
    <v t="r">8052</v>
    <v t="r">8053</v>
    <v t="r">8054</v>
    <v t="r">8055</v>
    <v t="r">8056</v>
    <v t="r">8057</v>
    <v t="r">8058</v>
    <v t="r">8059</v>
    <v t="r">8026</v>
    <v t="r">8060</v>
    <v t="r">8061</v>
    <v t="r">8062</v>
    <v t="r">8063</v>
    <v t="r">8064</v>
    <v t="r">8065</v>
    <v t="r">8066</v>
    <v t="r">8067</v>
    <v t="r">8068</v>
    <v t="r">8069</v>
    <v t="r">8070</v>
    <v t="r">8071</v>
    <v t="r">8072</v>
    <v t="r">8073</v>
    <v t="r">8074</v>
    <v t="r">8075</v>
    <v t="r">8076</v>
    <v t="r">8077</v>
    <v t="r">8078</v>
    <v t="r">8079</v>
    <v t="r">8080</v>
    <v t="r">8081</v>
    <v t="r">8082</v>
    <v t="r">8083</v>
    <v t="r">8084</v>
    <v t="r">8085</v>
    <v t="r">8086</v>
    <v t="r">8087</v>
    <v t="r">8088</v>
    <v t="r">8089</v>
    <v t="r">8090</v>
    <v t="r">8091</v>
    <v t="r">8092</v>
    <v t="r">8093</v>
    <v t="r">8094</v>
    <v t="r">8095</v>
    <v t="r">8096</v>
    <v t="r">8097</v>
    <v t="r">8098</v>
    <v t="r">8099</v>
    <v t="r">8039</v>
    <v t="r">8100</v>
    <v t="r">8101</v>
    <v t="r">8102</v>
    <v t="r">8103</v>
    <v t="r">8104</v>
    <v t="r">8105</v>
    <v t="r">8106</v>
    <v t="r">8107</v>
    <v t="r">8108</v>
    <v t="r">8109</v>
    <v t="r">8110</v>
    <v t="r">8111</v>
  </a>
  <a r="1">
    <v t="s">Indochina Time</v>
  </a>
  <a r="1">
    <v t="r">8153</v>
  </a>
  <a r="20">
    <v t="r">8161</v>
    <v t="r">8162</v>
    <v t="r">8163</v>
    <v t="r">8164</v>
    <v t="r">8165</v>
    <v t="r">8166</v>
    <v t="r">8167</v>
    <v t="r">8168</v>
    <v t="r">8169</v>
    <v t="r">8170</v>
    <v t="r">8171</v>
    <v t="r">8172</v>
    <v t="r">8173</v>
    <v t="r">8174</v>
    <v t="r">8175</v>
    <v t="r">8176</v>
    <v t="r">8177</v>
    <v t="r">8178</v>
    <v t="r">8179</v>
    <v t="r">8180</v>
  </a>
</arrayData>
</file>

<file path=xl/richData/rdrichvalue.xml><?xml version="1.0" encoding="utf-8"?>
<rvData xmlns="http://schemas.microsoft.com/office/spreadsheetml/2017/richdata" count="8217">
  <rv s="0">
    <v>536870912</v>
    <v>India</v>
    <v>85fa63d3-9596-adb9-b4eb-502273d84f56</v>
    <v>en-IN</v>
    <v>Map</v>
  </rv>
  <rv s="1">
    <fb>0.60447196445568596</fb>
    <v>24</v>
  </rv>
  <rv s="1">
    <fb>3287263</fb>
    <v>25</v>
  </rv>
  <rv s="1">
    <fb>3031000</fb>
    <v>25</v>
  </rv>
  <rv s="1">
    <fb>17.856999999999999</fb>
    <v>26</v>
  </rv>
  <rv s="1">
    <fb>91</fb>
    <v>27</v>
  </rv>
  <rv s="0">
    <v>536870912</v>
    <v>New Delhi</v>
    <v>b474d3c7-a39a-d5ba-7426-18e00042f03e</v>
    <v>en-IN</v>
    <v>Map</v>
  </rv>
  <rv s="1">
    <fb>2407671.5260000001</fb>
    <v>25</v>
  </rv>
  <rv s="1">
    <fb>180.43581241118</fb>
    <v>28</v>
  </rv>
  <rv s="1">
    <fb>7.6596947427925291E-2</fb>
    <v>24</v>
  </rv>
  <rv s="1">
    <fb>804.51422808927896</fb>
    <v>25</v>
  </rv>
  <rv s="1">
    <fb>2.222</fb>
    <v>26</v>
  </rv>
  <rv s="1">
    <fb>0.23833121474746</fb>
    <v>24</v>
  </rv>
  <rv s="1">
    <fb>73.576979087800794</fb>
    <v>29</v>
  </rv>
  <rv s="1">
    <fb>0.97</fb>
    <v>30</v>
  </rv>
  <rv s="1">
    <fb>2611000000000.0098</fb>
    <v>31</v>
  </rv>
  <rv s="1">
    <fb>1.1295785999999999</fb>
    <v>24</v>
  </rv>
  <rv s="1">
    <fb>0.28060550000000001</fb>
    <v>24</v>
  </rv>
  <rv s="2">
    <v>0</v>
    <v>22</v>
    <v>2</v>
    <v>7</v>
    <v>0</v>
    <v>Image of India</v>
  </rv>
  <rv s="1">
    <fb>29.9</fb>
    <v>29</v>
  </rv>
  <rv s="0">
    <v>536870912</v>
    <v>Mumbai</v>
    <v>fbbc8d69-667a-e1ff-34bf-e524be01025d</v>
    <v>en-IN</v>
    <v>Map</v>
  </rv>
  <rv s="0">
    <v>805306368</v>
    <v>Droupadi Murmu (President)</v>
    <v>adde4ff7-2867-52d2-5cee-2e1eb72876cd</v>
    <v>en-IN</v>
    <v>Generic</v>
  </rv>
  <rv s="0">
    <v>805306368</v>
    <v>Jagdeep Dhankhar (Vice president)</v>
    <v>cfa2e8c7-64e1-e81b-7e51-6da604f190d6</v>
    <v>en-IN</v>
    <v>Generic</v>
  </rv>
  <rv s="0">
    <v>805306368</v>
    <v>Narendra Modi (Prime minister)</v>
    <v>04fee623-e9bd-ee4b-f30d-cad3c29199e4</v>
    <v>en-IN</v>
    <v>Generic</v>
  </rv>
  <rv s="3">
    <v>0</v>
  </rv>
  <rv s="4">
    <v>https://www.bing.com/search?q=india&amp;form=skydnc</v>
    <v>Learn more on Bing</v>
  </rv>
  <rv s="1">
    <fb>69.415999999999997</fb>
    <v>29</v>
  </rv>
  <rv s="1">
    <fb>2179781240000</fb>
    <v>31</v>
  </rv>
  <rv s="1">
    <fb>145</fb>
    <v>29</v>
  </rv>
  <rv s="1">
    <fb>0.3</fb>
    <v>30</v>
  </rv>
  <rv s="3">
    <v>1</v>
  </rv>
  <rv s="1">
    <fb>0.65060906480000003</fb>
    <v>24</v>
  </rv>
  <rv s="1">
    <fb>0.85709999999999997</fb>
    <v>26</v>
  </rv>
  <rv s="1">
    <fb>1417173173</fb>
    <v>25</v>
  </rv>
  <rv s="1">
    <fb>0.20300000000000001</fb>
    <v>24</v>
  </rv>
  <rv s="1">
    <fb>0.317</fb>
    <v>24</v>
  </rv>
  <rv s="1">
    <fb>0.46200000000000002</fb>
    <v>24</v>
  </rv>
  <rv s="1">
    <fb>3.3000000000000002E-2</fb>
    <v>24</v>
  </rv>
  <rv s="1">
    <fb>7.6999999999999999E-2</fb>
    <v>24</v>
  </rv>
  <rv s="1">
    <fb>0.111</fb>
    <v>24</v>
  </rv>
  <rv s="1">
    <fb>0.14699999999999999</fb>
    <v>24</v>
  </rv>
  <rv s="1">
    <fb>0.49292999267578097</fb>
    <v>24</v>
  </rv>
  <rv s="0">
    <v>536870912</v>
    <v>Arunachal Pradesh</v>
    <v>c2da5cc2-b1a0-f17a-707d-e5067136b9e9</v>
    <v>en-IN</v>
    <v>Map</v>
  </rv>
  <rv s="0">
    <v>536870912</v>
    <v>Assam</v>
    <v>a9d4e5df-f559-c28f-dc41-7c72a82dfaf7</v>
    <v>en-IN</v>
    <v>Map</v>
  </rv>
  <rv s="0">
    <v>536870912</v>
    <v>Bihar</v>
    <v>e402c108-ade8-40dd-b6d7-f36882e8e3e3</v>
    <v>en-IN</v>
    <v>Map</v>
  </rv>
  <rv s="0">
    <v>536870912</v>
    <v>Chhattisgarh</v>
    <v>91e8d1d3-b929-8697-13f5-91241ae0d1b6</v>
    <v>en-IN</v>
    <v>Map</v>
  </rv>
  <rv s="0">
    <v>536870912</v>
    <v>Goa</v>
    <v>d9bda1c6-a2c4-994c-5335-195386cef40a</v>
    <v>en-IN</v>
    <v>Map</v>
  </rv>
  <rv s="0">
    <v>536870912</v>
    <v>Gujarat</v>
    <v>c70b768e-21ab-4f53-a356-564e8da2291e</v>
    <v>en-IN</v>
    <v>Map</v>
  </rv>
  <rv s="0">
    <v>536870912</v>
    <v>Haryana</v>
    <v>f50b36c9-0e06-9b0a-b657-100ebb295bb1</v>
    <v>en-IN</v>
    <v>Map</v>
  </rv>
  <rv s="0">
    <v>536870912</v>
    <v>Himachal Pradesh</v>
    <v>0e213229-adc2-378d-f093-949050fffa34</v>
    <v>en-IN</v>
    <v>Map</v>
  </rv>
  <rv s="0">
    <v>536870912</v>
    <v>Jharkhand</v>
    <v>9cf33868-3d76-c243-1cd3-91dda44b77e3</v>
    <v>en-IN</v>
    <v>Map</v>
  </rv>
  <rv s="0">
    <v>536870912</v>
    <v>Karnataka</v>
    <v>216903eb-bbc1-497e-b914-8eb69db6f747</v>
    <v>en-IN</v>
    <v>Map</v>
  </rv>
  <rv s="0">
    <v>536870912</v>
    <v>Kerala</v>
    <v>9d932c0c-d3e6-abbd-5274-6b53036ca764</v>
    <v>en-IN</v>
    <v>Map</v>
  </rv>
  <rv s="0">
    <v>536870912</v>
    <v>Madhya Pradesh</v>
    <v>bcbcd891-852b-6dac-1671-8d00b9eae5ea</v>
    <v>en-IN</v>
    <v>Map</v>
  </rv>
  <rv s="0">
    <v>536870912</v>
    <v>Maharashtra</v>
    <v>8e20e4dc-1423-75a9-a049-5e500370aafa</v>
    <v>en-IN</v>
    <v>Map</v>
  </rv>
  <rv s="0">
    <v>536870912</v>
    <v>Manipur</v>
    <v>774dc6a3-56a4-d8f3-26d2-6e2536af50a5</v>
    <v>en-IN</v>
    <v>Map</v>
  </rv>
  <rv s="0">
    <v>536870912</v>
    <v>Meghalaya</v>
    <v>b317786c-1e28-16cc-03ca-835f315a094d</v>
    <v>en-IN</v>
    <v>Map</v>
  </rv>
  <rv s="0">
    <v>536870912</v>
    <v>Mizoram</v>
    <v>a1dcfd92-e2ab-1111-48a2-8c885ebd1155</v>
    <v>en-IN</v>
    <v>Map</v>
  </rv>
  <rv s="0">
    <v>536870912</v>
    <v>Nagaland</v>
    <v>9097c945-eb0e-f294-cb7f-43ad572c6903</v>
    <v>en-IN</v>
    <v>Map</v>
  </rv>
  <rv s="0">
    <v>536870912</v>
    <v>Odisha</v>
    <v>becca699-9820-c027-8e14-b5840348a600</v>
    <v>en-IN</v>
    <v>Map</v>
  </rv>
  <rv s="0">
    <v>536870912</v>
    <v>Punjab</v>
    <v>d98d08e1-818e-a7ba-30a5-4637a11eec3e</v>
    <v>en-IN</v>
    <v>Map</v>
  </rv>
  <rv s="0">
    <v>536870912</v>
    <v>Rajasthan</v>
    <v>58d414c6-9557-d15b-60ff-52f256e32345</v>
    <v>en-IN</v>
    <v>Map</v>
  </rv>
  <rv s="0">
    <v>536870912</v>
    <v>Sikkim</v>
    <v>aa8e9a23-8c5b-d667-7f28-62e9ce93f9bd</v>
    <v>en-IN</v>
    <v>Map</v>
  </rv>
  <rv s="0">
    <v>536870912</v>
    <v>Tamil Nadu</v>
    <v>6e3e5a82-8737-a613-1d99-0b4d68370109</v>
    <v>en-IN</v>
    <v>Map</v>
  </rv>
  <rv s="0">
    <v>536870912</v>
    <v>Tripura</v>
    <v>a7fa8608-5e0d-f0d4-37a2-b87e3fe2b039</v>
    <v>en-IN</v>
    <v>Map</v>
  </rv>
  <rv s="0">
    <v>536870912</v>
    <v>Uttar Pradesh</v>
    <v>f624b656-1585-9836-7a98-128016c67d52</v>
    <v>en-IN</v>
    <v>Map</v>
  </rv>
  <rv s="0">
    <v>536870912</v>
    <v>Uttarakhand</v>
    <v>41a39bbc-6b82-df10-b345-3afffff3985d</v>
    <v>en-IN</v>
    <v>Map</v>
  </rv>
  <rv s="0">
    <v>536870912</v>
    <v>West Bengal</v>
    <v>067d886f-4d7d-8889-c8c7-d54e2dbc1cb8</v>
    <v>en-IN</v>
    <v>Map</v>
  </rv>
  <rv s="0">
    <v>536870912</v>
    <v>Andaman and Nicobar Islands</v>
    <v>0543bce3-574a-8949-ac01-944cd0418886</v>
    <v>en-IN</v>
    <v>Map</v>
  </rv>
  <rv s="0">
    <v>536870912</v>
    <v>Chandigarh</v>
    <v>10beaf9e-bdab-00b9-8037-79ffe16cf357</v>
    <v>en-IN</v>
    <v>Map</v>
  </rv>
  <rv s="0">
    <v>536870912</v>
    <v>Lakshadweep</v>
    <v>90dcf823-b8a7-5ca7-11dd-dcf29ea357f2</v>
    <v>en-IN</v>
    <v>Map</v>
  </rv>
  <rv s="0">
    <v>536870912</v>
    <v>Delhi</v>
    <v>275e8ab8-7bd0-4633-9c89-0133be92e587</v>
    <v>en-IN</v>
    <v>Map</v>
  </rv>
  <rv s="0">
    <v>536870912</v>
    <v>Puducherry</v>
    <v>6e0dc6cc-da9d-7f4a-75a8-85997485edfd</v>
    <v>en-IN</v>
    <v>Map</v>
  </rv>
  <rv s="0">
    <v>536870912</v>
    <v>Telangana</v>
    <v>19abdc7d-29ea-4ed5-99d8-3a1d7bc90b05</v>
    <v>en-IN</v>
    <v>Map</v>
  </rv>
  <rv s="0">
    <v>536870912</v>
    <v>Andhra Pradesh</v>
    <v>9e3a52bb-38ae-c817-5cd2-7a8dd2a4c0e5</v>
    <v>en-IN</v>
    <v>Map</v>
  </rv>
  <rv s="0">
    <v>536870912</v>
    <v>Ladakh</v>
    <v>a7a84d3a-9c83-e85a-7347-73d712e71fe2</v>
    <v>en-IN</v>
    <v>Map</v>
  </rv>
  <rv s="3">
    <v>2</v>
  </rv>
  <rv s="1">
    <fb>0.111799218352875</fb>
    <v>24</v>
  </rv>
  <rv s="3">
    <v>3</v>
  </rv>
  <rv s="1">
    <fb>0.49700000000000005</fb>
    <v>24</v>
  </rv>
  <rv s="1">
    <fb>5.35500001907349E-2</fb>
    <v>32</v>
  </rv>
  <rv s="1">
    <fb>471031528</fb>
    <v>25</v>
  </rv>
  <rv s="5">
    <v>#VALUE!</v>
    <v>en-IN</v>
    <v>85fa63d3-9596-adb9-b4eb-502273d84f56</v>
    <v>536870912</v>
    <v>1</v>
    <v>17</v>
    <v>18</v>
    <v>India</v>
    <v>20</v>
    <v>21</v>
    <v>Map</v>
    <v>22</v>
    <v>23</v>
    <v>IN</v>
    <v>1</v>
    <v>2</v>
    <v>3</v>
    <v>4</v>
    <v>5</v>
    <v>6</v>
    <v>7</v>
    <v>8</v>
    <v>9</v>
    <v>INR</v>
    <v>India, officially the Republic of India, is a country in South Asia. It is the seventh-largest country by area; the most populous country as of June 2023; and from the time of its independence in 1947, the world's most populous democracy. ...</v>
    <v>10</v>
    <v>11</v>
    <v>12</v>
    <v>13</v>
    <v>14</v>
    <v>15</v>
    <v>16</v>
    <v>17</v>
    <v>18</v>
    <v>19</v>
    <v>20</v>
    <v>24</v>
    <v>25</v>
    <v>26</v>
    <v>27</v>
    <v>28</v>
    <v>29</v>
    <v>India</v>
    <v>Jana Gana Mana</v>
    <v>30</v>
    <v>भारत गणराज्य</v>
    <v>31</v>
    <v>32</v>
    <v>33</v>
    <v>34</v>
    <v>35</v>
    <v>36</v>
    <v>37</v>
    <v>38</v>
    <v>39</v>
    <v>40</v>
    <v>41</v>
    <v>76</v>
    <v>77</v>
    <v>78</v>
    <v>79</v>
    <v>80</v>
    <v>India</v>
    <v>81</v>
    <v>mdp/vdpid/113</v>
  </rv>
  <rv s="1">
    <fb>42.7</fb>
    <v>25</v>
  </rv>
  <rv s="0">
    <v>536870912</v>
    <v>British Raj</v>
    <v>20193abe-79a7-473f-979c-a3cfdac8639a</v>
    <v>en-IN</v>
    <v>Map</v>
  </rv>
  <rv s="2">
    <v>1</v>
    <v>22</v>
    <v>33</v>
    <v>7</v>
    <v>0</v>
    <v>Image of New Delhi</v>
  </rv>
  <rv s="1">
    <fb>28.613895400000001</fb>
    <v>37</v>
  </rv>
  <rv s="4">
    <v>https://www.bing.com/search?q=new+delhi&amp;form=skydnc</v>
    <v>Learn more on Bing</v>
  </rv>
  <rv s="1">
    <fb>77.209005700000006</fb>
    <v>37</v>
  </rv>
  <rv s="1">
    <fb>249998</fb>
    <v>25</v>
  </rv>
  <rv s="6">
    <v>#VALUE!</v>
    <v>en-IN</v>
    <v>b474d3c7-a39a-d5ba-7426-18e00042f03e</v>
    <v>536870912</v>
    <v>1</v>
    <v>34</v>
    <v>35</v>
    <v>New Delhi</v>
    <v>20</v>
    <v>21</v>
    <v>Map</v>
    <v>22</v>
    <v>36</v>
    <v>83</v>
    <v>84</v>
    <v>New Delhi is the capital of India and a part of the National Capital Territory of Delhi. New Delhi is the seat of all three branches of the Government of India, hosting the Rashtrapati Bhavan, Sansad Bhavan, and the Supreme Court. New Delhi is a ...</v>
    <v>85</v>
    <v>86</v>
    <v>87</v>
    <v>88</v>
    <v>New Delhi</v>
    <v>89</v>
    <v>New Delhi</v>
    <v>mdp/vdpid/7408261014405251079</v>
  </rv>
  <rv s="1">
    <fb>603</fb>
    <v>25</v>
  </rv>
  <rv s="0">
    <v>536870912</v>
    <v>Portuguese Empire</v>
    <v>1a95d07c-0c64-1499-7127-ce82bc784e04</v>
    <v>en-IN</v>
    <v>Map</v>
  </rv>
  <rv s="2">
    <v>2</v>
    <v>22</v>
    <v>38</v>
    <v>7</v>
    <v>0</v>
    <v>Image of Mumbai</v>
  </rv>
  <rv s="1">
    <fb>19.0758333333333</fb>
    <v>37</v>
  </rv>
  <rv s="4">
    <v>https://www.bing.com/search?q=mumbai+india&amp;form=skydnc</v>
    <v>Learn more on Bing</v>
  </rv>
  <rv s="1">
    <fb>72.877499999999998</fb>
    <v>37</v>
  </rv>
  <rv s="1">
    <fb>15414288</fb>
    <v>25</v>
  </rv>
  <rv s="7">
    <v>#VALUE!</v>
    <v>en-IN</v>
    <v>fbbc8d69-667a-e1ff-34bf-e524be01025d</v>
    <v>536870912</v>
    <v>1</v>
    <v>39</v>
    <v>40</v>
    <v>Mumbai</v>
    <v>20</v>
    <v>21</v>
    <v>Map</v>
    <v>22</v>
    <v>41</v>
    <v>91</v>
    <v>92</v>
    <v>Mumbai is the capital city of the Indian state of Maharashtra. Mumbai is the de facto financial centre and the most populous city of India with an estimated city proper population of 12.5 million. Mumbai is the centre of the Mumbai Metropolitan ...</v>
    <v>93</v>
    <v>94</v>
    <v>95</v>
    <v>96</v>
    <v>Mumbai</v>
    <v>97</v>
    <v>78</v>
    <v>Mumbai</v>
    <v>mdp/vdpid/-7996806402</v>
  </rv>
  <rv s="2">
    <v>0</v>
    <v>22</v>
    <v>2</v>
    <v>3</v>
    <v>0</v>
    <v>Image of India</v>
  </rv>
  <rv s="8">
    <v>en-IN</v>
    <v>avyo8m</v>
    <v>268435456</v>
    <v>1</v>
    <v>Powered by Refinitiv</v>
    <v>42</v>
    <v>USD/INR</v>
    <v>43</v>
    <v>44</v>
    <v>Finance</v>
    <v>45</v>
    <v>88.891999999999996</v>
    <v>83.76</v>
    <v>0.20399999999999999</v>
    <v>2.323E-3</v>
    <v>INR</v>
    <v>USD</v>
    <v>88.027500000000003</v>
    <v>Currency Pair</v>
    <v>45957.217418981483</v>
    <v>87.790999999999997</v>
    <v>US Dollar/Indian Rupee FX Spot Rate</v>
    <v>87.781000000000006</v>
    <v>87.816000000000003</v>
    <v>88.02</v>
    <v>USDINR</v>
    <v>USD/INR</v>
  </rv>
  <rv s="9">
    <v>100</v>
  </rv>
  <rv s="4">
    <v>https://www.bing.com/financeapi/forcetrigger?t=bpocw7&amp;q=XNAS%3aBYND&amp;form=skydnc</v>
    <v>Learn more on Bing</v>
  </rv>
  <rv s="10">
    <v>en-IN</v>
    <v>bpocw7</v>
    <v>268435456</v>
    <v>1</v>
    <v>Powered by Refinitiv</v>
    <v>46</v>
    <v>BEYOND MEAT, INC. (XNAS:BYND)</v>
    <v>47</v>
    <v>48</v>
    <v>Finance</v>
    <v>49</v>
    <v>7.69</v>
    <v>0.50009999999999999</v>
    <v>2.2879999999999998</v>
    <v>-0.65500000000000003</v>
    <v>-7.5606000000000007E-2</v>
    <v>-0.23063400000000001</v>
    <v>-0.16520000000000001</v>
    <v>USD</v>
    <v>Beyond Meat, Inc. is a plant-based meat company offering a portfolio of plant-based meats. The Company sells a range of plant-based meat products across its three core platforms of beef, pork and poultry. The primary components of animal-based meat are amino acids, lipids, carbohydrates, trace minerals and water, which are not exclusive to animals and are plentiful in plants. Its beef platform products contain protein primarily derived from one or a combination of pea protein, rice protein, faba bean protein and wheat gluten. Its pork platform products include Beyond Sausage, Beyond Breakfast Sausage Patties, Beyond Breakfast Sausage Links and Beyond Sausage Crumbles. Its poultry platform consists of products that mimic animal-based chicken in its various merchandised forms, including chicken tenders, chicken nuggets and popcorn chicken. Its primary products under its poultry platform include Beyond Chicken Tenders, Beyond Chicken Nuggets and Beyond Popcorn Chicken.</v>
    <v>754</v>
    <v>Nasdaq Stock Market</v>
    <v>XNAS</v>
    <v>XNAS</v>
    <v>888 N. DOUGLAS STREET, SUITE 100, EL SEGUNDO, CA, 90245 US</v>
    <v>3.35</v>
    <v>Food &amp; Tobacco</v>
    <v>Stock</v>
    <v>45954.999999351559</v>
    <v>102</v>
    <v>2.08</v>
    <v>1423434000</v>
    <v>BEYOND MEAT, INC.</v>
    <v>BEYOND MEAT, INC.</v>
    <v>3.3149999999999999</v>
    <v>0</v>
    <v>2.84</v>
    <v>2.1850000000000001</v>
    <v>2.0198</v>
    <v>397607400</v>
    <v>BYND</v>
    <v>BEYOND MEAT, INC. (XNAS:BYND)</v>
    <v>803375330</v>
    <v>298211799</v>
    <v>2008</v>
  </rv>
  <rv s="9">
    <v>103</v>
  </rv>
  <rv s="0">
    <v>536870912</v>
    <v>Indonesia</v>
    <v>b4a5bd62-2259-21e3-4627-bf249ae6ee84</v>
    <v>en-IN</v>
    <v>Map</v>
  </rv>
  <rv s="1">
    <fb>0.31464420364656098</fb>
    <v>24</v>
  </rv>
  <rv s="1">
    <fb>1904570</fb>
    <v>25</v>
  </rv>
  <rv s="1">
    <fb>676000</fb>
    <v>25</v>
  </rv>
  <rv s="1">
    <fb>18.071999999999999</fb>
    <v>26</v>
  </rv>
  <rv s="1">
    <fb>62</fb>
    <v>27</v>
  </rv>
  <rv s="0">
    <v>536870912</v>
    <v>Jakarta</v>
    <v>6261fc72-a172-5cdd-9c67-a7644a026c29</v>
    <v>en-IN</v>
    <v>Map</v>
  </rv>
  <rv s="1">
    <fb>563324.54</fb>
    <v>25</v>
  </rv>
  <rv s="1">
    <fb>151.17667507135201</fb>
    <v>28</v>
  </rv>
  <rv s="1">
    <fb>3.0305866496949097E-2</fb>
    <v>24</v>
  </rv>
  <rv s="1">
    <fb>811.90690494758496</fb>
    <v>25</v>
  </rv>
  <rv s="1">
    <fb>2.3109999999999999</fb>
    <v>26</v>
  </rv>
  <rv s="1">
    <fb>0.49860398197419897</fb>
    <v>24</v>
  </rv>
  <rv s="1">
    <fb>66.089475456589</fb>
    <v>29</v>
  </rv>
  <rv s="1">
    <fb>0.63</fb>
    <v>30</v>
  </rv>
  <rv s="1">
    <fb>1119190780752.8</fb>
    <v>31</v>
  </rv>
  <rv s="1">
    <fb>1.0641081999999999</fb>
    <v>24</v>
  </rv>
  <rv s="1">
    <fb>0.3631104</fb>
    <v>24</v>
  </rv>
  <rv s="2">
    <v>3</v>
    <v>22</v>
    <v>51</v>
    <v>7</v>
    <v>0</v>
    <v>Image of Indonesia</v>
  </rv>
  <rv s="1">
    <fb>21.1</fb>
    <v>29</v>
  </rv>
  <rv s="0">
    <v>805306368</v>
    <v>Joko Widodo (President)</v>
    <v>0e561e59-7fca-ba4b-34f2-e33811030cff</v>
    <v>en-IN</v>
    <v>Generic</v>
  </rv>
  <rv s="0">
    <v>805306368</v>
    <v>Ma'ruf Amin (Vice president)</v>
    <v>29ff1220-4804-d4c1-f570-57918054b501</v>
    <v>en-IN</v>
    <v>Generic</v>
  </rv>
  <rv s="0">
    <v>805306368</v>
    <v>Puan Maharani (Speaker)</v>
    <v>bce5e50c-23e7-f796-fb15-4e7093b47fbe</v>
    <v>en-IN</v>
    <v>Generic</v>
  </rv>
  <rv s="0">
    <v>805306368</v>
    <v>Muhammad Syarifuddin (Chief justice)</v>
    <v>ab7548ae-c501-88f1-47f4-abfad7b0d383</v>
    <v>en-IN</v>
    <v>Generic</v>
  </rv>
  <rv s="3">
    <v>4</v>
  </rv>
  <rv s="4">
    <v>https://www.bing.com/search?q=indonesia&amp;form=skydnc</v>
    <v>Learn more on Bing</v>
  </rv>
  <rv s="1">
    <fb>71.509</fb>
    <v>29</v>
  </rv>
  <rv s="1">
    <fb>523321860000</fb>
    <v>31</v>
  </rv>
  <rv s="1">
    <fb>177</fb>
    <v>29</v>
  </rv>
  <rv s="1">
    <fb>0.48</fb>
    <v>30</v>
  </rv>
  <rv s="3">
    <v>5</v>
  </rv>
  <rv s="1">
    <fb>0.48302203660000004</fb>
    <v>24</v>
  </rv>
  <rv s="1">
    <fb>0.4269</fb>
    <v>26</v>
  </rv>
  <rv s="1">
    <fb>275501339</fb>
    <v>25</v>
  </rv>
  <rv s="1">
    <fb>0.217</fb>
    <v>24</v>
  </rv>
  <rv s="1">
    <fb>0.30399999999999999</fb>
    <v>24</v>
  </rv>
  <rv s="1">
    <fb>0.46100000000000002</fb>
    <v>24</v>
  </rv>
  <rv s="1">
    <fb>2.7999999999999997E-2</fb>
    <v>24</v>
  </rv>
  <rv s="1">
    <fb>6.7000000000000004E-2</fb>
    <v>24</v>
  </rv>
  <rv s="1">
    <fb>0.105</fb>
    <v>24</v>
  </rv>
  <rv s="1">
    <fb>0.14899999999999999</fb>
    <v>24</v>
  </rv>
  <rv s="1">
    <fb>0.67496002197265592</fb>
    <v>24</v>
  </rv>
  <rv s="0">
    <v>536870912</v>
    <v>Bali</v>
    <v>c4f6d9fa-e141-4316-1f4b-6dff75b71985</v>
    <v>en-IN</v>
    <v>Map</v>
  </rv>
  <rv s="0">
    <v>536870912</v>
    <v>Bangka Belitung Islands</v>
    <v>3af40073-e8c1-5118-afe5-3cbc63eec4de</v>
    <v>en-IN</v>
    <v>Map</v>
  </rv>
  <rv s="0">
    <v>536870912</v>
    <v>Banten</v>
    <v>b4e3eb01-c9fd-7eab-acf2-789027f22206</v>
    <v>en-IN</v>
    <v>Map</v>
  </rv>
  <rv s="0">
    <v>536870912</v>
    <v>Bengkulu</v>
    <v>ca439385-218f-1525-c930-ce7acb910fd2</v>
    <v>en-IN</v>
    <v>Map</v>
  </rv>
  <rv s="0">
    <v>536870912</v>
    <v>West Java</v>
    <v>931eb2be-2b48-b0ff-4997-05f06cf85b18</v>
    <v>en-IN</v>
    <v>Map</v>
  </rv>
  <rv s="0">
    <v>536870912</v>
    <v>Central Java</v>
    <v>39b12ecc-e3fb-184d-0602-e36314b32c5d</v>
    <v>en-IN</v>
    <v>Map</v>
  </rv>
  <rv s="0">
    <v>536870912</v>
    <v>East Java</v>
    <v>f76a129e-0160-9c71-d6b5-fb788a91af78</v>
    <v>en-IN</v>
    <v>Map</v>
  </rv>
  <rv s="0">
    <v>536870912</v>
    <v>Riau Islands</v>
    <v>e3471e28-8f42-6ecf-4ccf-4698fdb6ba7b</v>
    <v>en-IN</v>
    <v>Map</v>
  </rv>
  <rv s="0">
    <v>536870912</v>
    <v>Jambi</v>
    <v>f9f17551-f6f4-8e98-3914-364646c1f529</v>
    <v>en-IN</v>
    <v>Map</v>
  </rv>
  <rv s="0">
    <v>536870912</v>
    <v>Central Kalimantan</v>
    <v>8d3f7094-f4c0-94dc-e426-1fcab06739ff</v>
    <v>en-IN</v>
    <v>Map</v>
  </rv>
  <rv s="0">
    <v>536870912</v>
    <v>South Kalimantan</v>
    <v>d0e9b3fa-cc83-7afb-07e9-c2d457864e16</v>
    <v>en-IN</v>
    <v>Map</v>
  </rv>
  <rv s="0">
    <v>536870912</v>
    <v>West Kalimantan</v>
    <v>5febf7f0-5901-95c6-deac-984325a2c927</v>
    <v>en-IN</v>
    <v>Map</v>
  </rv>
  <rv s="0">
    <v>536870912</v>
    <v>East Kalimantan</v>
    <v>1c25ef68-f0fa-78fc-107b-520cea759d8a</v>
    <v>en-IN</v>
    <v>Map</v>
  </rv>
  <rv s="0">
    <v>536870912</v>
    <v>Lampung</v>
    <v>c37bf0bc-29d7-8a9d-c9ca-5d41aeee72da</v>
    <v>en-IN</v>
    <v>Map</v>
  </rv>
  <rv s="0">
    <v>536870912</v>
    <v>West Nusa Tenggara</v>
    <v>0407c75f-c808-9cce-028b-f2d85975e54a</v>
    <v>en-IN</v>
    <v>Map</v>
  </rv>
  <rv s="0">
    <v>536870912</v>
    <v>East Nusa Tenggara</v>
    <v>0f9a80a8-52fa-396b-9da0-b9128a05870d</v>
    <v>en-IN</v>
    <v>Map</v>
  </rv>
  <rv s="0">
    <v>536870912</v>
    <v>Gorontalo</v>
    <v>e2330abd-3509-8dcd-5446-d0bdb068233e</v>
    <v>en-IN</v>
    <v>Map</v>
  </rv>
  <rv s="0">
    <v>536870912</v>
    <v>Maluku</v>
    <v>39a3c290-4f4b-b61e-f197-a09ae7642267</v>
    <v>en-IN</v>
    <v>Map</v>
  </rv>
  <rv s="0">
    <v>536870912</v>
    <v>North Maluku</v>
    <v>4d1d7c2d-e3a4-666c-5b1d-1a8b18de3a5c</v>
    <v>en-IN</v>
    <v>Map</v>
  </rv>
  <rv s="0">
    <v>536870912</v>
    <v>Papua</v>
    <v>0f2c1326-0491-269f-31e1-74488078a32a</v>
    <v>en-IN</v>
    <v>Map</v>
  </rv>
  <rv s="0">
    <v>536870912</v>
    <v>West Papua</v>
    <v>2bd66757-1154-0845-4ab3-b533eaafb66a</v>
    <v>en-IN</v>
    <v>Map</v>
  </rv>
  <rv s="0">
    <v>536870912</v>
    <v>Central Sulawesi</v>
    <v>fca0651b-c50d-6497-3564-cf378d76f7ca</v>
    <v>en-IN</v>
    <v>Map</v>
  </rv>
  <rv s="0">
    <v>536870912</v>
    <v>West Sulawesi</v>
    <v>50e1c5b6-8c37-abe2-96fd-7b0ddfe17455</v>
    <v>en-IN</v>
    <v>Map</v>
  </rv>
  <rv s="0">
    <v>536870912</v>
    <v>South Sulawesi</v>
    <v>f6bf6682-f96f-24d6-1b1b-b05c77b899cd</v>
    <v>en-IN</v>
    <v>Map</v>
  </rv>
  <rv s="0">
    <v>536870912</v>
    <v>North Sulawesi</v>
    <v>70a8dc2d-0ecd-0471-3c78-516c671329a4</v>
    <v>en-IN</v>
    <v>Map</v>
  </rv>
  <rv s="0">
    <v>536870912</v>
    <v>Southeast Sulawesi</v>
    <v>4aff599f-5e3f-801e-344a-16dcaacba1b8</v>
    <v>en-IN</v>
    <v>Map</v>
  </rv>
  <rv s="0">
    <v>536870912</v>
    <v>South Sumatra</v>
    <v>3f0b33c1-6f1e-a592-3d72-2b8e053c5609</v>
    <v>en-IN</v>
    <v>Map</v>
  </rv>
  <rv s="0">
    <v>536870912</v>
    <v>West Sumatra</v>
    <v>3ad5cdb7-7630-6662-ae72-367bbd112dc0</v>
    <v>en-IN</v>
    <v>Map</v>
  </rv>
  <rv s="0">
    <v>536870912</v>
    <v>North Sumatra</v>
    <v>42ca1f6c-e43e-bf42-fe72-4ad9e000d932</v>
    <v>en-IN</v>
    <v>Map</v>
  </rv>
  <rv s="0">
    <v>536870912</v>
    <v>Aceh</v>
    <v>a7512e23-3525-d514-b5ee-6adb3af70ca0</v>
    <v>en-IN</v>
    <v>Map</v>
  </rv>
  <rv s="0">
    <v>536870912</v>
    <v>Special Region of Yogyakarta</v>
    <v>7a5ea5db-f9d5-434b-8ed3-d1dbe5b4e377</v>
    <v>en-IN</v>
    <v>Map</v>
  </rv>
  <rv s="0">
    <v>536870912</v>
    <v>North Kalimantan</v>
    <v>669e45da-91e6-45ec-af06-a29b2ed52f69</v>
    <v>en-IN</v>
    <v>Map</v>
  </rv>
  <rv s="0">
    <v>536870912</v>
    <v>Riau</v>
    <v>f537ab07-cdad-a175-50d8-b58eb136e125</v>
    <v>en-IN</v>
    <v>Map</v>
  </rv>
  <rv s="3">
    <v>6</v>
  </rv>
  <rv s="1">
    <fb>0.10230449477737399</fb>
    <v>24</v>
  </rv>
  <rv s="3">
    <v>7</v>
  </rv>
  <rv s="1">
    <fb>0.30099999999999999</fb>
    <v>24</v>
  </rv>
  <rv s="1">
    <fb>4.6869997978210398E-2</fb>
    <v>32</v>
  </rv>
  <rv s="1">
    <fb>151509724</fb>
    <v>25</v>
  </rv>
  <rv s="5">
    <v>#VALUE!</v>
    <v>en-IN</v>
    <v>b4a5bd62-2259-21e3-4627-bf249ae6ee84</v>
    <v>536870912</v>
    <v>1</v>
    <v>54</v>
    <v>18</v>
    <v>Indonesia</v>
    <v>20</v>
    <v>21</v>
    <v>Map</v>
    <v>22</v>
    <v>55</v>
    <v>ID</v>
    <v>106</v>
    <v>107</v>
    <v>108</v>
    <v>109</v>
    <v>110</v>
    <v>111</v>
    <v>112</v>
    <v>113</v>
    <v>114</v>
    <v>IDR</v>
    <v>Indonesia, officially the Republic of Indonesia, is a country in Southeast Asia and Oceania between the Indian and Pacific oceans. It consists of over 17,000 islands, including Sumatra, Java, Sulawesi, and parts of Borneo and New Guinea. ...</v>
    <v>115</v>
    <v>116</v>
    <v>117</v>
    <v>118</v>
    <v>119</v>
    <v>120</v>
    <v>121</v>
    <v>122</v>
    <v>123</v>
    <v>124</v>
    <v>111</v>
    <v>129</v>
    <v>130</v>
    <v>131</v>
    <v>132</v>
    <v>133</v>
    <v>134</v>
    <v>Indonesia</v>
    <v>Indonesia Raya</v>
    <v>135</v>
    <v>Republik Indonesia</v>
    <v>136</v>
    <v>137</v>
    <v>138</v>
    <v>139</v>
    <v>140</v>
    <v>141</v>
    <v>142</v>
    <v>143</v>
    <v>144</v>
    <v>145</v>
    <v>146</v>
    <v>180</v>
    <v>181</v>
    <v>182</v>
    <v>183</v>
    <v>184</v>
    <v>Indonesia</v>
    <v>185</v>
    <v>mdp/vdpid/111</v>
  </rv>
  <rv s="1">
    <fb>662</fb>
    <v>25</v>
  </rv>
  <rv s="1">
    <fb>2508869</fb>
    <v>25</v>
  </rv>
  <rv s="2">
    <v>4</v>
    <v>22</v>
    <v>56</v>
    <v>7</v>
    <v>0</v>
    <v>Image of Jakarta</v>
  </rv>
  <rv s="0">
    <v>805306368</v>
    <v>Heru Budi Hartono (Governor)</v>
    <v>18d82d1f-8110-1c2c-0d66-6078ab31b3ba</v>
    <v>en-IN</v>
    <v>Generic</v>
  </rv>
  <rv s="3">
    <v>8</v>
  </rv>
  <rv s="4">
    <v>https://www.bing.com/search?q=jakarta&amp;form=skydnc</v>
    <v>Learn more on Bing</v>
  </rv>
  <rv s="1">
    <fb>3.83</fb>
    <v>26</v>
  </rv>
  <rv s="1">
    <fb>10562088</fb>
    <v>25</v>
  </rv>
  <rv s="3">
    <v>9</v>
  </rv>
  <rv s="11">
    <v>#VALUE!</v>
    <v>en-IN</v>
    <v>6261fc72-a172-5cdd-9c67-a7644a026c29</v>
    <v>536870912</v>
    <v>1</v>
    <v>59</v>
    <v>60</v>
    <v>Jakarta</v>
    <v>20</v>
    <v>21</v>
    <v>Map</v>
    <v>22</v>
    <v>61</v>
    <v>ID-JK</v>
    <v>187</v>
    <v>105</v>
    <v>Jakarta, officially the Special Capital Region of Jakarta and formerly Batavia, is the capital and largest metropolis of Indonesia. Lying on the northwest coast of Java, the world's most populous island, Jakarta is the largest metropole in ...</v>
    <v>188</v>
    <v>189</v>
    <v>191</v>
    <v>192</v>
    <v>Jakarta</v>
    <v>193</v>
    <v>194</v>
    <v>195</v>
    <v>Jakarta</v>
    <v>mdp/vdpid/8661190776430002177</v>
  </rv>
  <rv s="2">
    <v>3</v>
    <v>22</v>
    <v>51</v>
    <v>3</v>
    <v>0</v>
    <v>Image of Indonesia</v>
  </rv>
  <rv s="8">
    <v>en-IN</v>
    <v>avcpf2</v>
    <v>268435456</v>
    <v>1</v>
    <v>Powered by Refinitiv</v>
    <v>42</v>
    <v>INR/USD</v>
    <v>43</v>
    <v>62</v>
    <v>Finance</v>
    <v>45</v>
    <v>1.1939999999999999E-2</v>
    <v>1.124E-2</v>
    <v>-2.1999999999999999E-5</v>
    <v>-1.933E-3</v>
    <v>USD</v>
    <v>INR</v>
    <v>1.1390000000000001E-2</v>
    <v>Currency Pair</v>
    <v>45957.217615740738</v>
    <v>1.136E-2</v>
    <v>Indian Rupee/US Dollar FX Cross Rate</v>
    <v>1.1390000000000001E-2</v>
    <v>1.1379999999999999E-2</v>
    <v>1.136E-2</v>
    <v>INRUSD</v>
    <v>INR/USD</v>
  </rv>
  <rv s="9">
    <v>198</v>
  </rv>
  <rv s="4">
    <v>https://www.bing.com/financeapi/forcetrigger?t=c2mtww&amp;q=XNAS%3aHOOD&amp;form=skydnc</v>
    <v>Learn more on Bing</v>
  </rv>
  <rv s="10">
    <v>en-IN</v>
    <v>c2mtww</v>
    <v>268435456</v>
    <v>1</v>
    <v>Powered by Refinitiv</v>
    <v>46</v>
    <v>ROBINHOOD MARKETS, INC. (XNAS:HOOD)</v>
    <v>47</v>
    <v>48</v>
    <v>Finance</v>
    <v>49</v>
    <v>153.85990000000001</v>
    <v>23</v>
    <v>2.4316</v>
    <v>5.46</v>
    <v>-3.5770000000000002E-4</v>
    <v>4.0646000000000002E-2</v>
    <v>-0.05</v>
    <v>USD</v>
    <v>Robinhood Markets, Inc. is creating a financial services platform for everyone, regardless of their wealth, income, or background. It uses technology to provide access to the financial system. Its offerings include Brokerage, Robinhood Crypto, Custody, Robinhood Wallet, Robinhood Gold, and Robinhood Gold Card. Its Brokerage services include investing, options trading, fractional trading, recurring investment, access to investing on margin, fully paid securities lending, cash sweep, instant withdrawals, Robinhood retirement, 24-hour market, joint investing accounts, and event contracts. It also offers a variety of ways for its customers to grow their financial knowledge, including Robinhood Learn, In-App Education, Newsfeeds, Sherwood Snacks, and Crypto Learn and Earn. Its self-clearing system, order routing system, data platform, and other back-end infrastructure deliver the capabilities that allow its customers to focus on investing, saving and spending.</v>
    <v>2300</v>
    <v>Nasdaq Stock Market</v>
    <v>XNAS</v>
    <v>XNAS</v>
    <v>85 Willow Road, MENLO PARK, CA, 94025 US</v>
    <v>142.19990000000001</v>
    <v>Financial Technology (Fintech) &amp; Infrastructure</v>
    <v>Stock</v>
    <v>45954.999949687503</v>
    <v>200</v>
    <v>137.1</v>
    <v>113057200000</v>
    <v>ROBINHOOD MARKETS, INC.</v>
    <v>ROBINHOOD MARKETS, INC.</v>
    <v>137.99</v>
    <v>71.250900000000001</v>
    <v>134.33000000000001</v>
    <v>139.79</v>
    <v>139.74</v>
    <v>888675100</v>
    <v>HOOD</v>
    <v>ROBINHOOD MARKETS, INC. (XNAS:HOOD)</v>
    <v>24330362</v>
    <v>37802026</v>
    <v>2013</v>
  </rv>
  <rv s="9">
    <v>201</v>
  </rv>
  <rv s="0">
    <v>536870912</v>
    <v>Iran</v>
    <v>502b5268-992d-26c9-a0d8-6f206338406e</v>
    <v>en-IN</v>
    <v>Map</v>
  </rv>
  <rv s="1">
    <fb>0.28214101525086599</fb>
    <v>24</v>
  </rv>
  <rv s="1">
    <fb>1648195</fb>
    <v>25</v>
  </rv>
  <rv s="1">
    <fb>563000</fb>
    <v>25</v>
  </rv>
  <rv s="1">
    <fb>18.783000000000001</fb>
    <v>26</v>
  </rv>
  <rv s="1">
    <fb>98</fb>
    <v>27</v>
  </rv>
  <rv s="0">
    <v>536870912</v>
    <v>Tehran</v>
    <v>08033170-d738-6401-e42a-fb99d1cdb464</v>
    <v>en-IN</v>
    <v>Map</v>
  </rv>
  <rv s="1">
    <fb>661710.15</fb>
    <v>25</v>
  </rv>
  <rv s="1">
    <fb>550.92942529120603</fb>
    <v>28</v>
  </rv>
  <rv s="1">
    <fb>0.39907345569778302</fb>
    <v>24</v>
  </rv>
  <rv s="1">
    <fb>3022.12256298599</fb>
    <v>25</v>
  </rv>
  <rv s="1">
    <fb>2.137</fb>
    <v>26</v>
  </rv>
  <rv s="1">
    <fb>6.5644910660563896E-2</fb>
    <v>24</v>
  </rv>
  <rv s="1">
    <fb>99.022580545301807</fb>
    <v>29</v>
  </rv>
  <rv s="1">
    <fb>0.39900000000000002</fb>
    <v>30</v>
  </rv>
  <rv s="1">
    <fb>445345282122.68201</fb>
    <v>31</v>
  </rv>
  <rv s="1">
    <fb>1.1070754</fb>
    <v>24</v>
  </rv>
  <rv s="1">
    <fb>0.68116089999999996</fb>
    <v>24</v>
  </rv>
  <rv s="2">
    <v>5</v>
    <v>22</v>
    <v>64</v>
    <v>7</v>
    <v>0</v>
    <v>Image of Iran</v>
  </rv>
  <rv s="1">
    <fb>12.4</fb>
    <v>29</v>
  </rv>
  <rv s="0">
    <v>805306368</v>
    <v>Ebrahim Raisi (President)</v>
    <v>f6890262-5877-5b01-f045-08a22405151a</v>
    <v>en-IN</v>
    <v>Generic</v>
  </rv>
  <rv s="0">
    <v>805306368</v>
    <v>Mohammad Mokhber (Vice president)</v>
    <v>45d90aad-c01e-a851-658c-09fad03ed79e</v>
    <v>en-IN</v>
    <v>Generic</v>
  </rv>
  <rv s="0">
    <v>805306368</v>
    <v>Gholam-Hossein Mohseni-Eje'i (Chief justice)</v>
    <v>aa921332-9ec4-ca0e-ee7c-ac735a1d2180</v>
    <v>en-IN</v>
    <v>Generic</v>
  </rv>
  <rv s="3">
    <v>10</v>
  </rv>
  <rv s="4">
    <v>https://www.bing.com/search?q=iran&amp;form=skydnc</v>
    <v>Learn more on Bing</v>
  </rv>
  <rv s="1">
    <fb>76.478999999999999</fb>
    <v>29</v>
  </rv>
  <rv s="1">
    <fb>320671170000</fb>
    <v>31</v>
  </rv>
  <rv s="1">
    <fb>16</fb>
    <v>29</v>
  </rv>
  <rv s="1">
    <fb>1.58</fb>
    <v>30</v>
  </rv>
  <rv s="3">
    <v>11</v>
  </rv>
  <rv s="1">
    <fb>0.39660448610000004</fb>
    <v>24</v>
  </rv>
  <rv s="1">
    <fb>1.5844</fb>
    <v>26</v>
  </rv>
  <rv s="1">
    <fb>88550570</fb>
    <v>25</v>
  </rv>
  <rv s="1">
    <fb>0.313</fb>
    <v>24</v>
  </rv>
  <rv s="1">
    <fb>0.47299999999999998</fb>
    <v>24</v>
  </rv>
  <rv s="1">
    <fb>2.3E-2</fb>
    <v>24</v>
  </rv>
  <rv s="1">
    <fb>5.9000000000000004E-2</fb>
    <v>24</v>
  </rv>
  <rv s="1">
    <fb>0.10300000000000001</fb>
    <v>24</v>
  </rv>
  <rv s="1">
    <fb>0.14800000000000002</fb>
    <v>24</v>
  </rv>
  <rv s="1">
    <fb>0.44665000915527303</fb>
    <v>24</v>
  </rv>
  <rv s="0">
    <v>536870912</v>
    <v>Alborz Province</v>
    <v>66c9eac0-c4e8-2333-d1be-f21b1098d79a</v>
    <v>en-IN</v>
    <v>Map</v>
  </rv>
  <rv s="0">
    <v>536870912</v>
    <v>Ardabil Province</v>
    <v>994b085d-87cd-a2cf-655d-3738c811cdd2</v>
    <v>en-IN</v>
    <v>Map</v>
  </rv>
  <rv s="0">
    <v>536870912</v>
    <v>East Azerbaijan Province</v>
    <v>531fd7c6-750a-b737-95aa-2f1ab091cc91</v>
    <v>en-IN</v>
    <v>Map</v>
  </rv>
  <rv s="0">
    <v>536870912</v>
    <v>West Azerbaijan Province</v>
    <v>89116434-a768-1a92-cdbc-74079e682993</v>
    <v>en-IN</v>
    <v>Map</v>
  </rv>
  <rv s="0">
    <v>536870912</v>
    <v>Bushehr Province</v>
    <v>62953c64-d6d7-2073-9308-f8ed0bfe146e</v>
    <v>en-IN</v>
    <v>Map</v>
  </rv>
  <rv s="0">
    <v>536870912</v>
    <v>Chaharmahal and Bakhtiari Province</v>
    <v>0bfd0257-fe88-a6c8-5367-46d1631721d8</v>
    <v>en-IN</v>
    <v>Map</v>
  </rv>
  <rv s="0">
    <v>536870912</v>
    <v>Gilan Province</v>
    <v>db0914ff-df15-1063-7595-74dbd12c3aae</v>
    <v>en-IN</v>
    <v>Map</v>
  </rv>
  <rv s="0">
    <v>536870912</v>
    <v>Golestan Province</v>
    <v>a23c0ea9-01b2-8118-a5e4-2a53d7fb4626</v>
    <v>en-IN</v>
    <v>Map</v>
  </rv>
  <rv s="0">
    <v>536870912</v>
    <v>Hamadan Province</v>
    <v>d5f615e9-bf2f-266e-64f4-c28377525be4</v>
    <v>en-IN</v>
    <v>Map</v>
  </rv>
  <rv s="0">
    <v>536870912</v>
    <v>Hormozgan Province</v>
    <v>0160b099-16ad-74c7-1a20-339387a370ed</v>
    <v>en-IN</v>
    <v>Map</v>
  </rv>
  <rv s="0">
    <v>536870912</v>
    <v>Ilam Province</v>
    <v>a9e1faab-baf5-137d-ad56-03f736246062</v>
    <v>en-IN</v>
    <v>Map</v>
  </rv>
  <rv s="0">
    <v>536870912</v>
    <v>Isfahan Province</v>
    <v>4022a6c3-7bcc-4676-5024-429ab1ecc696</v>
    <v>en-IN</v>
    <v>Map</v>
  </rv>
  <rv s="0">
    <v>536870912</v>
    <v>Kerman Province</v>
    <v>bd0ecca5-c067-2866-df85-6561772a5047</v>
    <v>en-IN</v>
    <v>Map</v>
  </rv>
  <rv s="0">
    <v>536870912</v>
    <v>Fars Province</v>
    <v>fd111ba5-7619-faa5-73e2-a796aea35ee7</v>
    <v>en-IN</v>
    <v>Map</v>
  </rv>
  <rv s="0">
    <v>536870912</v>
    <v>Kermanshah Province</v>
    <v>41f82821-fc42-f7e6-82d5-1b1d67d46918</v>
    <v>en-IN</v>
    <v>Map</v>
  </rv>
  <rv s="0">
    <v>536870912</v>
    <v>North Khorasan Province</v>
    <v>ededbb54-c42e-94d6-dcb7-7f0c95b4b2f6</v>
    <v>en-IN</v>
    <v>Map</v>
  </rv>
  <rv s="0">
    <v>536870912</v>
    <v>Razavi Khorasan Province</v>
    <v>d91481fe-1948-7d21-b73a-ef76cfe6cc2f</v>
    <v>en-IN</v>
    <v>Map</v>
  </rv>
  <rv s="0">
    <v>536870912</v>
    <v>South Khorasan Province</v>
    <v>57351c6f-537e-a60d-dc3e-42f26ceb5beb</v>
    <v>en-IN</v>
    <v>Map</v>
  </rv>
  <rv s="0">
    <v>536870912</v>
    <v>Khuzestan Province</v>
    <v>d4da6f11-b626-7462-2eb6-92ccbaefd598</v>
    <v>en-IN</v>
    <v>Map</v>
  </rv>
  <rv s="0">
    <v>536870912</v>
    <v>Kohgiluyeh and Boyer-Ahmad Province</v>
    <v>77fd77e4-d88b-c618-90dc-8b94a0153762</v>
    <v>en-IN</v>
    <v>Map</v>
  </rv>
  <rv s="0">
    <v>536870912</v>
    <v>Kurdistan Province</v>
    <v>1f375948-64b3-9284-de6f-2ff234646411</v>
    <v>en-IN</v>
    <v>Map</v>
  </rv>
  <rv s="0">
    <v>536870912</v>
    <v>Lorestan Province</v>
    <v>bc07ad7f-7d4d-0ce3-bf40-0f3110ee347e</v>
    <v>en-IN</v>
    <v>Map</v>
  </rv>
  <rv s="0">
    <v>536870912</v>
    <v>Markazi Province</v>
    <v>74a98de5-f513-05de-e393-2ee9b6bde5f3</v>
    <v>en-IN</v>
    <v>Map</v>
  </rv>
  <rv s="0">
    <v>536870912</v>
    <v>Mazandaran Province</v>
    <v>8a159f70-e646-4c49-58c1-d5a659067e70</v>
    <v>en-IN</v>
    <v>Map</v>
  </rv>
  <rv s="0">
    <v>536870912</v>
    <v>Qazvin Province</v>
    <v>be611459-bea4-d0b9-8a01-5f9f60dece66</v>
    <v>en-IN</v>
    <v>Map</v>
  </rv>
  <rv s="0">
    <v>536870912</v>
    <v>Qom Province</v>
    <v>4c07dffd-2448-48c4-f5ce-19194133e4e2</v>
    <v>en-IN</v>
    <v>Map</v>
  </rv>
  <rv s="0">
    <v>536870912</v>
    <v>Semnan Province</v>
    <v>8d837b29-00f5-cab1-18ee-1b1fd9ca63f2</v>
    <v>en-IN</v>
    <v>Map</v>
  </rv>
  <rv s="0">
    <v>536870912</v>
    <v>Sistan and Baluchestan Province</v>
    <v>2d95c855-b0e0-2466-ad69-a9f6f6331b7c</v>
    <v>en-IN</v>
    <v>Map</v>
  </rv>
  <rv s="0">
    <v>536870912</v>
    <v>Tehran Province</v>
    <v>81d792e6-ee52-813f-a6d7-fc8cd5e36603</v>
    <v>en-IN</v>
    <v>Map</v>
  </rv>
  <rv s="0">
    <v>536870912</v>
    <v>Yazd Province</v>
    <v>9b83fcd2-dae0-a8b0-ab71-00b4783202db</v>
    <v>en-IN</v>
    <v>Map</v>
  </rv>
  <rv s="0">
    <v>536870912</v>
    <v>Zanjan Province</v>
    <v>9d382a3e-0bd0-f81e-753b-d5d66aa64a99</v>
    <v>en-IN</v>
    <v>Map</v>
  </rv>
  <rv s="3">
    <v>12</v>
  </rv>
  <rv s="1">
    <fb>7.3584780414963205E-2</fb>
    <v>24</v>
  </rv>
  <rv s="3">
    <v>13</v>
  </rv>
  <rv s="1">
    <fb>0.44700000000000001</fb>
    <v>24</v>
  </rv>
  <rv s="1">
    <fb>0.11381999969482401</fb>
    <v>32</v>
  </rv>
  <rv s="1">
    <fb>62509623</fb>
    <v>25</v>
  </rv>
  <rv s="5">
    <v>#VALUE!</v>
    <v>en-IN</v>
    <v>502b5268-992d-26c9-a0d8-6f206338406e</v>
    <v>536870912</v>
    <v>1</v>
    <v>67</v>
    <v>18</v>
    <v>Iran</v>
    <v>20</v>
    <v>21</v>
    <v>Map</v>
    <v>22</v>
    <v>68</v>
    <v>IR</v>
    <v>204</v>
    <v>205</v>
    <v>206</v>
    <v>207</v>
    <v>208</v>
    <v>209</v>
    <v>210</v>
    <v>211</v>
    <v>212</v>
    <v>IRR</v>
    <v>Iran, also known as Persia and officially as the Islamic Republic of Iran, is a country in West Asia. It is bordered by Iraq and Turkey to the west, Azerbaijan and Armenia to the northwest, the Caspian Sea and Turkmenistan to the north, ...</v>
    <v>213</v>
    <v>214</v>
    <v>215</v>
    <v>216</v>
    <v>217</v>
    <v>218</v>
    <v>219</v>
    <v>220</v>
    <v>221</v>
    <v>222</v>
    <v>209</v>
    <v>226</v>
    <v>227</v>
    <v>228</v>
    <v>229</v>
    <v>230</v>
    <v>231</v>
    <v>Iran</v>
    <v>National Anthem of the Islamic Republic of Iran</v>
    <v>232</v>
    <v>جمهوری اسلامی ایران</v>
    <v>233</v>
    <v>234</v>
    <v>235</v>
    <v>139</v>
    <v>236</v>
    <v>237</v>
    <v>238</v>
    <v>239</v>
    <v>240</v>
    <v>241</v>
    <v>242</v>
    <v>274</v>
    <v>275</v>
    <v>276</v>
    <v>277</v>
    <v>278</v>
    <v>Iran</v>
    <v>279</v>
    <v>mdp/vdpid/116</v>
  </rv>
  <rv s="1">
    <fb>686</fb>
    <v>25</v>
  </rv>
  <rv s="2">
    <v>6</v>
    <v>22</v>
    <v>69</v>
    <v>7</v>
    <v>0</v>
    <v>Image of Tehran</v>
  </rv>
  <rv s="1">
    <fb>35.700000000000003</fb>
    <v>37</v>
  </rv>
  <rv s="0">
    <v>805306368</v>
    <v>Alireza Zakani (Mayor)</v>
    <v>29dc17c2-71e3-4d06-8b28-cbe9efeb0bc5</v>
    <v>en-IN</v>
    <v>Generic</v>
  </rv>
  <rv s="3">
    <v>14</v>
  </rv>
  <rv s="4">
    <v>https://www.bing.com/search?q=tehran+iran&amp;form=skydnc</v>
    <v>Learn more on Bing</v>
  </rv>
  <rv s="1">
    <fb>51.416666666666998</fb>
    <v>37</v>
  </rv>
  <rv s="1">
    <fb>8693706</fb>
    <v>25</v>
  </rv>
  <rv s="12">
    <v>#VALUE!</v>
    <v>en-IN</v>
    <v>08033170-d738-6401-e42a-fb99d1cdb464</v>
    <v>536870912</v>
    <v>1</v>
    <v>70</v>
    <v>71</v>
    <v>Tehran</v>
    <v>20</v>
    <v>21</v>
    <v>Map</v>
    <v>22</v>
    <v>72</v>
    <v>281</v>
    <v>203</v>
    <v>Tehran is the capital and most populous city of Iran, capital of Tehran province and Tehran county. Tehran city had a population of 9,039,000 in the estimate of 2022 and according to the 2018 estimate of the United Nations, it is the 34th most ...</v>
    <v>282</v>
    <v>283</v>
    <v>285</v>
    <v>286</v>
    <v>287</v>
    <v>Tehran</v>
    <v>288</v>
    <v>276</v>
    <v>Tehran</v>
    <v>mdp/vdpid/7357863082678288385</v>
  </rv>
  <rv s="2">
    <v>5</v>
    <v>22</v>
    <v>64</v>
    <v>3</v>
    <v>0</v>
    <v>Image of Iran</v>
  </rv>
  <rv s="8">
    <v>en-IN</v>
    <v>av932w</v>
    <v>268435456</v>
    <v>1</v>
    <v>Powered by Refinitiv</v>
    <v>42</v>
    <v>EUR/USD</v>
    <v>43</v>
    <v>62</v>
    <v>Finance</v>
    <v>45</v>
    <v>1.1918</v>
    <v>1.0176000000000001</v>
    <v>-4.0000000000000002E-4</v>
    <v>-3.4410000000000002E-4</v>
    <v>USD</v>
    <v>EUR</v>
    <v>1.1647000000000001</v>
    <v>Currency Pair</v>
    <v>45957.217592592591</v>
    <v>1.1618999999999999</v>
    <v>Euro/US Dollar FX Spot Rate</v>
    <v>1.1625000000000001</v>
    <v>1.1625000000000001</v>
    <v>1.1620999999999999</v>
    <v>EURUSD</v>
    <v>EUR/USD</v>
  </rv>
  <rv s="9">
    <v>291</v>
  </rv>
  <rv s="4">
    <v>https://www.bing.com/financeapi/forcetrigger?t=brfjjc&amp;q=XNAS%3aPTON&amp;form=skydnc</v>
    <v>Learn more on Bing</v>
  </rv>
  <rv s="10">
    <v>en-IN</v>
    <v>brfjjc</v>
    <v>268435456</v>
    <v>1</v>
    <v>Powered by Refinitiv</v>
    <v>46</v>
    <v>PELOTON INTERACTIVE, INC. (XNAS:PTON)</v>
    <v>47</v>
    <v>48</v>
    <v>Finance</v>
    <v>49</v>
    <v>10.895</v>
    <v>4.63</v>
    <v>2.3607999999999998</v>
    <v>0.32</v>
    <v>-2.5580000000000004E-3</v>
    <v>4.2667000000000004E-2</v>
    <v>-0.02</v>
    <v>USD</v>
    <v>Peloton Interactive, Inc. is a global fitness company. The Company is a category innovator at the nexus of fitness, technology, and media, with a subscription platform that combines hardware, distinctive software, and exclusive content. Its segments include Connected Fitness Products and Subscription. The Company’s Connected Fitness Products portfolio includes the Peloton Bike, Bike+, Tread, Tread+, Guide, Row, and various Precor products. Access to the Peloton App is available with an All-Access or Guide Membership for Members who have Connected Fitness Products or through a standalone App Membership with multiple Membership tiers. Access to the Strength+ App is available with an All Access, Guide, or App+ Membership or through a standalone Strength+ subscription. The Company’s subscriptions provide access to Peloton content and its library of live and on-demand fitness classes. The Company’s subscriptions are offered on a month-to-month or prepaid basis.</v>
    <v>2605</v>
    <v>Nasdaq Stock Market</v>
    <v>XNAS</v>
    <v>XNAS</v>
    <v>C/O Peloton Interactive, Inc., 441 Ninth Ave., Sixth Floor, NEW YORK, NY, 10001 US</v>
    <v>7.9649999999999999</v>
    <v>Leisure Products</v>
    <v>Stock</v>
    <v>45954.999376839842</v>
    <v>293</v>
    <v>7.52</v>
    <v>3172400000</v>
    <v>PELOTON INTERACTIVE, INC.</v>
    <v>PELOTON INTERACTIVE, INC.</v>
    <v>7.59</v>
    <v>0</v>
    <v>7.5</v>
    <v>7.82</v>
    <v>7.8</v>
    <v>407763500</v>
    <v>PTON</v>
    <v>PELOTON INTERACTIVE, INC. (XNAS:PTON)</v>
    <v>11990045</v>
    <v>14689840</v>
    <v>2015</v>
  </rv>
  <rv s="9">
    <v>294</v>
  </rv>
  <rv s="0">
    <v>536870912</v>
    <v>Iraq</v>
    <v>3e3c9969-4616-9bac-b7c5-bb8633513f4c</v>
    <v>en-IN</v>
    <v>Map</v>
  </rv>
  <rv s="1">
    <fb>0.21422252959124199</fb>
    <v>24</v>
  </rv>
  <rv s="1">
    <fb>437072</fb>
    <v>25</v>
  </rv>
  <rv s="1">
    <fb>209000</fb>
    <v>25</v>
  </rv>
  <rv s="1">
    <fb>29.074999999999999</fb>
    <v>26</v>
  </rv>
  <rv s="1">
    <fb>964</fb>
    <v>27</v>
  </rv>
  <rv s="0">
    <v>536870912</v>
    <v>Baghdad</v>
    <v>b7cfa129-5958-3a59-439a-4802f071eeac</v>
    <v>en-IN</v>
    <v>Map</v>
  </rv>
  <rv s="1">
    <fb>190060.61</fb>
    <v>25</v>
  </rv>
  <rv s="1">
    <fb>119.85717385744201</fb>
    <v>28</v>
  </rv>
  <rv s="1">
    <fb>3.6744148893681E-3</fb>
    <v>24</v>
  </rv>
  <rv s="1">
    <fb>1328.23041622952</fb>
    <v>25</v>
  </rv>
  <rv s="1">
    <fb>3.6720000000000002</fb>
    <v>26</v>
  </rv>
  <rv s="1">
    <fb>1.9003611495997198E-2</fb>
    <v>24</v>
  </rv>
  <rv s="1">
    <fb>95.984176783301507</fb>
    <v>29</v>
  </rv>
  <rv s="1">
    <fb>0.61</fb>
    <v>30</v>
  </rv>
  <rv s="1">
    <fb>234094042938.91699</fb>
    <v>31</v>
  </rv>
  <rv s="1">
    <fb>1.0868902</fb>
    <v>24</v>
  </rv>
  <rv s="1">
    <fb>0.16157419999999997</fb>
    <v>24</v>
  </rv>
  <rv s="2">
    <v>7</v>
    <v>22</v>
    <v>74</v>
    <v>7</v>
    <v>0</v>
    <v>Image of Iraq</v>
  </rv>
  <rv s="1">
    <fb>22.5</fb>
    <v>29</v>
  </rv>
  <rv s="0">
    <v>805306368</v>
    <v>Abdul Latif Rashid (President)</v>
    <v>6272ab9c-be64-794f-ea2f-f4a6332535d4</v>
    <v>en-IN</v>
    <v>Generic</v>
  </rv>
  <rv s="0">
    <v>805306368</v>
    <v>Mohammed Shia' Al Sudani (Prime minister)</v>
    <v>cac45bad-be45-4dcf-b4fd-9b3cea8e950a</v>
    <v>en-IN</v>
    <v>Generic</v>
  </rv>
  <rv s="0">
    <v>805306368</v>
    <v>Mohamed al-Halbousi (Speaker)</v>
    <v>cfcfd362-e3d3-cc6b-12f5-3067abf01e80</v>
    <v>en-IN</v>
    <v>Generic</v>
  </rv>
  <rv s="0">
    <v>805306368</v>
    <v>Faiq Zidan (Chief justice)</v>
    <v>07f81886-ec7c-4cb3-6031-f27da5069762</v>
    <v>en-IN</v>
    <v>Generic</v>
  </rv>
  <rv s="3">
    <v>15</v>
  </rv>
  <rv s="4">
    <v>https://www.bing.com/search?q=iraq&amp;form=skydnc</v>
    <v>Learn more on Bing</v>
  </rv>
  <rv s="1">
    <fb>70.453999999999994</fb>
    <v>29</v>
  </rv>
  <rv s="1">
    <fb>79</fb>
    <v>29</v>
  </rv>
  <rv s="1">
    <fb>1.24</fb>
    <v>30</v>
  </rv>
  <rv s="3">
    <v>16</v>
  </rv>
  <rv s="1">
    <fb>0.76469981270000009</fb>
    <v>24</v>
  </rv>
  <rv s="1">
    <fb>0.70789999999999997</fb>
    <v>26</v>
  </rv>
  <rv s="1">
    <fb>44496122</fb>
    <v>25</v>
  </rv>
  <rv s="1">
    <fb>0.22500000000000001</fb>
    <v>24</v>
  </rv>
  <rv s="1">
    <fb>0.23699999999999999</fb>
    <v>24</v>
  </rv>
  <rv s="1">
    <fb>0.38500000000000001</fb>
    <v>24</v>
  </rv>
  <rv s="1">
    <fb>3.7000000000000005E-2</fb>
    <v>24</v>
  </rv>
  <rv s="1">
    <fb>8.8000000000000009E-2</fb>
    <v>24</v>
  </rv>
  <rv s="1">
    <fb>0.13100000000000001</fb>
    <v>24</v>
  </rv>
  <rv s="1">
    <fb>0.17100000000000001</fb>
    <v>24</v>
  </rv>
  <rv s="1">
    <fb>0.42997001647949196</fb>
    <v>24</v>
  </rv>
  <rv s="0">
    <v>536870912</v>
    <v>Baghdad Governorate</v>
    <v>6d053cd1-96c7-e036-c501-d0fe961f607a</v>
    <v>en-IN</v>
    <v>Map</v>
  </rv>
  <rv s="0">
    <v>536870912</v>
    <v>Saladin Governorate</v>
    <v>f417a2e9-3e38-7c9e-e3db-8fb2beb71bfd</v>
    <v>en-IN</v>
    <v>Map</v>
  </rv>
  <rv s="0">
    <v>536870912</v>
    <v>Diyala Governorate</v>
    <v>3c14a6d5-c67f-f045-d7d1-5acfa4f5a1d5</v>
    <v>en-IN</v>
    <v>Map</v>
  </rv>
  <rv s="0">
    <v>536870912</v>
    <v>Wasit Governorate</v>
    <v>e7dd5c14-548a-bf0a-e2a5-cee8805ef7d3</v>
    <v>en-IN</v>
    <v>Map</v>
  </rv>
  <rv s="0">
    <v>536870912</v>
    <v>Maysan Governorate</v>
    <v>6ac5fd4c-e2f2-1158-cc23-b487c25e16a4</v>
    <v>en-IN</v>
    <v>Map</v>
  </rv>
  <rv s="0">
    <v>536870912</v>
    <v>Basra Governorate</v>
    <v>4d839ef8-f010-4362-b54f-ddc708f3f2dc</v>
    <v>en-IN</v>
    <v>Map</v>
  </rv>
  <rv s="0">
    <v>536870912</v>
    <v>Dhi Qar Governorate</v>
    <v>87e958d1-deeb-2f8e-f7dd-1e5bf8ee318c</v>
    <v>en-IN</v>
    <v>Map</v>
  </rv>
  <rv s="0">
    <v>536870912</v>
    <v>Al Muthanna Governorate</v>
    <v>571e5a03-dc27-6f59-51ee-86e7f927682d</v>
    <v>en-IN</v>
    <v>Map</v>
  </rv>
  <rv s="0">
    <v>536870912</v>
    <v>Al-Qādisiyyah Governorate</v>
    <v>763339e9-b8c9-2ff7-ed37-da22dbe44104</v>
    <v>en-IN</v>
    <v>Map</v>
  </rv>
  <rv s="0">
    <v>536870912</v>
    <v>Babylon Governorate</v>
    <v>025e1042-0bda-7f20-06a9-fbb805f2de10</v>
    <v>en-IN</v>
    <v>Map</v>
  </rv>
  <rv s="0">
    <v>536870912</v>
    <v>Karbala Governorate</v>
    <v>7fbda097-33ad-0482-1f5e-6bee704d43fc</v>
    <v>en-IN</v>
    <v>Map</v>
  </rv>
  <rv s="0">
    <v>536870912</v>
    <v>Najaf Governorate</v>
    <v>decd161a-a9d7-95e0-5421-91fabc475993</v>
    <v>en-IN</v>
    <v>Map</v>
  </rv>
  <rv s="0">
    <v>536870912</v>
    <v>Al Anbar Governorate</v>
    <v>3ad9269c-6739-8c53-99fd-ab97969a7cb2</v>
    <v>en-IN</v>
    <v>Map</v>
  </rv>
  <rv s="0">
    <v>536870912</v>
    <v>Nineveh Governorate</v>
    <v>56f8cbda-faed-f5bb-9ad0-ae8608949062</v>
    <v>en-IN</v>
    <v>Map</v>
  </rv>
  <rv s="0">
    <v>536870912</v>
    <v>Duhok Governorate</v>
    <v>881051a8-20e5-648b-b15d-05817893068c</v>
    <v>en-IN</v>
    <v>Map</v>
  </rv>
  <rv s="0">
    <v>536870912</v>
    <v>Erbil Governorate</v>
    <v>376b86d1-3536-d6e8-9e29-cd1db1e65516</v>
    <v>en-IN</v>
    <v>Map</v>
  </rv>
  <rv s="0">
    <v>536870912</v>
    <v>Kirkuk Governorate</v>
    <v>47399a30-a91e-9069-7bdf-cee58d5893fd</v>
    <v>en-IN</v>
    <v>Map</v>
  </rv>
  <rv s="0">
    <v>536870912</v>
    <v>Sulaymaniyah Governorate</v>
    <v>7befb795-325d-caee-b2cc-732933527bfd</v>
    <v>en-IN</v>
    <v>Map</v>
  </rv>
  <rv s="3">
    <v>17</v>
  </rv>
  <rv s="1">
    <fb>1.9794690664270798E-2</fb>
    <v>24</v>
  </rv>
  <rv s="1">
    <fb>0.308</fb>
    <v>24</v>
  </rv>
  <rv s="1">
    <fb>0.12821999549865701</fb>
    <v>32</v>
  </rv>
  <rv s="1">
    <fb>27783368</fb>
    <v>25</v>
  </rv>
  <rv s="13">
    <v>#VALUE!</v>
    <v>en-IN</v>
    <v>3e3c9969-4616-9bac-b7c5-bb8633513f4c</v>
    <v>536870912</v>
    <v>1</v>
    <v>77</v>
    <v>78</v>
    <v>Iraq</v>
    <v>20</v>
    <v>21</v>
    <v>Map</v>
    <v>22</v>
    <v>79</v>
    <v>IQ</v>
    <v>297</v>
    <v>298</v>
    <v>299</v>
    <v>300</v>
    <v>301</v>
    <v>302</v>
    <v>303</v>
    <v>304</v>
    <v>305</v>
    <v>IQD</v>
    <v>Iraq, officially the Republic of Iraq, is a country in the Middle East. It is a federal parliamentary republic that consists of 19 governorates. The country is bordered by Turkey to the north, Iran to the east, the Persian Gulf and Kuwait to the ...</v>
    <v>306</v>
    <v>307</v>
    <v>308</v>
    <v>309</v>
    <v>310</v>
    <v>311</v>
    <v>312</v>
    <v>313</v>
    <v>314</v>
    <v>315</v>
    <v>302</v>
    <v>320</v>
    <v>321</v>
    <v>322</v>
    <v>323</v>
    <v>324</v>
    <v>Iraq</v>
    <v>Mawtini</v>
    <v>325</v>
    <v>la République d’Irak</v>
    <v>326</v>
    <v>327</v>
    <v>328</v>
    <v>329</v>
    <v>330</v>
    <v>331</v>
    <v>332</v>
    <v>333</v>
    <v>334</v>
    <v>335</v>
    <v>336</v>
    <v>355</v>
    <v>356</v>
    <v>357</v>
    <v>358</v>
    <v>Iraq</v>
    <v>359</v>
    <v>mdp/vdpid/121</v>
  </rv>
  <rv s="1">
    <fb>204.2</fb>
    <v>25</v>
  </rv>
  <rv s="0">
    <v>536870912</v>
    <v>Ottoman Empire</v>
    <v>0c338db5-c8ae-34d9-8c36-b66fbb5a1277</v>
    <v>en-IN</v>
    <v>Map</v>
  </rv>
  <rv s="2">
    <v>8</v>
    <v>22</v>
    <v>80</v>
    <v>7</v>
    <v>0</v>
    <v>Image of Baghdad</v>
  </rv>
  <rv s="1">
    <fb>33.315277777777801</fb>
    <v>37</v>
  </rv>
  <rv s="0">
    <v>805306368</v>
    <v>Alaa Al-Amari (Mayor)</v>
    <v>3cb7618e-edda-cc59-b9d5-8f8a28d59ff1</v>
    <v>en-IN</v>
    <v>Generic</v>
  </rv>
  <rv s="3">
    <v>18</v>
  </rv>
  <rv s="4">
    <v>https://www.bing.com/search?q=baghdad&amp;form=skydnc</v>
    <v>Learn more on Bing</v>
  </rv>
  <rv s="1">
    <fb>44.366111111111103</fb>
    <v>37</v>
  </rv>
  <rv s="1">
    <fb>8126755</fb>
    <v>25</v>
  </rv>
  <rv s="14">
    <v>#VALUE!</v>
    <v>en-IN</v>
    <v>b7cfa129-5958-3a59-439a-4802f071eeac</v>
    <v>536870912</v>
    <v>1</v>
    <v>81</v>
    <v>82</v>
    <v>Baghdad</v>
    <v>20</v>
    <v>21</v>
    <v>Map</v>
    <v>22</v>
    <v>41</v>
    <v>337</v>
    <v>361</v>
    <v>362</v>
    <v>Baghdad is the capital of Iraq and the second-largest city in the Arab world after Cairo. It is located on the Tigris river. In 762 AD, Baghdad was chosen as the capital of the Abbasid Caliphate, and became its most notable major development ...</v>
    <v>363</v>
    <v>364</v>
    <v>366</v>
    <v>367</v>
    <v>368</v>
    <v>Baghdad</v>
    <v>369</v>
    <v>Baghdad</v>
    <v>mdp/vdpid/7271808439951556609</v>
  </rv>
  <rv s="2">
    <v>7</v>
    <v>22</v>
    <v>74</v>
    <v>3</v>
    <v>0</v>
    <v>Image of Iraq</v>
  </rv>
  <rv s="8">
    <v>en-IN</v>
    <v>avyn9c</v>
    <v>268435456</v>
    <v>1</v>
    <v>Powered by Refinitiv</v>
    <v>42</v>
    <v>USD/EUR</v>
    <v>43</v>
    <v>83</v>
    <v>Finance</v>
    <v>45</v>
    <v>0.98240000000000005</v>
    <v>0.83889999999999998</v>
    <v>1E-4</v>
    <v>1.1629999999999999E-4</v>
    <v>EUR</v>
    <v>USD</v>
    <v>0.86070000000000002</v>
    <v>Currency Pair</v>
    <v>45957.217592592591</v>
    <v>0.85860000000000003</v>
    <v>US Dollar/Euro FX Cross Rate</v>
    <v>0.86009999999999998</v>
    <v>0.86009999999999998</v>
    <v>0.86019999999999996</v>
    <v>USDEUR</v>
    <v>USD/EUR</v>
  </rv>
  <rv s="9">
    <v>372</v>
  </rv>
  <rv s="4">
    <v>https://www.bing.com/financeapi/forcetrigger?t=b6m84c&amp;q=XNAS%3aLYFT&amp;form=skydnc</v>
    <v>Learn more on Bing</v>
  </rv>
  <rv s="10">
    <v>en-IN</v>
    <v>b6m84c</v>
    <v>268435456</v>
    <v>1</v>
    <v>Powered by Refinitiv</v>
    <v>46</v>
    <v>LYFT, INC. (XNAS:LYFT)</v>
    <v>47</v>
    <v>48</v>
    <v>Finance</v>
    <v>49</v>
    <v>23.5</v>
    <v>9.66</v>
    <v>2.3795000000000002</v>
    <v>-0.1</v>
    <v>-4.885E-4</v>
    <v>-4.8609999999999999E-3</v>
    <v>-0.01</v>
    <v>USD</v>
    <v>Lyft, Inc. is a global mobility platform offering rideshare, taxis, private hire vehicles, car sharing, bikes, and scooters across North America and Europe. It operates across 11 countries and in nearly 1,000 cities, and Lyft Urban Solutions supports bike sharing in 16 countries and more than 86 cities. Its Lyft mobile application (the Lyft App) connects riders with drivers for on-demand ride services and supports a variety of other multimodal mobility solutions. Its offerings on the Lyft App include an expanded set of transportation modes in select cities, such as access to a network of shared bikes and scooters (Light Vehicles) for shorter rides and first-mile and last-mile legs of multimodal trips. FREENOW by Lyft is the European taxi app featuring broad multi-mobility options. Through FREENOW, passengers can access various mobility services within a single app, including taxis, private hire vehicles, car sharing, car rental, e-scooters, e-bikes, e-mopeds, and public transport.</v>
    <v>2934</v>
    <v>Nasdaq Stock Market</v>
    <v>XNAS</v>
    <v>XNAS</v>
    <v>185 Berry Street, Suite 400, SAN FRANCISCO, CA, 94107 US</v>
    <v>20.966000000000001</v>
    <v>Software &amp; IT Services</v>
    <v>Stock</v>
    <v>45954.999440693748</v>
    <v>374</v>
    <v>20.375</v>
    <v>8234505000</v>
    <v>LYFT, INC.</v>
    <v>LYFT, INC.</v>
    <v>20.87</v>
    <v>95.927599999999998</v>
    <v>20.57</v>
    <v>20.47</v>
    <v>20.46</v>
    <v>406441500</v>
    <v>LYFT</v>
    <v>LYFT, INC. (XNAS:LYFT)</v>
    <v>10913891</v>
    <v>16331881</v>
    <v>2007</v>
  </rv>
  <rv s="9">
    <v>375</v>
  </rv>
  <rv s="0">
    <v>536870912</v>
    <v>Republic of Ireland</v>
    <v>77f28672-5669-4775-a58a-b62b17779010</v>
    <v>en-IN</v>
    <v>Map</v>
  </rv>
  <rv s="1">
    <fb>0.64537668747278298</fb>
    <v>24</v>
  </rv>
  <rv s="1">
    <fb>69797</fb>
    <v>25</v>
  </rv>
  <rv s="1">
    <fb>9000</fb>
    <v>25</v>
  </rv>
  <rv s="1">
    <fb>12.5</fb>
    <v>26</v>
  </rv>
  <rv s="1">
    <fb>353</fb>
    <v>27</v>
  </rv>
  <rv s="0">
    <v>536870912</v>
    <v>Dublin</v>
    <v>7e7d2832-97c8-afa4-d282-865c20a549c9</v>
    <v>en-IN</v>
    <v>Map</v>
  </rv>
  <rv s="1">
    <fb>37711.428</fb>
    <v>25</v>
  </rv>
  <rv s="1">
    <fb>106.584326346003</fb>
    <v>28</v>
  </rv>
  <rv s="1">
    <fb>9.3904448105434097E-3</fb>
    <v>24</v>
  </rv>
  <rv s="1">
    <fb>5672.0641341079599</fb>
    <v>25</v>
  </rv>
  <rv s="1">
    <fb>1.75</fb>
    <v>26</v>
  </rv>
  <rv s="1">
    <fb>0.110277255364644</fb>
    <v>24</v>
  </rv>
  <rv s="1">
    <fb>85.342819766444293</fb>
    <v>29</v>
  </rv>
  <rv s="1">
    <fb>1.37</fb>
    <v>30</v>
  </rv>
  <rv s="1">
    <fb>388698711348.15601</fb>
    <v>31</v>
  </rv>
  <rv s="1">
    <fb>1.0085278</fb>
    <v>24</v>
  </rv>
  <rv s="1">
    <fb>0.7778062</fb>
    <v>24</v>
  </rv>
  <rv s="2">
    <v>9</v>
    <v>22</v>
    <v>85</v>
    <v>7</v>
    <v>0</v>
    <v>Image of Republic of Ireland</v>
  </rv>
  <rv s="1">
    <fb>3.1</fb>
    <v>29</v>
  </rv>
  <rv s="0">
    <v>805306368</v>
    <v>Michael D. Higgins (President)</v>
    <v>66da4ccd-5e5c-25af-1ee8-8bc26bc581fe</v>
    <v>en-IN</v>
    <v>Generic</v>
  </rv>
  <rv s="0">
    <v>805306368</v>
    <v>Donal O'Donnell (Chief justice)</v>
    <v>e19e8bb7-3a15-4389-9ca9-f25cb75bc3b7</v>
    <v>en-IN</v>
    <v>Generic</v>
  </rv>
  <rv s="3">
    <v>19</v>
  </rv>
  <rv s="4">
    <v>https://www.bing.com/search?q=republic+of+ireland&amp;form=skydnc</v>
    <v>Learn more on Bing</v>
  </rv>
  <rv s="1">
    <fb>82.256097560975604</fb>
    <v>29</v>
  </rv>
  <rv s="1">
    <fb>110154370000</fb>
    <v>31</v>
  </rv>
  <rv s="1">
    <fb>5</fb>
    <v>29</v>
  </rv>
  <rv s="1">
    <fb>10.79</fb>
    <v>30</v>
  </rv>
  <rv s="3">
    <v>20</v>
  </rv>
  <rv s="1">
    <fb>0.15164452009999999</fb>
    <v>24</v>
  </rv>
  <rv s="1">
    <fb>3.3125</fb>
    <v>26</v>
  </rv>
  <rv s="1">
    <fb>5086988</fb>
    <v>25</v>
  </rv>
  <rv s="1">
    <fb>0.22</fb>
    <v>24</v>
  </rv>
  <rv s="1">
    <fb>0.25900000000000001</fb>
    <v>24</v>
  </rv>
  <rv s="1">
    <fb>0.41200000000000003</fb>
    <v>24</v>
  </rv>
  <rv s="1">
    <fb>3.1E-2</fb>
    <v>24</v>
  </rv>
  <rv s="1">
    <fb>7.9000000000000001E-2</fb>
    <v>24</v>
  </rv>
  <rv s="1">
    <fb>0.126</fb>
    <v>24</v>
  </rv>
  <rv s="1">
    <fb>0.16300000000000001</fb>
    <v>24</v>
  </rv>
  <rv s="1">
    <fb>0.62067001342773398</fb>
    <v>24</v>
  </rv>
  <rv s="0">
    <v>536870912</v>
    <v>County Cork</v>
    <v>bb6ad608-a731-417f-8fb4-3b29c7a06023</v>
    <v>en-IN</v>
    <v>Map</v>
  </rv>
  <rv s="0">
    <v>536870912</v>
    <v>County Kerry</v>
    <v>e281d492-542b-4c66-83a2-ec093a5cc247</v>
    <v>en-IN</v>
    <v>Map</v>
  </rv>
  <rv s="0">
    <v>536870912</v>
    <v>County Waterford</v>
    <v>a5aedce9-d905-4473-a32e-cd606469c5aa</v>
    <v>en-IN</v>
    <v>Map</v>
  </rv>
  <rv s="0">
    <v>536870912</v>
    <v>County Wexford</v>
    <v>99e6a13e-c2b2-40d9-b651-20d465421019</v>
    <v>en-IN</v>
    <v>Map</v>
  </rv>
  <rv s="0">
    <v>536870912</v>
    <v>County Galway</v>
    <v>73d9290c-2300-4ebd-98b6-0f77a242e08d</v>
    <v>en-IN</v>
    <v>Map</v>
  </rv>
  <rv s="0">
    <v>536870912</v>
    <v>County Laois</v>
    <v>c781c434-2a24-4f3d-a510-636b54663792</v>
    <v>en-IN</v>
    <v>Map</v>
  </rv>
  <rv s="0">
    <v>536870912</v>
    <v>County Kildare</v>
    <v>de3b8ce7-c7bc-4504-b970-d00c510d4ad6</v>
    <v>en-IN</v>
    <v>Map</v>
  </rv>
  <rv s="0">
    <v>536870912</v>
    <v>County Donegal</v>
    <v>b645d938-5d54-43e6-a821-1b0a55668a19</v>
    <v>en-IN</v>
    <v>Map</v>
  </rv>
  <rv s="0">
    <v>536870912</v>
    <v>County Westmeath</v>
    <v>54d058c5-8802-4485-8280-3d1537c6ff67</v>
    <v>en-IN</v>
    <v>Map</v>
  </rv>
  <rv s="0">
    <v>536870912</v>
    <v>County Leitrim</v>
    <v>5bdfc913-2ad8-446b-b3f9-e2e5bceeeafa</v>
    <v>en-IN</v>
    <v>Map</v>
  </rv>
  <rv s="0">
    <v>536870912</v>
    <v>County Mayo</v>
    <v>66ce3cb4-58f3-4497-b907-d42613782718</v>
    <v>en-IN</v>
    <v>Map</v>
  </rv>
  <rv s="0">
    <v>536870912</v>
    <v>County Roscommon</v>
    <v>b8c54237-085b-4bce-94ae-a61830948221</v>
    <v>en-IN</v>
    <v>Map</v>
  </rv>
  <rv s="0">
    <v>536870912</v>
    <v>County Clare</v>
    <v>085afbf1-6f94-4dcc-b587-444630726c9d</v>
    <v>en-IN</v>
    <v>Map</v>
  </rv>
  <rv s="0">
    <v>536870912</v>
    <v>County Tipperary</v>
    <v>9fc814a7-4b18-a287-d374-0875740a332b</v>
    <v>en-IN</v>
    <v>Map</v>
  </rv>
  <rv s="0">
    <v>536870912</v>
    <v>County Carlow</v>
    <v>344c1010-7d51-b5ad-141b-1b033e5928e0</v>
    <v>en-IN</v>
    <v>Map</v>
  </rv>
  <rv s="0">
    <v>536870912</v>
    <v>County Longford</v>
    <v>b606fd50-b140-461d-8499-0a2f15477c3f</v>
    <v>en-IN</v>
    <v>Map</v>
  </rv>
  <rv s="0">
    <v>536870912</v>
    <v>County Louth</v>
    <v>b3be5d39-0c24-438c-8cc9-4f47b53ee145</v>
    <v>en-IN</v>
    <v>Map</v>
  </rv>
  <rv s="0">
    <v>536870912</v>
    <v>County Offaly</v>
    <v>a2b6e818-7b54-4481-a69c-4b2490dcfe0c</v>
    <v>en-IN</v>
    <v>Map</v>
  </rv>
  <rv s="0">
    <v>536870912</v>
    <v>County Wicklow</v>
    <v>5cd59f89-1103-45a7-b3b9-0e04f5a8806b</v>
    <v>en-IN</v>
    <v>Map</v>
  </rv>
  <rv s="0">
    <v>536870912</v>
    <v>County Cavan</v>
    <v>e04372f9-a714-ff4d-9b13-bd083769ac5c</v>
    <v>en-IN</v>
    <v>Map</v>
  </rv>
  <rv s="0">
    <v>536870912</v>
    <v>County Monaghan</v>
    <v>fc43fd90-de92-49b3-bf37-7c577555fac7</v>
    <v>en-IN</v>
    <v>Map</v>
  </rv>
  <rv s="0">
    <v>536870912</v>
    <v>County Meath</v>
    <v>ff3f7e83-2ccd-4a6f-ac4f-9cfbc30014d6</v>
    <v>en-IN</v>
    <v>Map</v>
  </rv>
  <rv s="0">
    <v>536870912</v>
    <v>County Kilkenny</v>
    <v>1e943eb7-cca5-478d-b38d-39f3df9d3cb1</v>
    <v>en-IN</v>
    <v>Map</v>
  </rv>
  <rv s="0">
    <v>536870912</v>
    <v>County Limerick</v>
    <v>a20328c4-ef10-4fd7-bd04-5fe56806534e</v>
    <v>en-IN</v>
    <v>Map</v>
  </rv>
  <rv s="0">
    <v>536870912</v>
    <v>County Sligo</v>
    <v>f380e360-16e6-4512-b449-7900cf9b1aa7</v>
    <v>en-IN</v>
    <v>Map</v>
  </rv>
  <rv s="0">
    <v>536870912</v>
    <v>Connacht</v>
    <v>ef4b0f22-1de8-46c2-be90-c31bfbcc6a14</v>
    <v>en-IN</v>
    <v>Map</v>
  </rv>
  <rv s="3">
    <v>21</v>
  </rv>
  <rv s="1">
    <fb>0.18262353633181699</fb>
    <v>24</v>
  </rv>
  <rv s="1">
    <fb>0.26100000000000001</fb>
    <v>24</v>
  </rv>
  <rv s="1">
    <fb>4.9279999732971203E-2</fb>
    <v>32</v>
  </rv>
  <rv s="1">
    <fb>3133123</fb>
    <v>25</v>
  </rv>
  <rv s="15">
    <v>#VALUE!</v>
    <v>en-IN</v>
    <v>77f28672-5669-4775-a58a-b62b17779010</v>
    <v>536870912</v>
    <v>1</v>
    <v>88</v>
    <v>89</v>
    <v>Republic of Ireland</v>
    <v>20</v>
    <v>21</v>
    <v>Map</v>
    <v>22</v>
    <v>90</v>
    <v>378</v>
    <v>379</v>
    <v>380</v>
    <v>381</v>
    <v>382</v>
    <v>383</v>
    <v>384</v>
    <v>385</v>
    <v>386</v>
    <v>EUR</v>
    <v>Ireland, also known as the Republic of Ireland, is a country in north-western Europe consisting of 26 of the 32 counties of the island of Ireland. The capital and largest city is Dublin, on the eastern side of the island. Around 2.1 million of ...</v>
    <v>387</v>
    <v>388</v>
    <v>389</v>
    <v>390</v>
    <v>391</v>
    <v>392</v>
    <v>393</v>
    <v>394</v>
    <v>395</v>
    <v>396</v>
    <v>383</v>
    <v>399</v>
    <v>400</v>
    <v>401</v>
    <v>402</v>
    <v>403</v>
    <v>404</v>
    <v>Republic of Ireland</v>
    <v>Amhrán na bhFiann</v>
    <v>405</v>
    <v>Poblacht na hÉireann</v>
    <v>406</v>
    <v>407</v>
    <v>408</v>
    <v>409</v>
    <v>410</v>
    <v>411</v>
    <v>412</v>
    <v>413</v>
    <v>414</v>
    <v>415</v>
    <v>416</v>
    <v>443</v>
    <v>444</v>
    <v>445</v>
    <v>446</v>
    <v>Republic of Ireland</v>
    <v>447</v>
    <v>mdp/vdpid/68</v>
  </rv>
  <rv s="1">
    <fb>114.99</fb>
    <v>25</v>
  </rv>
  <rv s="0">
    <v>536870912</v>
    <v>United Kingdom of Great Britain and Ireland</v>
    <v>0538d165-f2b4-64c9-9745-179dd804d95b</v>
    <v>en-IN</v>
    <v>Map</v>
  </rv>
  <rv s="2">
    <v>10</v>
    <v>22</v>
    <v>92</v>
    <v>7</v>
    <v>0</v>
    <v>Image of Dublin</v>
  </rv>
  <rv s="1">
    <fb>53.349722222222198</fb>
    <v>37</v>
  </rv>
  <rv s="4">
    <v>https://www.bing.com/search?q=dublin+ireland&amp;form=skydnc</v>
    <v>Learn more on Bing</v>
  </rv>
  <rv s="1">
    <fb>-6.2602777777777803</fb>
    <v>37</v>
  </rv>
  <rv s="1">
    <fb>592713</fb>
    <v>25</v>
  </rv>
  <rv s="6">
    <v>#VALUE!</v>
    <v>en-IN</v>
    <v>7e7d2832-97c8-afa4-d282-865c20a549c9</v>
    <v>536870912</v>
    <v>1</v>
    <v>93</v>
    <v>35</v>
    <v>Dublin</v>
    <v>20</v>
    <v>21</v>
    <v>Map</v>
    <v>22</v>
    <v>94</v>
    <v>449</v>
    <v>450</v>
    <v>Dublin is the capital and largest city of Ireland. On a bay at the mouth of the River Liffey, it is in the province of Leinster, bordered on the south by the Dublin Mountains, a part of the Wicklow Mountains range. At the 2022 census, the ...</v>
    <v>451</v>
    <v>452</v>
    <v>453</v>
    <v>454</v>
    <v>Dublin</v>
    <v>455</v>
    <v>Dublin</v>
    <v>mdp/vdpid/5469235680884293633</v>
  </rv>
  <rv s="2">
    <v>9</v>
    <v>22</v>
    <v>85</v>
    <v>3</v>
    <v>0</v>
    <v>Image of Republic of Ireland</v>
  </rv>
  <rv s="8">
    <v>en-IN</v>
    <v>avyjhw</v>
    <v>268435456</v>
    <v>1</v>
    <v>Powered by Refinitiv</v>
    <v>42</v>
    <v>GBP/USD</v>
    <v>43</v>
    <v>62</v>
    <v>Finance</v>
    <v>45</v>
    <v>1.3788</v>
    <v>1.2097</v>
    <v>2.0000000000000001E-4</v>
    <v>1.5029999999999999E-4</v>
    <v>USD</v>
    <v>GBP</v>
    <v>1.3334999999999999</v>
    <v>Currency Pair</v>
    <v>45957.217604166668</v>
    <v>1.3313999999999999</v>
    <v>UK Pound Sterling/US Dollar FX Spot Rate</v>
    <v>1.3295999999999999</v>
    <v>1.3309</v>
    <v>1.3310999999999999</v>
    <v>GBPUSD</v>
    <v>GBP/USD</v>
  </rv>
  <rv s="9">
    <v>458</v>
  </rv>
  <rv s="4">
    <v>http://en.wikipedia.org/wiki/Public_domain</v>
    <v>Public domain</v>
  </rv>
  <rv s="4">
    <v>http://en.wikipedia.org/wiki/Roku,_Inc.</v>
    <v>Wikipedia</v>
  </rv>
  <rv s="16">
    <v>460</v>
    <v>461</v>
  </rv>
  <rv s="17">
    <v>99</v>
    <v>https://www.bing.com/th?id=AMMS_13240dc8e8eb91fe0ba2ee2ae9b85354&amp;qlt=95</v>
    <v>462</v>
    <v>0</v>
    <v>https://www.bing.com/images/search?form=xlimg&amp;q=roku+cnnmoney</v>
    <v>Image of ROKU, INC.</v>
  </rv>
  <rv s="4">
    <v>https://www.bing.com/financeapi/forcetrigger?t=a226p2&amp;q=XNAS%3aROKU&amp;form=skydnc</v>
    <v>Learn more on Bing</v>
  </rv>
  <rv s="18">
    <v>en-IN</v>
    <v>a226p2</v>
    <v>268435456</v>
    <v>1</v>
    <v>Powered by Refinitiv</v>
    <v>95</v>
    <v>ROKU, INC. (XNAS:ROKU)</v>
    <v>97</v>
    <v>98</v>
    <v>Finance</v>
    <v>49</v>
    <v>107.25</v>
    <v>52.43</v>
    <v>2.1802999999999999</v>
    <v>-1.99</v>
    <v>2.1809999999999998E-3</v>
    <v>-2.0247999999999999E-2</v>
    <v>0.21</v>
    <v>USD</v>
    <v>Roku, Inc. operates a television (TV) streaming platform. The Company connects viewers to the streaming content they love, enables content publishers to build and monetize large audiences, and provides advertisers with capabilities to engage consumers. The Company’s segments include platform and devices. The platform segment is engaged in the sale of digital advertising (including direct and programmatic video advertising, media and entertainment promotional spending, and related services) and streaming services distribution (including subscription and transaction revenue shares, the sale of premium subscriptions, and the sale of branded app buttons on remote controls). The devices segment is engaged in the sale of streaming players, Roku-branded TVs, smart home products and services, audio products, and related accessories. The Company sells the majority of its devices in the United States through retailers and distributors as well as through the Company’s website.</v>
    <v>3340</v>
    <v>Nasdaq Stock Market</v>
    <v>XNAS</v>
    <v>XNAS</v>
    <v>1173 Coleman Avenue, SAN JOSE, CA, 95110 US</v>
    <v>100.39</v>
    <v>463</v>
    <v>Media &amp; Publishing</v>
    <v>Stock</v>
    <v>45954.999056099216</v>
    <v>464</v>
    <v>96.1</v>
    <v>14148160000</v>
    <v>ROKU, INC.</v>
    <v>ROKU, INC.</v>
    <v>99.8</v>
    <v>0</v>
    <v>98.28</v>
    <v>96.29</v>
    <v>96.5</v>
    <v>147330600</v>
    <v>ROKU</v>
    <v>ROKU, INC. (XNAS:ROKU)</v>
    <v>2375533</v>
    <v>2765315</v>
    <v>2002</v>
  </rv>
  <rv s="9">
    <v>465</v>
  </rv>
  <rv s="0">
    <v>536870912</v>
    <v>Israel</v>
    <v>1ffafed3-2b37-b871-c271-aa855d98449a</v>
    <v>en-IN</v>
    <v>Map</v>
  </rv>
  <rv s="1">
    <fb>0.24584103512014799</fb>
    <v>24</v>
  </rv>
  <rv s="1">
    <fb>20770</fb>
    <v>25</v>
  </rv>
  <rv s="1">
    <fb>178000</fb>
    <v>25</v>
  </rv>
  <rv s="1">
    <fb>20.8</fb>
    <v>26</v>
  </rv>
  <rv s="1">
    <fb>972</fb>
    <v>27</v>
  </rv>
  <rv s="0">
    <v>536870912</v>
    <v>Jerusalem</v>
    <v>f723d141-8609-b204-3b1d-30bfcbfb9dcb</v>
    <v>en-IN</v>
    <v>Map</v>
  </rv>
  <rv s="1">
    <fb>65166.256999999998</fb>
    <v>25</v>
  </rv>
  <rv s="1">
    <fb>108.150134048257</fb>
    <v>28</v>
  </rv>
  <rv s="1">
    <fb>8.4159653362219401E-3</fb>
    <v>24</v>
  </rv>
  <rv s="1">
    <fb>6600.8982801222</fb>
    <v>25</v>
  </rv>
  <rv s="1">
    <fb>3.09</fb>
    <v>26</v>
  </rv>
  <rv s="1">
    <fb>7.7264323913235705E-2</fb>
    <v>24</v>
  </rv>
  <rv s="1">
    <fb>97.382124126026198</fb>
    <v>29</v>
  </rv>
  <rv s="1">
    <fb>1.57</fb>
    <v>30</v>
  </rv>
  <rv s="1">
    <fb>395098666121.61603</fb>
    <v>31</v>
  </rv>
  <rv s="1">
    <fb>1.0490112</fb>
    <v>24</v>
  </rv>
  <rv s="1">
    <fb>0.63354690000000002</fb>
    <v>24</v>
  </rv>
  <rv s="2">
    <v>11</v>
    <v>22</v>
    <v>101</v>
    <v>7</v>
    <v>0</v>
    <v>Image of Israel</v>
  </rv>
  <rv s="1">
    <fb>3</fb>
    <v>29</v>
  </rv>
  <rv s="0">
    <v>805306368</v>
    <v>Isaac Herzog (President)</v>
    <v>6ec2eb61-c901-7fbe-05ae-d176e780a498</v>
    <v>en-IN</v>
    <v>Generic</v>
  </rv>
  <rv s="0">
    <v>805306368</v>
    <v>Benjamin Netanyahu (Prime minister)</v>
    <v>7ce1e366-2545-8063-de37-56de6515eb11</v>
    <v>en-IN</v>
    <v>Generic</v>
  </rv>
  <rv s="0">
    <v>805306368</v>
    <v>Uzi Vogelman (Chief justice)</v>
    <v>17598690-a33c-ab95-c603-0b10ddae3a5c</v>
    <v>en-IN</v>
    <v>Generic</v>
  </rv>
  <rv s="3">
    <v>22</v>
  </rv>
  <rv s="4">
    <v>https://www.bing.com/search?q=israel&amp;form=skydnc</v>
    <v>Learn more on Bing</v>
  </rv>
  <rv s="1">
    <fb>82.802439024390296</fb>
    <v>29</v>
  </rv>
  <rv s="1">
    <fb>237371160000</fb>
    <v>31</v>
  </rv>
  <rv s="1">
    <fb>7.58</fb>
    <v>30</v>
  </rv>
  <rv s="3">
    <v>23</v>
  </rv>
  <rv s="1">
    <fb>0.24369154550000002</fb>
    <v>24</v>
  </rv>
  <rv s="1">
    <fb>4.6249000000000002</fb>
    <v>26</v>
  </rv>
  <rv s="1">
    <fb>9550600</fb>
    <v>25</v>
  </rv>
  <rv s="1">
    <fb>0.23600000000000002</fb>
    <v>24</v>
  </rv>
  <rv s="1">
    <fb>0.27699999999999997</fb>
    <v>24</v>
  </rv>
  <rv s="1">
    <fb>0.442</fb>
    <v>24</v>
  </rv>
  <rv s="1">
    <fb>1.9E-2</fb>
    <v>24</v>
  </rv>
  <rv s="1">
    <fb>5.0999999999999997E-2</fb>
    <v>24</v>
  </rv>
  <rv s="1">
    <fb>0.106</fb>
    <v>24</v>
  </rv>
  <rv s="1">
    <fb>0.16399999999999998</fb>
    <v>24</v>
  </rv>
  <rv s="1">
    <fb>0.64041999816894501</fb>
    <v>24</v>
  </rv>
  <rv s="0">
    <v>536870912</v>
    <v>Jerusalem District</v>
    <v>dcd9b1e0-1b32-7e66-c4c1-f534cad85a11</v>
    <v>en-IN</v>
    <v>Map</v>
  </rv>
  <rv s="0">
    <v>536870912</v>
    <v>Tel Aviv District</v>
    <v>d6015b27-4dd3-610b-2fbd-43bf89e90313</v>
    <v>en-IN</v>
    <v>Map</v>
  </rv>
  <rv s="0">
    <v>536870912</v>
    <v>Central District</v>
    <v>b8c7175b-f887-8fa0-637f-e2e7e8ae8040</v>
    <v>en-IN</v>
    <v>Map</v>
  </rv>
  <rv s="0">
    <v>536870912</v>
    <v>Haifa District</v>
    <v>dbc45f9b-a63f-a09b-d54c-697c99324074</v>
    <v>en-IN</v>
    <v>Map</v>
  </rv>
  <rv s="0">
    <v>536870912</v>
    <v>Northern District</v>
    <v>22ac91a9-f743-acdf-4359-b436f384753b</v>
    <v>en-IN</v>
    <v>Map</v>
  </rv>
  <rv s="0">
    <v>536870912</v>
    <v>Southern District</v>
    <v>970325e2-3c4e-8bc8-62a8-400202e79fc2</v>
    <v>en-IN</v>
    <v>Map</v>
  </rv>
  <rv s="3">
    <v>24</v>
  </rv>
  <rv s="1">
    <fb>0.23067846531370401</fb>
    <v>24</v>
  </rv>
  <rv s="1">
    <fb>0.253</fb>
    <v>24</v>
  </rv>
  <rv s="1">
    <fb>3.8610000610351601E-2</fb>
    <v>32</v>
  </rv>
  <rv s="1">
    <fb>8374393</fb>
    <v>25</v>
  </rv>
  <rv s="19">
    <v>#VALUE!</v>
    <v>en-IN</v>
    <v>1ffafed3-2b37-b871-c271-aa855d98449a</v>
    <v>536870912</v>
    <v>1</v>
    <v>104</v>
    <v>105</v>
    <v>Israel</v>
    <v>20</v>
    <v>21</v>
    <v>Map</v>
    <v>22</v>
    <v>106</v>
    <v>IL</v>
    <v>468</v>
    <v>469</v>
    <v>470</v>
    <v>471</v>
    <v>472</v>
    <v>473</v>
    <v>474</v>
    <v>475</v>
    <v>476</v>
    <v>ILS</v>
    <v>Israel, officially the State of Israel, is a country in West Asia. It is bordered by Lebanon to the north, by Syria to the northeast, by Jordan to the east, by the Red Sea to the south, by Egypt to the southwest, by the Mediterranean Sea to the ...</v>
    <v>477</v>
    <v>478</v>
    <v>479</v>
    <v>480</v>
    <v>481</v>
    <v>482</v>
    <v>483</v>
    <v>484</v>
    <v>485</v>
    <v>486</v>
    <v>473</v>
    <v>490</v>
    <v>491</v>
    <v>492</v>
    <v>493</v>
    <v>486</v>
    <v>494</v>
    <v>Israel</v>
    <v>Hatikvah</v>
    <v>495</v>
    <v>מדינת ישראל</v>
    <v>496</v>
    <v>497</v>
    <v>498</v>
    <v>499</v>
    <v>500</v>
    <v>501</v>
    <v>502</v>
    <v>503</v>
    <v>504</v>
    <v>505</v>
    <v>506</v>
    <v>513</v>
    <v>514</v>
    <v>515</v>
    <v>516</v>
    <v>Israel</v>
    <v>517</v>
    <v>mdp/vdpid/117</v>
  </rv>
  <rv s="1">
    <fb>125.42</fb>
    <v>25</v>
  </rv>
  <rv s="0">
    <v>536870912</v>
    <v>Kingdom of Jerusalem</v>
    <v>01bdc109-b5f9-d29c-5073-76adf740a2b2</v>
    <v>en-IN</v>
    <v>Map</v>
  </rv>
  <rv s="2">
    <v>12</v>
    <v>22</v>
    <v>107</v>
    <v>7</v>
    <v>0</v>
    <v>Image of Jerusalem</v>
  </rv>
  <rv s="1">
    <fb>31.778888888888901</fb>
    <v>37</v>
  </rv>
  <rv s="0">
    <v>805306368</v>
    <v>Moshe Lion (Mayor)</v>
    <v>7c1ddd3a-f81c-e31c-3fd3-a57e8f4d7fa0</v>
    <v>en-IN</v>
    <v>Generic</v>
  </rv>
  <rv s="3">
    <v>25</v>
  </rv>
  <rv s="4">
    <v>https://www.bing.com/search?q=jerusalem&amp;form=skydnc</v>
    <v>Learn more on Bing</v>
  </rv>
  <rv s="1">
    <fb>35.225555555555601</fb>
    <v>37</v>
  </rv>
  <rv s="1">
    <fb>936425</fb>
    <v>25</v>
  </rv>
  <rv s="14">
    <v>#VALUE!</v>
    <v>en-IN</v>
    <v>f723d141-8609-b204-3b1d-30bfcbfb9dcb</v>
    <v>536870912</v>
    <v>1</v>
    <v>108</v>
    <v>82</v>
    <v>Jerusalem</v>
    <v>20</v>
    <v>21</v>
    <v>Map</v>
    <v>22</v>
    <v>109</v>
    <v>507</v>
    <v>519</v>
    <v>520</v>
    <v>Jerusalem is an ancient city in West Asia, on a plateau in the Judaean Mountains between the Mediterranean and the Dead Sea. It is one of the oldest cities in the world, and is considered holy to the three major Abrahamic religions—Judaism, ...</v>
    <v>521</v>
    <v>522</v>
    <v>524</v>
    <v>525</v>
    <v>526</v>
    <v>Jerusalem</v>
    <v>527</v>
    <v>Jerusalem</v>
    <v>mdp/vdpid/7269254169767182338</v>
  </rv>
  <rv s="2">
    <v>11</v>
    <v>22</v>
    <v>101</v>
    <v>3</v>
    <v>0</v>
    <v>Image of Israel</v>
  </rv>
  <rv s="8">
    <v>en-IN</v>
    <v>avyu4c</v>
    <v>268435456</v>
    <v>1</v>
    <v>Powered by Refinitiv</v>
    <v>42</v>
    <v>USD/GBP</v>
    <v>43</v>
    <v>110</v>
    <v>Finance</v>
    <v>45</v>
    <v>0.82650000000000001</v>
    <v>0.72509999999999997</v>
    <v>-1.13E-4</v>
    <v>-1.505E-4</v>
    <v>GBP</v>
    <v>USD</v>
    <v>0.75109999999999999</v>
    <v>Currency Pair</v>
    <v>45957.217604166668</v>
    <v>0.74990000000000001</v>
    <v>US Dollar/UK Pound Sterling FX Cross Rate</v>
    <v>0.75019999999999998</v>
    <v>0.75090000000000001</v>
    <v>0.75080000000000002</v>
    <v>USDGBP</v>
    <v>USD/GBP</v>
  </rv>
  <rv s="9">
    <v>530</v>
  </rv>
  <rv s="4">
    <v>https://www.bing.com/financeapi/forcetrigger?t=bvsk7w&amp;q=XNYS%3aPLTR&amp;form=skydnc</v>
    <v>Learn more on Bing</v>
  </rv>
  <rv s="10">
    <v>en-IN</v>
    <v>bvsk7w</v>
    <v>268435456</v>
    <v>1</v>
    <v>Powered by Refinitiv</v>
    <v>46</v>
    <v>PALANTIR TECHNOLOGIES INC. (XNAS:PLTR)</v>
    <v>47</v>
    <v>48</v>
    <v>Finance</v>
    <v>49</v>
    <v>190</v>
    <v>40.9</v>
    <v>2.6303999999999998</v>
    <v>4.1500000000000004</v>
    <v>1.5190000000000002E-3</v>
    <v>2.2994000000000001E-2</v>
    <v>0.28039999999999998</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4164</v>
    <v>Nasdaq Stock Market</v>
    <v>XNAS</v>
    <v>XNAS</v>
    <v>1200 17Th Street, Floor 15, DENVER, CO, 80202 US</v>
    <v>186.17</v>
    <v>Software &amp; IT Services</v>
    <v>Stock</v>
    <v>45954.999992719531</v>
    <v>532</v>
    <v>182.85</v>
    <v>416146000000</v>
    <v>PALANTIR TECHNOLOGIES INC.</v>
    <v>PALANTIR TECHNOLOGIES INC.</v>
    <v>182.88</v>
    <v>613.55179999999996</v>
    <v>180.48</v>
    <v>184.63</v>
    <v>184.91040000000001</v>
    <v>2371337000</v>
    <v>PLTR</v>
    <v>PALANTIR TECHNOLOGIES INC. (XNAS:PLTR)</v>
    <v>34813464</v>
    <v>50700751</v>
    <v>2003</v>
  </rv>
  <rv s="9">
    <v>533</v>
  </rv>
  <rv s="0">
    <v>536870912</v>
    <v>Italy</v>
    <v>09e8f885-427b-8850-947d-202e0287b9e8</v>
    <v>en-IN</v>
    <v>Map</v>
  </rv>
  <rv s="1">
    <fb>0.432345141769226</fb>
    <v>24</v>
  </rv>
  <rv s="1">
    <fb>302068</fb>
    <v>25</v>
  </rv>
  <rv s="1">
    <fb>347000</fb>
    <v>25</v>
  </rv>
  <rv s="1">
    <fb>7.3</fb>
    <v>26</v>
  </rv>
  <rv s="1">
    <fb>39</fb>
    <v>27</v>
  </rv>
  <rv s="0">
    <v>536870912</v>
    <v>Rome</v>
    <v>5ed498af-fa85-2a88-874d-212494ddb06f</v>
    <v>en-IN</v>
    <v>Map</v>
  </rv>
  <rv s="1">
    <fb>320411.45899999997</fb>
    <v>25</v>
  </rv>
  <rv s="1">
    <fb>110.623595648239</fb>
    <v>28</v>
  </rv>
  <rv s="1">
    <fb>6.1124694376529102E-3</fb>
    <v>24</v>
  </rv>
  <rv s="1">
    <fb>5002.4066798773601</fb>
    <v>25</v>
  </rv>
  <rv s="1">
    <fb>1.29</fb>
    <v>26</v>
  </rv>
  <rv s="1">
    <fb>0.31790303272888798</fb>
    <v>24</v>
  </rv>
  <rv s="1">
    <fb>79.948454735494707</fb>
    <v>29</v>
  </rv>
  <rv s="1">
    <fb>1.61</fb>
    <v>30</v>
  </rv>
  <rv s="1">
    <fb>2001244392041.5701</fb>
    <v>31</v>
  </rv>
  <rv s="1">
    <fb>1.0187936</fb>
    <v>24</v>
  </rv>
  <rv s="1">
    <fb>0.61933000000000005</fb>
    <v>24</v>
  </rv>
  <rv s="2">
    <v>13</v>
    <v>22</v>
    <v>112</v>
    <v>7</v>
    <v>0</v>
    <v>Image of Italy</v>
  </rv>
  <rv s="1">
    <fb>2.6</fb>
    <v>29</v>
  </rv>
  <rv s="0">
    <v>805306368</v>
    <v>Sergio Mattarella (President)</v>
    <v>7b09388e-8b92-1261-db16-7c6882735fe1</v>
    <v>en-IN</v>
    <v>Generic</v>
  </rv>
  <rv s="0">
    <v>805306368</v>
    <v>Giorgia Meloni (Prime minister)</v>
    <v>5c9bb82e-e08f-f5eb-9f29-f20e75e8eb8f</v>
    <v>en-IN</v>
    <v>Generic</v>
  </rv>
  <rv s="3">
    <v>26</v>
  </rv>
  <rv s="4">
    <v>https://www.bing.com/search?q=italy&amp;form=skydnc</v>
    <v>Learn more on Bing</v>
  </rv>
  <rv s="1">
    <fb>82.946341463414697</fb>
    <v>29</v>
  </rv>
  <rv s="1">
    <fb>522087790000</fb>
    <v>31</v>
  </rv>
  <rv s="1">
    <fb>2</fb>
    <v>29</v>
  </rv>
  <rv s="3">
    <v>27</v>
  </rv>
  <rv s="1">
    <fb>0.2283268819</fb>
    <v>24</v>
  </rv>
  <rv s="1">
    <fb>3.9773999999999998</fb>
    <v>26</v>
  </rv>
  <rv s="1">
    <fb>58856847</fb>
    <v>25</v>
  </rv>
  <rv s="1">
    <fb>0.23</fb>
    <v>24</v>
  </rv>
  <rv s="1">
    <fb>0.26700000000000002</fb>
    <v>24</v>
  </rv>
  <rv s="1">
    <fb>0.42100000000000004</fb>
    <v>24</v>
  </rv>
  <rv s="1">
    <fb>0.06</fb>
    <v>24</v>
  </rv>
  <rv s="1">
    <fb>0.12</fb>
    <v>24</v>
  </rv>
  <rv s="1">
    <fb>0.16899999999999998</fb>
    <v>24</v>
  </rv>
  <rv s="1">
    <fb>0.495550003051758</fb>
    <v>24</v>
  </rv>
  <rv s="0">
    <v>536870912</v>
    <v>Abruzzo</v>
    <v>6d07734f-0734-da73-bda9-a2e9e44c1042</v>
    <v>en-IN</v>
    <v>Map</v>
  </rv>
  <rv s="0">
    <v>536870912</v>
    <v>Basilicata</v>
    <v>c286f639-68f8-3ed2-0119-87142c109b42</v>
    <v>en-IN</v>
    <v>Map</v>
  </rv>
  <rv s="0">
    <v>536870912</v>
    <v>Calabria</v>
    <v>87d05176-c03a-c209-fa72-dfafed738418</v>
    <v>en-IN</v>
    <v>Map</v>
  </rv>
  <rv s="0">
    <v>536870912</v>
    <v>Campania</v>
    <v>9933ef2b-24f2-a29d-6e4f-fe6bffe78694</v>
    <v>en-IN</v>
    <v>Map</v>
  </rv>
  <rv s="0">
    <v>536870912</v>
    <v>Emilia-Romagna</v>
    <v>129d3426-cfe5-9154-2989-f246e1aa5cec</v>
    <v>en-IN</v>
    <v>Map</v>
  </rv>
  <rv s="0">
    <v>536870912</v>
    <v>Friuli Venezia Giulia</v>
    <v>dfe11af7-836d-40cf-b176-995500a2a2fb</v>
    <v>en-IN</v>
    <v>Map</v>
  </rv>
  <rv s="0">
    <v>536870912</v>
    <v>Lazio</v>
    <v>e5d48b4e-72f5-da43-7854-da4784df7b51</v>
    <v>en-IN</v>
    <v>Map</v>
  </rv>
  <rv s="0">
    <v>536870912</v>
    <v>Liguria</v>
    <v>bc9d0bc0-7501-9ea0-5ffc-8d29df64f153</v>
    <v>en-IN</v>
    <v>Map</v>
  </rv>
  <rv s="0">
    <v>536870912</v>
    <v>Lombardy</v>
    <v>4e4d95c0-6e91-acd2-e10c-7165bc365e22</v>
    <v>en-IN</v>
    <v>Map</v>
  </rv>
  <rv s="0">
    <v>536870912</v>
    <v>Marche</v>
    <v>262ac8bf-0bbd-ba85-aef3-2130493eaa9b</v>
    <v>en-IN</v>
    <v>Map</v>
  </rv>
  <rv s="0">
    <v>536870912</v>
    <v>Molise</v>
    <v>048932e0-ef04-999e-a84f-326f5eaf1b11</v>
    <v>en-IN</v>
    <v>Map</v>
  </rv>
  <rv s="0">
    <v>536870912</v>
    <v>Piedmont</v>
    <v>1a1b261b-a6b1-8503-5262-e2f707fe58ce</v>
    <v>en-IN</v>
    <v>Map</v>
  </rv>
  <rv s="0">
    <v>536870912</v>
    <v>Apulia</v>
    <v>162619f7-7efb-76cc-0544-2da0306bd7c3</v>
    <v>en-IN</v>
    <v>Map</v>
  </rv>
  <rv s="0">
    <v>536870912</v>
    <v>Sardinia</v>
    <v>2ac543b8-3c5f-c1c2-9c26-7153eb61c3d0</v>
    <v>en-IN</v>
    <v>Map</v>
  </rv>
  <rv s="0">
    <v>536870912</v>
    <v>Sicily</v>
    <v>610fbc95-e594-a116-6d30-36286446a003</v>
    <v>en-IN</v>
    <v>Map</v>
  </rv>
  <rv s="0">
    <v>536870912</v>
    <v>Tuscany</v>
    <v>a8854f08-da35-486d-5bd1-760f4eeb3da0</v>
    <v>en-IN</v>
    <v>Map</v>
  </rv>
  <rv s="0">
    <v>536870912</v>
    <v>Trentino-Alto Adige/Südtirol</v>
    <v>b537e28d-6f0c-d8cf-1384-534def0737dd</v>
    <v>en-IN</v>
    <v>Map</v>
  </rv>
  <rv s="0">
    <v>536870912</v>
    <v>Umbria</v>
    <v>a75c12d3-c6a9-ea7c-e844-577d1cfe72dd</v>
    <v>en-IN</v>
    <v>Map</v>
  </rv>
  <rv s="0">
    <v>536870912</v>
    <v>Aosta Valley</v>
    <v>d9b216c7-5de6-eaf4-2383-5f7fc3075fdb</v>
    <v>en-IN</v>
    <v>Map</v>
  </rv>
  <rv s="0">
    <v>536870912</v>
    <v>Veneto</v>
    <v>6809e680-9adc-134d-ebe9-70b79f5adb5f</v>
    <v>en-IN</v>
    <v>Map</v>
  </rv>
  <rv s="3">
    <v>28</v>
  </rv>
  <rv s="1">
    <fb>0.24250464933068097</fb>
    <v>24</v>
  </rv>
  <rv s="1">
    <fb>0.59099999999999997</fb>
    <v>24</v>
  </rv>
  <rv s="1">
    <fb>9.8870000839233405E-2</fb>
    <v>32</v>
  </rv>
  <rv s="1">
    <fb>42651966</fb>
    <v>25</v>
  </rv>
  <rv s="20">
    <v>#VALUE!</v>
    <v>en-IN</v>
    <v>09e8f885-427b-8850-947d-202e0287b9e8</v>
    <v>536870912</v>
    <v>1</v>
    <v>115</v>
    <v>116</v>
    <v>Italy</v>
    <v>20</v>
    <v>21</v>
    <v>Map</v>
    <v>22</v>
    <v>117</v>
    <v>IT</v>
    <v>536</v>
    <v>537</v>
    <v>538</v>
    <v>539</v>
    <v>540</v>
    <v>541</v>
    <v>542</v>
    <v>543</v>
    <v>544</v>
    <v>EUR</v>
    <v>Italy, officially the Republic of Italy is a country in Southern and Western Europe. Located in the middle of the Mediterranean Sea, it consists of a peninsula delimited by the Alps and surrounded by several islands. Italy shares land borders ...</v>
    <v>545</v>
    <v>546</v>
    <v>547</v>
    <v>548</v>
    <v>549</v>
    <v>550</v>
    <v>551</v>
    <v>552</v>
    <v>553</v>
    <v>554</v>
    <v>541</v>
    <v>557</v>
    <v>558</v>
    <v>559</v>
    <v>560</v>
    <v>561</v>
    <v>Italy</v>
    <v>Il Canto degli Italiani</v>
    <v>562</v>
    <v>Repubblica Italiana</v>
    <v>563</v>
    <v>564</v>
    <v>565</v>
    <v>566</v>
    <v>567</v>
    <v>568</v>
    <v>502</v>
    <v>569</v>
    <v>570</v>
    <v>571</v>
    <v>572</v>
    <v>593</v>
    <v>594</v>
    <v>595</v>
    <v>596</v>
    <v>Italy</v>
    <v>597</v>
    <v>mdp/vdpid/118</v>
  </rv>
  <rv s="0">
    <v>536870912</v>
    <v>Metropolitan City of Rome Capital</v>
    <v>76a6fcae-8c89-adab-ce40-a0d52e665024</v>
    <v>en-IN</v>
    <v>Map</v>
  </rv>
  <rv s="1">
    <fb>1287.3599999999999</fb>
    <v>25</v>
  </rv>
  <rv s="2">
    <v>14</v>
    <v>22</v>
    <v>118</v>
    <v>7</v>
    <v>0</v>
    <v>Image of Rome</v>
  </rv>
  <rv s="1">
    <fb>41.893055555556003</fb>
    <v>37</v>
  </rv>
  <rv s="0">
    <v>805306368</v>
    <v>Roberto Gualtieri (Mayor)</v>
    <v>451ff490-7a31-bc00-90b3-d0724d4c0c03</v>
    <v>en-IN</v>
    <v>Generic</v>
  </rv>
  <rv s="3">
    <v>29</v>
  </rv>
  <rv s="4">
    <v>https://www.bing.com/search?q=rome+italy&amp;form=skydnc</v>
    <v>Learn more on Bing</v>
  </rv>
  <rv s="1">
    <fb>12.482777777778001</fb>
    <v>37</v>
  </rv>
  <rv s="1">
    <fb>2872800</fb>
    <v>25</v>
  </rv>
  <rv s="21">
    <v>#VALUE!</v>
    <v>en-IN</v>
    <v>5ed498af-fa85-2a88-874d-212494ddb06f</v>
    <v>536870912</v>
    <v>1</v>
    <v>119</v>
    <v>120</v>
    <v>Rome</v>
    <v>20</v>
    <v>21</v>
    <v>Map</v>
    <v>22</v>
    <v>41</v>
    <v>579</v>
    <v>599</v>
    <v>600</v>
    <v>535</v>
    <v>Rome is the capital city of Italy. It is also the capital of the Lazio region, the centre of the Metropolitan City of Rome, and a special comune named Comune di Roma Capitale. With 2,860,009 residents in 1,285 km², Rome is the country's most ...</v>
    <v>601</v>
    <v>602</v>
    <v>604</v>
    <v>605</v>
    <v>606</v>
    <v>Rome</v>
    <v>607</v>
    <v>Rome</v>
    <v>mdp/vdpid/7215943137045250049</v>
  </rv>
  <rv s="2">
    <v>13</v>
    <v>22</v>
    <v>112</v>
    <v>3</v>
    <v>0</v>
    <v>Image of Italy</v>
  </rv>
  <rv s="8">
    <v>en-IN</v>
    <v>avyomw</v>
    <v>268435456</v>
    <v>1</v>
    <v>Powered by Refinitiv</v>
    <v>42</v>
    <v>USD/JPY</v>
    <v>43</v>
    <v>121</v>
    <v>Finance</v>
    <v>45</v>
    <v>158.87</v>
    <v>139.86000000000001</v>
    <v>0.35</v>
    <v>2.2899999999999999E-3</v>
    <v>JPY</v>
    <v>USD</v>
    <v>153.22</v>
    <v>Currency Pair</v>
    <v>45957.217662037037</v>
    <v>152.66</v>
    <v>US Dollar/Japanese Yen FX Spot Rate</v>
    <v>153.02000000000001</v>
    <v>152.85</v>
    <v>153.19999999999999</v>
    <v>USDJPY</v>
    <v>USD/JPY</v>
  </rv>
  <rv s="9">
    <v>610</v>
  </rv>
  <rv s="4">
    <v>https://www.bing.com/financeapi/forcetrigger?t=bplhqh&amp;q=XNYS%3aPINS&amp;form=skydnc</v>
    <v>Learn more on Bing</v>
  </rv>
  <rv s="10">
    <v>en-IN</v>
    <v>bplhqh</v>
    <v>268435456</v>
    <v>1</v>
    <v>Powered by Refinitiv</v>
    <v>46</v>
    <v>PINTEREST, INC. (XNYS:PINS)</v>
    <v>47</v>
    <v>48</v>
    <v>Finance</v>
    <v>49</v>
    <v>40.9</v>
    <v>23.68</v>
    <v>0.95269999999999999</v>
    <v>0.52</v>
    <v>-4.4159999999999998E-3</v>
    <v>1.5545999999999999E-2</v>
    <v>-0.15</v>
    <v>USD</v>
    <v>Pinterest, Inc. (Pinterest) offers visual search and discovery platform. The Company’s primary service, Pinterest, can be accessed through its mobile application or the Web. People use Pinterest to find ideas. As they browse Pinterest content, Pins, they fine-tune their tastes and find the idea. Users interact with the platform in multi-session journeys to find inspiration, curate their latest look, plan their next project and shop from brands. It has approximately 553 million monthly active users across the world. Content on Pinterest comes from a variety of sources, including retailers, brands, creators, publishers and users. It acquires that content via a range of methods, including product catalog uploads, direct publishing, and user curation. Content formats include images that allow the user to click into an idea to learn more, videos that provide the steps of an idea, and products that brands and merchants upload from catalogs.</v>
    <v>4666</v>
    <v>New York Stock Exchange</v>
    <v>XNYS</v>
    <v>XNYS</v>
    <v>651 Brannan Street, SAN FRANCISCO, CA, 94107 US</v>
    <v>34.299999999999997</v>
    <v>Software &amp; IT Services</v>
    <v>Stock</v>
    <v>45954.998372673435</v>
    <v>612</v>
    <v>33.57</v>
    <v>22430880000</v>
    <v>PINTEREST, INC.</v>
    <v>PINTEREST, INC.</v>
    <v>34</v>
    <v>13.7781</v>
    <v>33.450000000000003</v>
    <v>33.97</v>
    <v>33.82</v>
    <v>679929700</v>
    <v>PINS</v>
    <v>PINTEREST, INC. (XNYS:PINS)</v>
    <v>7956332</v>
    <v>10251052</v>
    <v>2008</v>
  </rv>
  <rv s="9">
    <v>613</v>
  </rv>
  <rv s="0">
    <v>536870912</v>
    <v>Jamaica</v>
    <v>2562ea55-e766-cb17-7e1f-a957c9f8b966</v>
    <v>en-IN</v>
    <v>Map</v>
  </rv>
  <rv s="1">
    <fb>0.40997229916897504</fb>
    <v>24</v>
  </rv>
  <rv s="1">
    <fb>10991.909540000001</fb>
    <v>25</v>
  </rv>
  <rv s="1">
    <fb>4000</fb>
    <v>25</v>
  </rv>
  <rv s="1">
    <fb>16.103000000000002</fb>
    <v>26</v>
  </rv>
  <rv s="1">
    <fb>1876</fb>
    <v>27</v>
  </rv>
  <rv s="0">
    <v>536870912</v>
    <v>Kingston</v>
    <v>385a0e1e-d470-c7c3-8231-361da8105710</v>
    <v>en-IN</v>
    <v>Map</v>
  </rv>
  <rv s="1">
    <fb>8225.0810000000001</fb>
    <v>25</v>
  </rv>
  <rv s="1">
    <fb>162.47402640959601</fb>
    <v>28</v>
  </rv>
  <rv s="1">
    <fb>3.8918759235825502E-2</fb>
    <v>24</v>
  </rv>
  <rv s="1">
    <fb>1050.73290446087</fb>
    <v>25</v>
  </rv>
  <rv s="1">
    <fb>1.9790000000000001</fb>
    <v>26</v>
  </rv>
  <rv s="1">
    <fb>0.30915974822180897</fb>
    <v>24</v>
  </rv>
  <rv s="1">
    <fb>80.971344808322698</fb>
    <v>29</v>
  </rv>
  <rv s="1">
    <fb>1.1100000000000001</fb>
    <v>30</v>
  </rv>
  <rv s="1">
    <fb>16458071067.8176</fb>
    <v>31</v>
  </rv>
  <rv s="1">
    <fb>0.90995389999999998</fb>
    <v>24</v>
  </rv>
  <rv s="1">
    <fb>0.27130609999999999</fb>
    <v>24</v>
  </rv>
  <rv s="2">
    <v>15</v>
    <v>22</v>
    <v>123</v>
    <v>7</v>
    <v>0</v>
    <v>Image of Jamaica</v>
  </rv>
  <rv s="0">
    <v>805306368</v>
    <v>Charles III (Monarch)</v>
    <v>afc6f6a9-5b55-9178-3e6f-2c8b6d16ee9c</v>
    <v>en-IN</v>
    <v>Generic</v>
  </rv>
  <rv s="0">
    <v>805306368</v>
    <v>Andrew Holness (Prime minister)</v>
    <v>fc7eab19-7d03-0e23-d4ca-3413831f019e</v>
    <v>en-IN</v>
    <v>Generic</v>
  </rv>
  <rv s="3">
    <v>30</v>
  </rv>
  <rv s="4">
    <v>https://www.bing.com/search?q=jamaica&amp;form=skydnc</v>
    <v>Learn more on Bing</v>
  </rv>
  <rv s="1">
    <fb>74.367999999999995</fb>
    <v>29</v>
  </rv>
  <rv s="1">
    <fb>15767450000</fb>
    <v>31</v>
  </rv>
  <rv s="1">
    <fb>80</fb>
    <v>29</v>
  </rv>
  <rv s="1">
    <fb>1.33</fb>
    <v>30</v>
  </rv>
  <rv s="3">
    <v>31</v>
  </rv>
  <rv s="1">
    <fb>0.23704219810000002</fb>
    <v>24</v>
  </rv>
  <rv s="1">
    <fb>1.3061</fb>
    <v>26</v>
  </rv>
  <rv s="1">
    <fb>2827377</fb>
    <v>25</v>
  </rv>
  <rv s="1">
    <fb>0.20600000000000002</fb>
    <v>24</v>
  </rv>
  <rv s="1">
    <fb>0.35799999999999998</fb>
    <v>24</v>
  </rv>
  <rv s="1">
    <fb>0.51600000000000001</fb>
    <v>24</v>
  </rv>
  <rv s="1">
    <fb>2.1000000000000001E-2</fb>
    <v>24</v>
  </rv>
  <rv s="1">
    <fb>5.2999999999999999E-2</fb>
    <v>24</v>
  </rv>
  <rv s="1">
    <fb>9.1999999999999998E-2</fb>
    <v>24</v>
  </rv>
  <rv s="1">
    <fb>0.13200000000000001</fb>
    <v>24</v>
  </rv>
  <rv s="1">
    <fb>0.66028999328613291</fb>
    <v>24</v>
  </rv>
  <rv s="0">
    <v>536870912</v>
    <v>Cornwall County</v>
    <v>845f0c8b-1a1e-7e8d-b0d5-7f725b594865</v>
    <v>en-IN</v>
    <v>Map</v>
  </rv>
  <rv s="0">
    <v>536870912</v>
    <v>Middlesex County</v>
    <v>05e19e2c-d20d-e0d6-a906-7417f9138fbe</v>
    <v>en-IN</v>
    <v>Map</v>
  </rv>
  <rv s="3">
    <v>32</v>
  </rv>
  <rv s="1">
    <fb>0.26809843578632003</fb>
    <v>24</v>
  </rv>
  <rv s="1">
    <fb>0.35100000000000003</fb>
    <v>24</v>
  </rv>
  <rv s="1">
    <fb>8.0019998550415E-2</fb>
    <v>32</v>
  </rv>
  <rv s="1">
    <fb>1650594</fb>
    <v>25</v>
  </rv>
  <rv s="19">
    <v>#VALUE!</v>
    <v>en-IN</v>
    <v>2562ea55-e766-cb17-7e1f-a957c9f8b966</v>
    <v>536870912</v>
    <v>1</v>
    <v>126</v>
    <v>105</v>
    <v>Jamaica</v>
    <v>20</v>
    <v>21</v>
    <v>Map</v>
    <v>22</v>
    <v>127</v>
    <v>JM</v>
    <v>616</v>
    <v>617</v>
    <v>618</v>
    <v>619</v>
    <v>620</v>
    <v>621</v>
    <v>622</v>
    <v>623</v>
    <v>624</v>
    <v>JMD</v>
    <v>Jamaica is an island country situated in the Caribbean Sea. Spanning 10,990 square kilometres in area, it is the third largest island — after Cuba and Hispaniola — of the Greater Antilles and the Caribbean. Jamaica lies about 145 km south of ...</v>
    <v>625</v>
    <v>626</v>
    <v>627</v>
    <v>628</v>
    <v>629</v>
    <v>630</v>
    <v>631</v>
    <v>632</v>
    <v>633</v>
    <v>222</v>
    <v>621</v>
    <v>636</v>
    <v>637</v>
    <v>638</v>
    <v>639</v>
    <v>640</v>
    <v>641</v>
    <v>Jamaica</v>
    <v>Jamaica, Land We Love</v>
    <v>642</v>
    <v>Jamaica</v>
    <v>643</v>
    <v>644</v>
    <v>645</v>
    <v>646</v>
    <v>647</v>
    <v>648</v>
    <v>649</v>
    <v>650</v>
    <v>651</v>
    <v>652</v>
    <v>653</v>
    <v>656</v>
    <v>657</v>
    <v>658</v>
    <v>659</v>
    <v>Jamaica</v>
    <v>660</v>
    <v>mdp/vdpid/124</v>
  </rv>
  <rv s="1">
    <fb>480</fb>
    <v>25</v>
  </rv>
  <rv s="2">
    <v>16</v>
    <v>22</v>
    <v>129</v>
    <v>7</v>
    <v>0</v>
    <v>Image of Kingston, Jamaica</v>
  </rv>
  <rv s="1">
    <fb>17.971388888888999</fb>
    <v>37</v>
  </rv>
  <rv s="0">
    <v>805306368</v>
    <v>Delroy Williams (Mayor)</v>
    <v>86cc9eb6-ca1f-ab99-84b5-c60e22373279</v>
    <v>en-IN</v>
    <v>Generic</v>
  </rv>
  <rv s="3">
    <v>33</v>
  </rv>
  <rv s="4">
    <v>https://www.bing.com/search?q=kingston+jamaica&amp;form=skydnc</v>
    <v>Learn more on Bing</v>
  </rv>
  <rv s="1">
    <fb>-76.793055555555995</fb>
    <v>37</v>
  </rv>
  <rv s="1">
    <fb>580000</fb>
    <v>25</v>
  </rv>
  <rv s="22">
    <v>#VALUE!</v>
    <v>en-IN</v>
    <v>385a0e1e-d470-c7c3-8231-361da8105710</v>
    <v>536870912</v>
    <v>1</v>
    <v>130</v>
    <v>131</v>
    <v>Kingston, Jamaica</v>
    <v>20</v>
    <v>21</v>
    <v>Map</v>
    <v>22</v>
    <v>132</v>
    <v>662</v>
    <v>615</v>
    <v>Kingston is the capital and largest city of Jamaica, located on the southeastern coast of the island. It faces a natural harbour protected by the Palisadoes, a long sand spit which connects the town of Port Royal and the Norman Manley ...</v>
    <v>663</v>
    <v>664</v>
    <v>666</v>
    <v>667</v>
    <v>668</v>
    <v>Kingston, Jamaica</v>
    <v>669</v>
    <v>Kingston, Jamaica</v>
    <v>mdp/vdpid/5559019382107013121</v>
  </rv>
  <rv s="2">
    <v>15</v>
    <v>22</v>
    <v>123</v>
    <v>3</v>
    <v>0</v>
    <v>Image of Jamaica</v>
  </rv>
  <rv s="8">
    <v>en-IN</v>
    <v>ave8h7</v>
    <v>268435456</v>
    <v>1</v>
    <v>Powered by Refinitiv</v>
    <v>42</v>
    <v>JPY/USD</v>
    <v>43</v>
    <v>62</v>
    <v>Finance</v>
    <v>45</v>
    <v>7.1479999999999998E-3</v>
    <v>6.293E-3</v>
    <v>-1.4E-5</v>
    <v>-2.1410000000000001E-3</v>
    <v>USD</v>
    <v>JPY</v>
    <v>6.5510000000000004E-3</v>
    <v>Currency Pair</v>
    <v>45957.217673611114</v>
    <v>6.5269999999999998E-3</v>
    <v>Japanese Yen/US Dollar FX Cross Rate</v>
    <v>6.5329999999999997E-3</v>
    <v>6.5399999999999998E-3</v>
    <v>6.5259999999999997E-3</v>
    <v>JPYUSD</v>
    <v>JPY/USD</v>
  </rv>
  <rv s="9">
    <v>672</v>
  </rv>
  <rv s="4">
    <v>https://www.bing.com/financeapi/forcetrigger?t=brjvjc&amp;q=XNAS%3aDDOG&amp;form=skydnc</v>
    <v>Learn more on Bing</v>
  </rv>
  <rv s="10">
    <v>en-IN</v>
    <v>brjvjc</v>
    <v>268435456</v>
    <v>1</v>
    <v>Powered by Refinitiv</v>
    <v>46</v>
    <v>DATADOG, INC. (XNAS:DDOG)</v>
    <v>47</v>
    <v>48</v>
    <v>Finance</v>
    <v>49</v>
    <v>170.08</v>
    <v>81.63</v>
    <v>1.1853</v>
    <v>-0.12</v>
    <v>2.6840000000000002E-3</v>
    <v>-7.6630000000000003E-4</v>
    <v>0.42</v>
    <v>USD</v>
    <v>Datadog, Inc. provides an observability and security platform for cloud applications. The Company’s SaaS platform integrates and automates infrastructure monitoring, application performance monitoring, log management, user experience monitoring, cloud security and many other capabilities to provide unified, real-time observability and security for its customers’ entire technology stack. Its platform consists of products that can be used individually or as a unified solution and includes a marketplace where customers can access products built by its partners on top of the Datadog platform. Its products include Infrastructure Monitoring, Application Performance Monitoring, Log Management, Digital Experience Monitoring, Continuous Profiler, Database Monitoring, Data Observability, Universal Service Monitoring, Network Monitoring and others. It owns Metaplane, an end-to-end data observability platform that provides advanced machine learning-powered monitoring and column-level lineage.</v>
    <v>6500</v>
    <v>Nasdaq Stock Market</v>
    <v>XNAS</v>
    <v>XNAS</v>
    <v>620 8th Avenue, 45th Floor, NEW YORK, NY, 10018 US</v>
    <v>160.19999999999999</v>
    <v>Software &amp; IT Services</v>
    <v>Stock</v>
    <v>45954.983692846872</v>
    <v>674</v>
    <v>156.38999999999999</v>
    <v>53779980000</v>
    <v>DATADOG, INC.</v>
    <v>DATADOG, INC.</v>
    <v>158.99</v>
    <v>442.04309999999998</v>
    <v>156.59</v>
    <v>156.47</v>
    <v>156.88999999999999</v>
    <v>348745100</v>
    <v>DDOG</v>
    <v>DATADOG, INC. (XNAS:DDOG)</v>
    <v>2437805</v>
    <v>4133303</v>
    <v>2010</v>
  </rv>
  <rv s="9">
    <v>675</v>
  </rv>
  <rv s="0">
    <v>536870912</v>
    <v>Japan</v>
    <v>130d0438-fafb-cd2d-1a9e-1dd9c5aa87a9</v>
    <v>en-IN</v>
    <v>Map</v>
  </rv>
  <rv s="1">
    <fb>0.122640991880623</fb>
    <v>24</v>
  </rv>
  <rv s="1">
    <fb>377972.28</fb>
    <v>25</v>
  </rv>
  <rv s="1">
    <fb>261000</fb>
    <v>25</v>
  </rv>
  <rv s="1">
    <fb>7.4</fb>
    <v>26</v>
  </rv>
  <rv s="1">
    <fb>81</fb>
    <v>27</v>
  </rv>
  <rv s="0">
    <v>536870912</v>
    <v>Tokyo</v>
    <v>cb44a92f-6c6f-99c4-2ae3-51601fdc919a</v>
    <v>en-IN</v>
    <v>Map</v>
  </rv>
  <rv s="1">
    <fb>1135886.253</fb>
    <v>25</v>
  </rv>
  <rv s="1">
    <fb>105.482172148839</fb>
    <v>28</v>
  </rv>
  <rv s="1">
    <fb>4.7697368421052103E-3</fb>
    <v>24</v>
  </rv>
  <rv s="1">
    <fb>7819.7146359093604</fb>
    <v>25</v>
  </rv>
  <rv s="1">
    <fb>1.42</fb>
    <v>26</v>
  </rv>
  <rv s="1">
    <fb>0.68456222269653788</fb>
    <v>24</v>
  </rv>
  <rv s="1">
    <fb>93.026455107462894</fb>
    <v>29</v>
  </rv>
  <rv s="1">
    <fb>1.06</fb>
    <v>30</v>
  </rv>
  <rv s="1">
    <fb>5081769542379.7695</fb>
    <v>31</v>
  </rv>
  <rv s="1">
    <fb>0.98799942016601605</fb>
    <v>24</v>
  </rv>
  <rv s="1">
    <fb>0.63237579345703099</fb>
    <v>24</v>
  </rv>
  <rv s="2">
    <v>17</v>
    <v>22</v>
    <v>134</v>
    <v>7</v>
    <v>0</v>
    <v>Image of Japan</v>
  </rv>
  <rv s="1">
    <fb>1.8</fb>
    <v>29</v>
  </rv>
  <rv s="0">
    <v>805306368</v>
    <v>Fumio Kishida (Prime minister)</v>
    <v>4c39adbe-f9a5-4343-12a6-6f72b644c5f9</v>
    <v>en-IN</v>
    <v>Generic</v>
  </rv>
  <rv s="3">
    <v>34</v>
  </rv>
  <rv s="4">
    <v>https://www.bing.com/search?q=japan&amp;form=skydnc</v>
    <v>Learn more on Bing</v>
  </rv>
  <rv s="1">
    <fb>84.210975609756105</fb>
    <v>29</v>
  </rv>
  <rv s="1">
    <fb>6191073290000</fb>
    <v>31</v>
  </rv>
  <rv s="1">
    <fb>6.77</fb>
    <v>30</v>
  </rv>
  <rv s="3">
    <v>35</v>
  </rv>
  <rv s="1">
    <fb>0.13097521000000001</fb>
    <v>24</v>
  </rv>
  <rv s="1">
    <fb>2.4115000000000002</fb>
    <v>26</v>
  </rv>
  <rv s="1">
    <fb>125124989</fb>
    <v>25</v>
  </rv>
  <rv s="1">
    <fb>0.26400000000000001</fb>
    <v>24</v>
  </rv>
  <rv s="1">
    <fb>0.41100000000000003</fb>
    <v>24</v>
  </rv>
  <rv s="1">
    <fb>2.8999999999999998E-2</fb>
    <v>24</v>
  </rv>
  <rv s="1">
    <fb>0.128</fb>
    <v>24</v>
  </rv>
  <rv s="1">
    <fb>0.16600000000000001</fb>
    <v>24</v>
  </rv>
  <rv s="1">
    <fb>0.61726001739502001</fb>
    <v>24</v>
  </rv>
  <rv s="0">
    <v>536870912</v>
    <v>Aichi Prefecture</v>
    <v>404b15c4-d9ae-5896-6d50-b1481f5dd5cd</v>
    <v>en-IN</v>
    <v>Map</v>
  </rv>
  <rv s="0">
    <v>536870912</v>
    <v>Akita Prefecture</v>
    <v>23901f9e-0010-b10e-217f-76889688c150</v>
    <v>en-IN</v>
    <v>Map</v>
  </rv>
  <rv s="0">
    <v>536870912</v>
    <v>Aomori Prefecture</v>
    <v>bdd4a43f-5a1f-1483-b74b-1c2e2d564a31</v>
    <v>en-IN</v>
    <v>Map</v>
  </rv>
  <rv s="0">
    <v>536870912</v>
    <v>Chiba Prefecture</v>
    <v>0d6c59a9-daa8-57c7-3846-568b398d3c41</v>
    <v>en-IN</v>
    <v>Map</v>
  </rv>
  <rv s="0">
    <v>536870912</v>
    <v>Fukui Prefecture</v>
    <v>e859104b-0d73-b8bf-c4f4-56888a2281cd</v>
    <v>en-IN</v>
    <v>Map</v>
  </rv>
  <rv s="0">
    <v>536870912</v>
    <v>Fukushima Prefecture</v>
    <v>73791ec1-3b90-e21b-3cc7-0e8444934877</v>
    <v>en-IN</v>
    <v>Map</v>
  </rv>
  <rv s="0">
    <v>536870912</v>
    <v>Gunma Prefecture</v>
    <v>b64077a0-378d-c23f-b45c-2b3a03cba119</v>
    <v>en-IN</v>
    <v>Map</v>
  </rv>
  <rv s="0">
    <v>536870912</v>
    <v>Ibaraki Prefecture</v>
    <v>d16517c8-96b5-094f-f4ce-4aa391d6c7a2</v>
    <v>en-IN</v>
    <v>Map</v>
  </rv>
  <rv s="0">
    <v>536870912</v>
    <v>Iwate Prefecture</v>
    <v>02eea5a7-6ae7-8bf6-a17a-c242b4162121</v>
    <v>en-IN</v>
    <v>Map</v>
  </rv>
  <rv s="0">
    <v>536870912</v>
    <v>Miyagi Prefecture</v>
    <v>2df5e06d-7fb5-6da7-5d3b-29b4ff80395e</v>
    <v>en-IN</v>
    <v>Map</v>
  </rv>
  <rv s="0">
    <v>536870912</v>
    <v>Saitama Prefecture</v>
    <v>03a81bc6-6fd0-fac9-0958-cd81fcf07a35</v>
    <v>en-IN</v>
    <v>Map</v>
  </rv>
  <rv s="0">
    <v>536870912</v>
    <v>Tochigi Prefecture</v>
    <v>faae3362-0727-4ec5-6d01-3048e7e1526c</v>
    <v>en-IN</v>
    <v>Map</v>
  </rv>
  <rv s="0">
    <v>536870912</v>
    <v>Kanagawa Prefecture</v>
    <v>d5976989-847c-bcca-3cb3-11bfacc55c5d</v>
    <v>en-IN</v>
    <v>Map</v>
  </rv>
  <rv s="0">
    <v>536870912</v>
    <v>Niigata Prefecture</v>
    <v>d88c2b16-14cc-3861-9ddc-31ebd94b17d9</v>
    <v>en-IN</v>
    <v>Map</v>
  </rv>
  <rv s="0">
    <v>536870912</v>
    <v>Toyama Prefecture</v>
    <v>3fd9a341-4706-cc8a-3953-779219c2cc10</v>
    <v>en-IN</v>
    <v>Map</v>
  </rv>
  <rv s="0">
    <v>536870912</v>
    <v>Ishikawa Prefecture</v>
    <v>db2b14c2-e9db-32f7-5d44-025637689af0</v>
    <v>en-IN</v>
    <v>Map</v>
  </rv>
  <rv s="0">
    <v>536870912</v>
    <v>Yamagata Prefecture</v>
    <v>74d18529-a623-a2f9-9e38-40891e57c7d8</v>
    <v>en-IN</v>
    <v>Map</v>
  </rv>
  <rv s="0">
    <v>536870912</v>
    <v>Yamanashi Prefecture</v>
    <v>3e9e0d88-33e9-a04d-7fd7-a1679da279b5</v>
    <v>en-IN</v>
    <v>Map</v>
  </rv>
  <rv s="0">
    <v>536870912</v>
    <v>Nagano Prefecture</v>
    <v>7afcd7d0-3729-6e2f-d60f-ace5cc191bd0</v>
    <v>en-IN</v>
    <v>Map</v>
  </rv>
  <rv s="0">
    <v>536870912</v>
    <v>Gifu Prefecture</v>
    <v>2c82ed6b-33c4-4355-bd09-71939ba5ff4a</v>
    <v>en-IN</v>
    <v>Map</v>
  </rv>
  <rv s="0">
    <v>536870912</v>
    <v>Shizuoka Prefecture</v>
    <v>ca8ec756-8a3c-20a2-7e11-d24e284b7258</v>
    <v>en-IN</v>
    <v>Map</v>
  </rv>
  <rv s="0">
    <v>536870912</v>
    <v>Mie Prefecture</v>
    <v>36b5c190-9782-f717-071c-66ee3f0eab90</v>
    <v>en-IN</v>
    <v>Map</v>
  </rv>
  <rv s="0">
    <v>536870912</v>
    <v>Shiga Prefecture</v>
    <v>a778bb7c-b03b-d571-1839-962c4dea2bb2</v>
    <v>en-IN</v>
    <v>Map</v>
  </rv>
  <rv s="0">
    <v>536870912</v>
    <v>Kyoto Prefecture</v>
    <v>699d1960-1267-7c97-6c62-e139537430a0</v>
    <v>en-IN</v>
    <v>Map</v>
  </rv>
  <rv s="0">
    <v>536870912</v>
    <v>Osaka Prefecture</v>
    <v>a583e9fe-2d16-b004-281e-4c6841471145</v>
    <v>en-IN</v>
    <v>Map</v>
  </rv>
  <rv s="0">
    <v>536870912</v>
    <v>Hyogo Prefecture</v>
    <v>018712db-aec7-3894-1042-cbf5df14fac5</v>
    <v>en-IN</v>
    <v>Map</v>
  </rv>
  <rv s="0">
    <v>536870912</v>
    <v>Nara Prefecture</v>
    <v>99c4ba8c-9fb8-efe8-6368-0eb648372fb2</v>
    <v>en-IN</v>
    <v>Map</v>
  </rv>
  <rv s="0">
    <v>536870912</v>
    <v>Wakayama Prefecture</v>
    <v>fa064941-15ba-eb91-63a1-7e13f0aaa879</v>
    <v>en-IN</v>
    <v>Map</v>
  </rv>
  <rv s="0">
    <v>536870912</v>
    <v>Tottori Prefecture</v>
    <v>5bfbddb8-df0b-1d9c-3772-363d9be5878a</v>
    <v>en-IN</v>
    <v>Map</v>
  </rv>
  <rv s="0">
    <v>536870912</v>
    <v>Shimane Prefecture</v>
    <v>580cd2e8-a550-7297-21b8-252fe27c1650</v>
    <v>en-IN</v>
    <v>Map</v>
  </rv>
  <rv s="0">
    <v>536870912</v>
    <v>Okayama Prefecture</v>
    <v>e9792cdf-f004-a2bf-db55-28eabec2a7c0</v>
    <v>en-IN</v>
    <v>Map</v>
  </rv>
  <rv s="0">
    <v>536870912</v>
    <v>Hiroshima Prefecture</v>
    <v>75de6a1b-763c-40ed-8e98-60dc318775fc</v>
    <v>en-IN</v>
    <v>Map</v>
  </rv>
  <rv s="0">
    <v>536870912</v>
    <v>Yamaguchi Prefecture</v>
    <v>8a70f93f-b3cb-6430-8962-9b62c21575f3</v>
    <v>en-IN</v>
    <v>Map</v>
  </rv>
  <rv s="0">
    <v>536870912</v>
    <v>Tokushima Prefecture</v>
    <v>90ca77f2-2c01-cf7e-fb1e-58a68f9fc0bf</v>
    <v>en-IN</v>
    <v>Map</v>
  </rv>
  <rv s="0">
    <v>536870912</v>
    <v>Kagawa Prefecture</v>
    <v>bdd9ba22-f775-2984-6115-5438af268070</v>
    <v>en-IN</v>
    <v>Map</v>
  </rv>
  <rv s="0">
    <v>536870912</v>
    <v>Ehime Prefecture</v>
    <v>0e0b1bbf-5926-d5dc-0e10-24f8c566ca8c</v>
    <v>en-IN</v>
    <v>Map</v>
  </rv>
  <rv s="0">
    <v>536870912</v>
    <v>Kōchi Prefecture</v>
    <v>3fcb8073-d695-79de-cd11-91dc78fb0481</v>
    <v>en-IN</v>
    <v>Map</v>
  </rv>
  <rv s="0">
    <v>536870912</v>
    <v>Fukuoka Prefecture</v>
    <v>a58bcb0e-97b3-0ac9-f0c0-e119441e5cba</v>
    <v>en-IN</v>
    <v>Map</v>
  </rv>
  <rv s="0">
    <v>536870912</v>
    <v>Nagasaki Prefecture</v>
    <v>8caf62a2-006c-dde2-9c4d-e19d90ff2f0e</v>
    <v>en-IN</v>
    <v>Map</v>
  </rv>
  <rv s="0">
    <v>536870912</v>
    <v>Kumamoto Prefecture</v>
    <v>52bcf337-792b-3880-8875-847fe25699df</v>
    <v>en-IN</v>
    <v>Map</v>
  </rv>
  <rv s="0">
    <v>536870912</v>
    <v>Oita Prefecture</v>
    <v>c81f03fa-05e5-d708-3db6-3b6d5ed92f67</v>
    <v>en-IN</v>
    <v>Map</v>
  </rv>
  <rv s="0">
    <v>536870912</v>
    <v>Miyazaki Prefecture</v>
    <v>3bb91686-f345-53cf-6fb8-97d98890dc7d</v>
    <v>en-IN</v>
    <v>Map</v>
  </rv>
  <rv s="0">
    <v>536870912</v>
    <v>Kagoshima Prefecture</v>
    <v>c3e1f2d9-0225-9e77-d77d-952bbf72ceb7</v>
    <v>en-IN</v>
    <v>Map</v>
  </rv>
  <rv s="0">
    <v>536870912</v>
    <v>Okinawa Prefecture</v>
    <v>e26094bf-30f4-9d5e-ed21-f166be1cfad3</v>
    <v>en-IN</v>
    <v>Map</v>
  </rv>
  <rv s="0">
    <v>536870912</v>
    <v>Saga Prefecture</v>
    <v>171c9320-6b1a-2ebc-2002-85b3d707f979</v>
    <v>en-IN</v>
    <v>Map</v>
  </rv>
  <rv s="3">
    <v>36</v>
  </rv>
  <rv s="1">
    <fb>0.11905933830538</fb>
    <v>24</v>
  </rv>
  <rv s="3">
    <v>37</v>
  </rv>
  <rv s="1">
    <fb>0.46700000000000003</fb>
    <v>24</v>
  </rv>
  <rv s="1">
    <fb>2.2909998893737803E-2</fb>
    <v>32</v>
  </rv>
  <rv s="1">
    <fb>115782416</fb>
    <v>25</v>
  </rv>
  <rv s="5">
    <v>#VALUE!</v>
    <v>en-IN</v>
    <v>130d0438-fafb-cd2d-1a9e-1dd9c5aa87a9</v>
    <v>536870912</v>
    <v>1</v>
    <v>137</v>
    <v>18</v>
    <v>Japan</v>
    <v>20</v>
    <v>21</v>
    <v>Map</v>
    <v>22</v>
    <v>138</v>
    <v>JP</v>
    <v>678</v>
    <v>679</v>
    <v>680</v>
    <v>681</v>
    <v>682</v>
    <v>683</v>
    <v>684</v>
    <v>685</v>
    <v>686</v>
    <v>JPY</v>
    <v>Japan is an island country in East Asia. It is in the northwest Pacific Ocean and is bordered on the west by the Sea of Japan, extending from the Sea of Okhotsk in the north toward the East China Sea, Philippine Sea, and Taiwan in the south. ...</v>
    <v>687</v>
    <v>688</v>
    <v>689</v>
    <v>690</v>
    <v>691</v>
    <v>692</v>
    <v>693</v>
    <v>694</v>
    <v>695</v>
    <v>696</v>
    <v>683</v>
    <v>698</v>
    <v>699</v>
    <v>700</v>
    <v>701</v>
    <v>403</v>
    <v>702</v>
    <v>Japan</v>
    <v>Kimigayo</v>
    <v>703</v>
    <v>日本国</v>
    <v>704</v>
    <v>705</v>
    <v>706</v>
    <v>139</v>
    <v>707</v>
    <v>708</v>
    <v>709</v>
    <v>38</v>
    <v>710</v>
    <v>711</v>
    <v>712</v>
    <v>758</v>
    <v>759</v>
    <v>760</v>
    <v>761</v>
    <v>762</v>
    <v>Japan</v>
    <v>763</v>
    <v>mdp/vdpid/122</v>
  </rv>
  <rv s="1">
    <fb>2194.0500000000002</fb>
    <v>25</v>
  </rv>
  <rv s="0">
    <v>536870912</v>
    <v>Special wards of Tokyo</v>
    <v>991a398b-acba-89c9-84b8-4eb77b3886d7</v>
    <v>en-IN</v>
    <v>Map</v>
  </rv>
  <rv s="2">
    <v>18</v>
    <v>22</v>
    <v>139</v>
    <v>7</v>
    <v>0</v>
    <v>Image of Tokyo</v>
  </rv>
  <rv s="0">
    <v>536870912</v>
    <v>Shinjuku</v>
    <v>5632a22f-8419-6fb3-4f39-59c7c6326f8c</v>
    <v>en-IN</v>
    <v>Map</v>
  </rv>
  <rv s="0">
    <v>805306368</v>
    <v>Yuriko Koike (Governor)</v>
    <v>3529b845-857d-a726-e527-f3385928e06a</v>
    <v>en-IN</v>
    <v>Generic</v>
  </rv>
  <rv s="3">
    <v>38</v>
  </rv>
  <rv s="4">
    <v>https://www.bing.com/search?q=tokyo&amp;form=skydnc</v>
    <v>Learn more on Bing</v>
  </rv>
  <rv s="1">
    <fb>14264798</fb>
    <v>25</v>
  </rv>
  <rv s="23">
    <v>#VALUE!</v>
    <v>en-IN</v>
    <v>cb44a92f-6c6f-99c4-2ae3-51601fdc919a</v>
    <v>536870912</v>
    <v>1</v>
    <v>141</v>
    <v>142</v>
    <v>Tokyo</v>
    <v>20</v>
    <v>21</v>
    <v>Map</v>
    <v>22</v>
    <v>94</v>
    <v>JP-13</v>
    <v>765</v>
    <v>766</v>
    <v>677</v>
    <v>Tokyo, officially the Tokyo Metropolis, is the capital and the most populous prefecture of Japan. Tokyo's metropolitan area is the most populous in the world, with an estimated 37.468 million residents as of 2018; although this number has been ...</v>
    <v>767</v>
    <v>768</v>
    <v>770</v>
    <v>771</v>
    <v>Tokyo</v>
    <v>772</v>
    <v>760</v>
    <v>Tokyo</v>
    <v>mdp/vdpid/7932754762162765825</v>
  </rv>
  <rv s="2">
    <v>17</v>
    <v>22</v>
    <v>134</v>
    <v>3</v>
    <v>0</v>
    <v>Image of Japan</v>
  </rv>
  <rv s="8">
    <v>en-IN</v>
    <v>avylur</v>
    <v>268435456</v>
    <v>1</v>
    <v>Powered by Refinitiv</v>
    <v>42</v>
    <v>USD/CAD</v>
    <v>43</v>
    <v>143</v>
    <v>Finance</v>
    <v>45</v>
    <v>1.4793000000000001</v>
    <v>1.3536999999999999</v>
    <v>-5.9999999999999995E-4</v>
    <v>-4.2869999999999996E-4</v>
    <v>CAD</v>
    <v>USD</v>
    <v>1.401</v>
    <v>Currency Pair</v>
    <v>45957.217604166668</v>
    <v>1.3978999999999999</v>
    <v>US Dollar/Canadian Dollar FX Spot Rate</v>
    <v>1.3997999999999999</v>
    <v>1.3995</v>
    <v>1.3989</v>
    <v>USDCAD</v>
    <v>USD/CAD</v>
  </rv>
  <rv s="9">
    <v>775</v>
  </rv>
  <rv s="4">
    <v>https://www.bing.com/financeapi/forcetrigger?t=a24nyc&amp;q=XNYS%3aTWLO&amp;form=skydnc</v>
    <v>Learn more on Bing</v>
  </rv>
  <rv s="10">
    <v>en-IN</v>
    <v>a24nyc</v>
    <v>268435456</v>
    <v>1</v>
    <v>Powered by Refinitiv</v>
    <v>46</v>
    <v>TWILIO INC. (XNYS:TWLO)</v>
    <v>47</v>
    <v>48</v>
    <v>Finance</v>
    <v>49</v>
    <v>151.94999999999999</v>
    <v>70.03</v>
    <v>1.3079000000000001</v>
    <v>1.74</v>
    <v>1.5100000000000001E-3</v>
    <v>1.5701E-2</v>
    <v>0.17</v>
    <v>USD</v>
    <v>Twilio Inc. provides a customer engagement platform to build direct, personalized relationships with their customers everywhere in the world. Its platform provides developers with tools to build, scale, and deploy real-time communications within software applications. Its segments include Twilio Communications (Communications) and Twilio Segment (Segment). The Communications segment consists of a variety of application programming interfaces (APIs) and software solutions to optimize communications between its customers and their end users. Its key offerings in its Communications segment include Messaging, Voice, Email (includes Marketing Campaigns), Flex and User Authentication and Identity. Its Twilio Flex is a digital engagement center for the entire customer journey. Twilio Segment is a customer data platform that provides businesses with the tools to harness the power of contextual data by unifying real-time information collected throughout each customer’s journey into a profile.</v>
    <v>5535</v>
    <v>New York Stock Exchange</v>
    <v>XNYS</v>
    <v>XNYS</v>
    <v>101 Spear Street, Fifth Floor, SAN FRANCISCO, CA, 94105 US</v>
    <v>113.69</v>
    <v>Software &amp; IT Services</v>
    <v>Stock</v>
    <v>45954.999816064061</v>
    <v>777</v>
    <v>111.5401</v>
    <v>16787170000</v>
    <v>TWILIO INC.</v>
    <v>TWILIO INC.</v>
    <v>112</v>
    <v>953.49429999999995</v>
    <v>110.82</v>
    <v>112.56</v>
    <v>112.73</v>
    <v>153433600</v>
    <v>TWLO</v>
    <v>TWILIO INC. (XNYS:TWLO)</v>
    <v>1272103</v>
    <v>2577867</v>
    <v>2008</v>
  </rv>
  <rv s="9">
    <v>778</v>
  </rv>
  <rv s="0">
    <v>536870912</v>
    <v>Jordan</v>
    <v>111b516f-9a1d-0733-ed2d-cb194484fa44</v>
    <v>en-IN</v>
    <v>Map</v>
  </rv>
  <rv s="1">
    <fb>0.120067578388995</fb>
    <v>24</v>
  </rv>
  <rv s="1">
    <fb>89341</fb>
    <v>25</v>
  </rv>
  <rv s="1">
    <fb>116000</fb>
    <v>25</v>
  </rv>
  <rv s="1">
    <fb>21.978999999999999</fb>
    <v>26</v>
  </rv>
  <rv s="1">
    <fb>962</fb>
    <v>27</v>
  </rv>
  <rv s="0">
    <v>536870912</v>
    <v>Amman</v>
    <v>05e784b3-b37b-bbfa-61a2-51fd431de2b9</v>
    <v>en-IN</v>
    <v>Map</v>
  </rv>
  <rv s="1">
    <fb>25107.949000000001</fb>
    <v>25</v>
  </rv>
  <rv s="1">
    <fb>125.604002606804</fb>
    <v>28</v>
  </rv>
  <rv s="1">
    <fb>7.6151404726551297E-3</fb>
    <v>24</v>
  </rv>
  <rv s="1">
    <fb>1864.67585548017</fb>
    <v>25</v>
  </rv>
  <rv s="1">
    <fb>2.7610000000000001</fb>
    <v>26</v>
  </rv>
  <rv s="1">
    <fb>1.09822031989187E-2</fb>
    <v>24</v>
  </rv>
  <rv s="1">
    <fb>97.608446650523305</fb>
    <v>29</v>
  </rv>
  <rv s="1">
    <fb>1.1000000000000001</fb>
    <v>30</v>
  </rv>
  <rv s="1">
    <fb>43743661971.831001</fb>
    <v>31</v>
  </rv>
  <rv s="1">
    <fb>0.81458900000000001</fb>
    <v>24</v>
  </rv>
  <rv s="1">
    <fb>0.34415319999999999</fb>
    <v>24</v>
  </rv>
  <rv s="2">
    <v>19</v>
    <v>22</v>
    <v>145</v>
    <v>7</v>
    <v>0</v>
    <v>Image of Jordan</v>
  </rv>
  <rv s="1">
    <fb>13.9</fb>
    <v>29</v>
  </rv>
  <rv s="0">
    <v>805306368</v>
    <v>Abdullah II of Jordan (Monarch)</v>
    <v>08352409-46f2-f145-9cc9-f6ff3033fa78</v>
    <v>en-IN</v>
    <v>Generic</v>
  </rv>
  <rv s="0">
    <v>805306368</v>
    <v>Bisher Khasawneh (Prime minister)</v>
    <v>ebfa205b-f82d-aa82-1454-991f860c463a</v>
    <v>en-IN</v>
    <v>Generic</v>
  </rv>
  <rv s="3">
    <v>39</v>
  </rv>
  <rv s="4">
    <v>https://www.bing.com/search?q=jordan+country&amp;form=skydnc</v>
    <v>Learn more on Bing</v>
  </rv>
  <rv s="1">
    <fb>74.405000000000001</fb>
    <v>29</v>
  </rv>
  <rv s="1">
    <fb>21036390000</fb>
    <v>31</v>
  </rv>
  <rv s="1">
    <fb>46</fb>
    <v>29</v>
  </rv>
  <rv s="1">
    <fb>1.49</fb>
    <v>30</v>
  </rv>
  <rv s="3">
    <v>40</v>
  </rv>
  <rv s="1">
    <fb>0.25149342889999998</fb>
    <v>24</v>
  </rv>
  <rv s="1">
    <fb>2.3237000000000001</fb>
    <v>26</v>
  </rv>
  <rv s="1">
    <fb>11285869</fb>
    <v>25</v>
  </rv>
  <rv s="1">
    <fb>0.215</fb>
    <v>24</v>
  </rv>
  <rv s="1">
    <fb>0.27500000000000002</fb>
    <v>24</v>
  </rv>
  <rv s="1">
    <fb>0.42399999999999999</fb>
    <v>24</v>
  </rv>
  <rv s="1">
    <fb>3.5000000000000003E-2</fb>
    <v>24</v>
  </rv>
  <rv s="1">
    <fb>8.199999999999999E-2</fb>
    <v>24</v>
  </rv>
  <rv s="1">
    <fb>0.121</fb>
    <v>24</v>
  </rv>
  <rv s="1">
    <fb>0.158</fb>
    <v>24</v>
  </rv>
  <rv s="1">
    <fb>0.39305000305175802</fb>
    <v>24</v>
  </rv>
  <rv s="0">
    <v>536870912</v>
    <v>Ajloun Governorate</v>
    <v>80aa29e0-a467-2645-06bb-30b680e66a6a</v>
    <v>en-IN</v>
    <v>Map</v>
  </rv>
  <rv s="0">
    <v>536870912</v>
    <v>Amman Governorate</v>
    <v>316ce6a3-9974-fe7d-c3ea-cbab3a103f87</v>
    <v>en-IN</v>
    <v>Map</v>
  </rv>
  <rv s="0">
    <v>536870912</v>
    <v>Aqaba Governorate</v>
    <v>cfc71b48-beb2-d58b-3741-0902cab49a9b</v>
    <v>en-IN</v>
    <v>Map</v>
  </rv>
  <rv s="0">
    <v>536870912</v>
    <v>Balqa Governorate</v>
    <v>77da87d8-9e91-1a7b-7985-fa13cd1a5016</v>
    <v>en-IN</v>
    <v>Map</v>
  </rv>
  <rv s="0">
    <v>536870912</v>
    <v>Irbid Governorate</v>
    <v>443bda08-543e-7676-e8a0-49a119dc4edd</v>
    <v>en-IN</v>
    <v>Map</v>
  </rv>
  <rv s="0">
    <v>536870912</v>
    <v>Jerash Governorate</v>
    <v>8946c6bd-34ea-4f44-7634-39fd4744719d</v>
    <v>en-IN</v>
    <v>Map</v>
  </rv>
  <rv s="0">
    <v>536870912</v>
    <v>Karak Governorate</v>
    <v>c9560074-620a-5bb7-6588-1f9b2354692e</v>
    <v>en-IN</v>
    <v>Map</v>
  </rv>
  <rv s="0">
    <v>536870912</v>
    <v>Ma'an Governorate</v>
    <v>5b78b9c7-3924-d034-8b7f-ce578636d44a</v>
    <v>en-IN</v>
    <v>Map</v>
  </rv>
  <rv s="0">
    <v>536870912</v>
    <v>Madaba Governorate</v>
    <v>1571af9a-c3c5-829f-3234-209fa1eecd52</v>
    <v>en-IN</v>
    <v>Map</v>
  </rv>
  <rv s="0">
    <v>536870912</v>
    <v>Mafraq Governorate</v>
    <v>da0f3d2e-6311-b96f-091f-8a4643549026</v>
    <v>en-IN</v>
    <v>Map</v>
  </rv>
  <rv s="0">
    <v>536870912</v>
    <v>Tafilah Governorate</v>
    <v>c3e27c26-b0ca-d509-af99-caba76ee09bd</v>
    <v>en-IN</v>
    <v>Map</v>
  </rv>
  <rv s="0">
    <v>536870912</v>
    <v>Zarqa Governorate</v>
    <v>e4bc1864-3f32-f31a-886a-4996d6cf3d05</v>
    <v>en-IN</v>
    <v>Map</v>
  </rv>
  <rv s="3">
    <v>41</v>
  </rv>
  <rv s="1">
    <fb>0.15126289761747999</fb>
    <v>24</v>
  </rv>
  <rv s="1">
    <fb>0.28600000000000003</fb>
    <v>24</v>
  </rv>
  <rv s="1">
    <fb>0.14715000152587898</fb>
    <v>32</v>
  </rv>
  <rv s="1">
    <fb>9213048</fb>
    <v>25</v>
  </rv>
  <rv s="19">
    <v>#VALUE!</v>
    <v>en-IN</v>
    <v>111b516f-9a1d-0733-ed2d-cb194484fa44</v>
    <v>536870912</v>
    <v>1</v>
    <v>148</v>
    <v>105</v>
    <v>Jordan</v>
    <v>20</v>
    <v>21</v>
    <v>Map</v>
    <v>22</v>
    <v>149</v>
    <v>JO</v>
    <v>781</v>
    <v>782</v>
    <v>783</v>
    <v>784</v>
    <v>785</v>
    <v>786</v>
    <v>787</v>
    <v>788</v>
    <v>789</v>
    <v>JOD</v>
    <v>Jordan, officially the Hashemite Kingdom of Jordan, is a country in West Asia. It is situated at the crossroads of Asia, Africa, and Europe, within the Levant region, on the East Bank of the Jordan River. Jordan is bordered by Saudi Arabia to ...</v>
    <v>790</v>
    <v>791</v>
    <v>792</v>
    <v>793</v>
    <v>794</v>
    <v>795</v>
    <v>796</v>
    <v>797</v>
    <v>798</v>
    <v>799</v>
    <v>786</v>
    <v>802</v>
    <v>803</v>
    <v>804</v>
    <v>805</v>
    <v>806</v>
    <v>807</v>
    <v>Jordan</v>
    <v>The Royal Anthem of Jordan</v>
    <v>808</v>
    <v>le Royaume hachémite de Jordanie</v>
    <v>809</v>
    <v>810</v>
    <v>811</v>
    <v>812</v>
    <v>813</v>
    <v>814</v>
    <v>815</v>
    <v>816</v>
    <v>817</v>
    <v>818</v>
    <v>819</v>
    <v>832</v>
    <v>833</v>
    <v>834</v>
    <v>835</v>
    <v>Jordan</v>
    <v>836</v>
    <v>mdp/vdpid/126</v>
  </rv>
  <rv s="1">
    <fb>1680</fb>
    <v>25</v>
  </rv>
  <rv s="2">
    <v>20</v>
    <v>22</v>
    <v>150</v>
    <v>7</v>
    <v>0</v>
    <v>Image of Amman</v>
  </rv>
  <rv s="1">
    <fb>31.95</fb>
    <v>37</v>
  </rv>
  <rv s="0">
    <v>805306368</v>
    <v>Yousef Shawarbeh (Mayor)</v>
    <v>044baef2-7636-0ea5-a610-c94b1d11046d</v>
    <v>en-IN</v>
    <v>Generic</v>
  </rv>
  <rv s="3">
    <v>42</v>
  </rv>
  <rv s="4">
    <v>https://www.bing.com/search?q=amman&amp;form=skydnc</v>
    <v>Learn more on Bing</v>
  </rv>
  <rv s="1">
    <fb>35.933333333333003</fb>
    <v>37</v>
  </rv>
  <rv s="1">
    <fb>4007526</fb>
    <v>25</v>
  </rv>
  <rv s="3">
    <v>43</v>
  </rv>
  <rv s="24">
    <v>#VALUE!</v>
    <v>en-IN</v>
    <v>05e784b3-b37b-bbfa-61a2-51fd431de2b9</v>
    <v>536870912</v>
    <v>1</v>
    <v>151</v>
    <v>152</v>
    <v>Amman</v>
    <v>20</v>
    <v>21</v>
    <v>Map</v>
    <v>22</v>
    <v>153</v>
    <v>821</v>
    <v>838</v>
    <v>780</v>
    <v>Amman is the capital and the largest city of Jordan, and the country's economic, political, and cultural center. With a population of 4,061,150 as of 2021, Amman is Jordan's primate city and is the largest city in the Levant region, the ...</v>
    <v>839</v>
    <v>840</v>
    <v>842</v>
    <v>843</v>
    <v>844</v>
    <v>Amman</v>
    <v>845</v>
    <v>846</v>
    <v>Amman</v>
    <v>mdp/vdpid/7269292202004578305</v>
  </rv>
  <rv s="2">
    <v>19</v>
    <v>22</v>
    <v>145</v>
    <v>3</v>
    <v>0</v>
    <v>Image of Jordan</v>
  </rv>
  <rv s="8">
    <v>en-IN</v>
    <v>av3wnm</v>
    <v>268435456</v>
    <v>1</v>
    <v>Powered by Refinitiv</v>
    <v>42</v>
    <v>CAD/USD</v>
    <v>43</v>
    <v>62</v>
    <v>Finance</v>
    <v>45</v>
    <v>0.73850000000000005</v>
    <v>0.67589999999999995</v>
    <v>2.0000000000000001E-4</v>
    <v>2.7990000000000003E-4</v>
    <v>USD</v>
    <v>CAD</v>
    <v>0.71540000000000004</v>
    <v>Currency Pair</v>
    <v>45957.217604166668</v>
    <v>0.71379999999999999</v>
    <v>Canadian Dollar/US Dollar FX Cross Rate</v>
    <v>0.71430000000000005</v>
    <v>0.71450000000000002</v>
    <v>0.7147</v>
    <v>CADUSD</v>
    <v>CAD/USD</v>
  </rv>
  <rv s="9">
    <v>849</v>
  </rv>
  <rv s="4">
    <v>https://www.bing.com/financeapi/forcetrigger?t=azqpgh&amp;q=XNAS%3aDOCU&amp;form=skydnc</v>
    <v>Learn more on Bing</v>
  </rv>
  <rv s="10">
    <v>en-IN</v>
    <v>azqpgh</v>
    <v>268435456</v>
    <v>1</v>
    <v>Powered by Refinitiv</v>
    <v>46</v>
    <v>DOCUSIGN, INC. (XNAS:DOCU)</v>
    <v>47</v>
    <v>48</v>
    <v>Finance</v>
    <v>49</v>
    <v>107.8599</v>
    <v>66.352400000000003</v>
    <v>1.0152000000000001</v>
    <v>0.41</v>
    <v>-1.2590000000000001E-3</v>
    <v>5.7679999999999997E-3</v>
    <v>-0.09</v>
    <v>USD</v>
    <v>DocuSign, Inc. provides intelligent agreement management (IAM) platform an eSignature solution, and contract lifecycle management (CLM) solution - allow organizations to increase productivity, accelerate contract review cycles, and transform agreement data into insights and actions. The Company’s IAM platform automates agreement workflows, uncovers actionable insights, and leverages artificial intelligence (AI) capabilities, enabling organizations to create, commit, and manage agreements virtually. Its products include eSignature, CLM, IAM Apps, and Add-on Products. Its Add-on Products include Payments to collect payments along with signed agreements; Identity and standards-based signature for enhanced signer-identification and signatures with digital certification; Notary for remote online notarization; Monitor for advanced analytics; Gen for Salesforce for automated agreement generation within Salesforce, among others.</v>
    <v>6838</v>
    <v>Nasdaq Stock Market</v>
    <v>XNAS</v>
    <v>XNAS</v>
    <v>221 Main St., Suite 1550, SAN FRANCISCO, CA, 94105 US</v>
    <v>72.5</v>
    <v>Software &amp; IT Services</v>
    <v>Stock</v>
    <v>45954.999667441407</v>
    <v>851</v>
    <v>71.319999999999993</v>
    <v>14189910000</v>
    <v>DOCUSIGN, INC.</v>
    <v>DOCUSIGN, INC.</v>
    <v>72.2</v>
    <v>53.751899999999999</v>
    <v>71.08</v>
    <v>71.489999999999995</v>
    <v>71.400000000000006</v>
    <v>201104100</v>
    <v>DOCU</v>
    <v>DOCUSIGN, INC. (XNAS:DOCU)</v>
    <v>1175268</v>
    <v>3440207</v>
    <v>2012</v>
  </rv>
  <rv s="9">
    <v>852</v>
  </rv>
  <rv s="0">
    <v>536870912</v>
    <v>Kazakhstan</v>
    <v>e0805137-3da3-4a72-90fe-4289ba952ed0</v>
    <v>en-IN</v>
    <v>Map</v>
  </rv>
  <rv s="1">
    <fb>0.80376338111641998</fb>
    <v>24</v>
  </rv>
  <rv s="1">
    <fb>2724900</fb>
    <v>25</v>
  </rv>
  <rv s="1">
    <fb>71000</fb>
    <v>25</v>
  </rv>
  <rv s="1">
    <fb>21.77</fb>
    <v>26</v>
  </rv>
  <rv s="1">
    <fb>7</fb>
    <v>27</v>
  </rv>
  <rv s="0">
    <v>536870912</v>
    <v>Astana</v>
    <v>d441165c-641c-f1c1-05d9-ee7ee06c2f67</v>
    <v>en-IN</v>
    <v>Map</v>
  </rv>
  <rv s="1">
    <fb>247207.13800000001</fb>
    <v>25</v>
  </rv>
  <rv s="1">
    <fb>182.75</fb>
    <v>28</v>
  </rv>
  <rv s="1">
    <fb>5.2454767960836896E-2</fb>
    <v>24</v>
  </rv>
  <rv s="1">
    <fb>5600.2084648650798</fb>
    <v>25</v>
  </rv>
  <rv s="1">
    <fb>2.84</fb>
    <v>26</v>
  </rv>
  <rv s="1">
    <fb>1.22569174352706E-2</fb>
    <v>24</v>
  </rv>
  <rv s="1">
    <fb>99.173907312902202</fb>
    <v>29</v>
  </rv>
  <rv s="1">
    <fb>0.42</fb>
    <v>30</v>
  </rv>
  <rv s="1">
    <fb>180161741180.147</fb>
    <v>31</v>
  </rv>
  <rv s="1">
    <fb>1.0437133000000001</fb>
    <v>24</v>
  </rv>
  <rv s="1">
    <fb>0.61749759999999998</fb>
    <v>24</v>
  </rv>
  <rv s="2">
    <v>21</v>
    <v>22</v>
    <v>155</v>
    <v>7</v>
    <v>0</v>
    <v>Image of Kazakhstan</v>
  </rv>
  <rv s="1">
    <fb>8.8000000000000007</fb>
    <v>29</v>
  </rv>
  <rv s="0">
    <v>536870912</v>
    <v>Almaty</v>
    <v>7a5bc832-69e6-5f37-2b00-c24b690d1b60</v>
    <v>en-IN</v>
    <v>Map</v>
  </rv>
  <rv s="0">
    <v>805306368</v>
    <v>Kassym-Jomart Tokayev (President)</v>
    <v>92b04576-ec44-9347-3257-617fa72c3592</v>
    <v>en-IN</v>
    <v>Generic</v>
  </rv>
  <rv s="0">
    <v>805306368</v>
    <v>Älihan Smaiylov (Prime minister)</v>
    <v>f2be6b03-f472-5fe8-0394-69d3bd74b2ce</v>
    <v>en-IN</v>
    <v>Generic</v>
  </rv>
  <rv s="3">
    <v>44</v>
  </rv>
  <rv s="4">
    <v>https://www.bing.com/search?q=kazakhstan&amp;form=skydnc</v>
    <v>Learn more on Bing</v>
  </rv>
  <rv s="1">
    <fb>73.150000000000006</fb>
    <v>29</v>
  </rv>
  <rv s="1">
    <fb>40639830000</fb>
    <v>31</v>
  </rv>
  <rv s="1">
    <fb>10</fb>
    <v>29</v>
  </rv>
  <rv s="1">
    <fb>0.41</fb>
    <v>30</v>
  </rv>
  <rv s="3">
    <v>45</v>
  </rv>
  <rv s="1">
    <fb>0.3880688014</fb>
    <v>24</v>
  </rv>
  <rv s="1">
    <fb>3.2522000000000002</fb>
    <v>26</v>
  </rv>
  <rv s="1">
    <fb>19621972</fb>
    <v>25</v>
  </rv>
  <rv s="1">
    <fb>0.221</fb>
    <v>24</v>
  </rv>
  <rv s="1">
    <fb>0.374</fb>
    <v>24</v>
  </rv>
  <rv s="1">
    <fb>4.2999999999999997E-2</fb>
    <v>24</v>
  </rv>
  <rv s="1">
    <fb>9.8000000000000004E-2</fb>
    <v>24</v>
  </rv>
  <rv s="1">
    <fb>0.13600000000000001</fb>
    <v>24</v>
  </rv>
  <rv s="1">
    <fb>0.68757003784179704</fb>
    <v>24</v>
  </rv>
  <rv s="0">
    <v>536870912</v>
    <v>Akmola Region</v>
    <v>44143e9c-efeb-d885-087b-8df6f9d1182b</v>
    <v>en-IN</v>
    <v>Map</v>
  </rv>
  <rv s="0">
    <v>536870912</v>
    <v>Aktobe Region</v>
    <v>d925f57d-9037-c745-de85-e148854463b3</v>
    <v>en-IN</v>
    <v>Map</v>
  </rv>
  <rv s="0">
    <v>536870912</v>
    <v>Almaty Region</v>
    <v>e11c8b46-51a0-ebe4-83a4-5e2b7c6c1a46</v>
    <v>en-IN</v>
    <v>Map</v>
  </rv>
  <rv s="0">
    <v>536870912</v>
    <v>Atyrau Region</v>
    <v>a9e2a8f7-ac89-3a49-9816-ab6d993a6be4</v>
    <v>en-IN</v>
    <v>Map</v>
  </rv>
  <rv s="0">
    <v>536870912</v>
    <v>East Kazakhstan Region</v>
    <v>5a1b4ea8-e268-b3fe-750a-da9fa665131f</v>
    <v>en-IN</v>
    <v>Map</v>
  </rv>
  <rv s="0">
    <v>536870912</v>
    <v>Jambyl Region</v>
    <v>868da5f5-caaf-c668-6abc-76decce2b4ff</v>
    <v>en-IN</v>
    <v>Map</v>
  </rv>
  <rv s="0">
    <v>536870912</v>
    <v>Karaganda Region</v>
    <v>a45ba593-fe58-54dc-d969-734effa5c727</v>
    <v>en-IN</v>
    <v>Map</v>
  </rv>
  <rv s="0">
    <v>536870912</v>
    <v>Kostanay Region</v>
    <v>c584efa5-9af0-eb4e-ca19-8274450861d3</v>
    <v>en-IN</v>
    <v>Map</v>
  </rv>
  <rv s="0">
    <v>536870912</v>
    <v>Kyzylorda Region</v>
    <v>13ec51fd-36c5-36dd-ac1d-933c5fd792b7</v>
    <v>en-IN</v>
    <v>Map</v>
  </rv>
  <rv s="0">
    <v>536870912</v>
    <v>Mangystau Region</v>
    <v>b68cc483-0c74-22e2-da67-a2dfb5f2b888</v>
    <v>en-IN</v>
    <v>Map</v>
  </rv>
  <rv s="0">
    <v>536870912</v>
    <v>North Kazakhstan Region</v>
    <v>0e85cffd-5dbf-434b-5315-d667ace3946d</v>
    <v>en-IN</v>
    <v>Map</v>
  </rv>
  <rv s="0">
    <v>536870912</v>
    <v>Pavlodar Region</v>
    <v>b25bbcf4-9db7-0a95-5f93-723b65a0e6dd</v>
    <v>en-IN</v>
    <v>Map</v>
  </rv>
  <rv s="0">
    <v>536870912</v>
    <v>West Kazakhstan Region</v>
    <v>1a467841-a61b-304d-a21b-e89be0e6b1ee</v>
    <v>en-IN</v>
    <v>Map</v>
  </rv>
  <rv s="0">
    <v>536870912</v>
    <v>Turkistan Region</v>
    <v>34db10d8-35df-b27d-ed4c-4c757bd65049</v>
    <v>en-IN</v>
    <v>Map</v>
  </rv>
  <rv s="0">
    <v>536870912</v>
    <v>Shymkent</v>
    <v>2b01a379-1e1b-df45-a45d-a2bd2371571a</v>
    <v>en-IN</v>
    <v>Map</v>
  </rv>
  <rv s="0">
    <v>536870912</v>
    <v>Baikonur</v>
    <v>140081f9-67ff-b521-a66c-7e83666453b8</v>
    <v>en-IN</v>
    <v>Map</v>
  </rv>
  <rv s="3">
    <v>46</v>
  </rv>
  <rv s="1">
    <fb>0.11717799586587599</fb>
    <v>24</v>
  </rv>
  <rv s="1">
    <fb>0.28399999999999997</fb>
    <v>24</v>
  </rv>
  <rv s="1">
    <fb>4.5900001525878899E-2</fb>
    <v>32</v>
  </rv>
  <rv s="1">
    <fb>10652915</fb>
    <v>25</v>
  </rv>
  <rv s="19">
    <v>#VALUE!</v>
    <v>en-IN</v>
    <v>e0805137-3da3-4a72-90fe-4289ba952ed0</v>
    <v>536870912</v>
    <v>1</v>
    <v>158</v>
    <v>105</v>
    <v>Kazakhstan</v>
    <v>20</v>
    <v>21</v>
    <v>Map</v>
    <v>22</v>
    <v>159</v>
    <v>KZ</v>
    <v>855</v>
    <v>856</v>
    <v>857</v>
    <v>858</v>
    <v>859</v>
    <v>860</v>
    <v>861</v>
    <v>862</v>
    <v>863</v>
    <v>KZT</v>
    <v>Kazakhstan, officially the Republic of Kazakhstan, is a landlocked country mostly in Central Asia, with a small part in Europe. It borders Russia to the north and west, China to the east, Kyrgyzstan to the southeast, Uzbekistan to the south, and ...</v>
    <v>864</v>
    <v>865</v>
    <v>866</v>
    <v>867</v>
    <v>868</v>
    <v>869</v>
    <v>870</v>
    <v>871</v>
    <v>872</v>
    <v>873</v>
    <v>874</v>
    <v>877</v>
    <v>878</v>
    <v>879</v>
    <v>880</v>
    <v>881</v>
    <v>882</v>
    <v>Kazakhstan</v>
    <v>Meniń Qazaqstanym</v>
    <v>883</v>
    <v>Қазақстан Республикасы</v>
    <v>884</v>
    <v>885</v>
    <v>886</v>
    <v>887</v>
    <v>566</v>
    <v>888</v>
    <v>889</v>
    <v>890</v>
    <v>891</v>
    <v>335</v>
    <v>892</v>
    <v>909</v>
    <v>910</v>
    <v>911</v>
    <v>912</v>
    <v>Kazakhstan</v>
    <v>913</v>
    <v>mdp/vdpid/137</v>
  </rv>
  <rv s="1">
    <fb>797.33</fb>
    <v>25</v>
  </rv>
  <rv s="0">
    <v>536870912</v>
    <v>Russian Empire</v>
    <v>0fc8a0fa-4475-832b-ffd4-92a13b8c289c</v>
    <v>en-IN</v>
    <v>Map</v>
  </rv>
  <rv s="2">
    <v>22</v>
    <v>22</v>
    <v>160</v>
    <v>7</v>
    <v>0</v>
    <v>Image of Astana</v>
  </rv>
  <rv s="4">
    <v>https://www.bing.com/search?q=astana&amp;form=skydnc</v>
    <v>Learn more on Bing</v>
  </rv>
  <rv s="1">
    <fb>1239744</fb>
    <v>25</v>
  </rv>
  <rv s="25">
    <v>#VALUE!</v>
    <v>en-IN</v>
    <v>d441165c-641c-f1c1-05d9-ee7ee06c2f67</v>
    <v>536870912</v>
    <v>1</v>
    <v>161</v>
    <v>162</v>
    <v>Astana</v>
    <v>20</v>
    <v>21</v>
    <v>Map</v>
    <v>22</v>
    <v>94</v>
    <v>915</v>
    <v>916</v>
    <v>Astana, previously known as Akmolinsk, Tselinograd, Akmola, and most recently Nur-Sultan, is the capital city of Kazakhstan. The city lies on the banks of the Ishim River in the north-central part of Kazakhstan, within the Akmola Region, though ...</v>
    <v>917</v>
    <v>918</v>
    <v>Astana</v>
    <v>883</v>
    <v>919</v>
    <v>Astana</v>
    <v>mdp/vdpid/7189824936460943361</v>
  </rv>
  <rv s="1">
    <fb>682</fb>
    <v>25</v>
  </rv>
  <rv s="2">
    <v>23</v>
    <v>22</v>
    <v>163</v>
    <v>7</v>
    <v>0</v>
    <v>Image of Almaty</v>
  </rv>
  <rv s="4">
    <v>https://www.bing.com/search?q=almaty&amp;form=skydnc</v>
    <v>Learn more on Bing</v>
  </rv>
  <rv s="1">
    <fb>2135365</fb>
    <v>25</v>
  </rv>
  <rv s="26">
    <v>#VALUE!</v>
    <v>en-IN</v>
    <v>7a5bc832-69e6-5f37-2b00-c24b690d1b60</v>
    <v>536870912</v>
    <v>1</v>
    <v>165</v>
    <v>166</v>
    <v>Almaty</v>
    <v>20</v>
    <v>21</v>
    <v>Map</v>
    <v>22</v>
    <v>94</v>
    <v>KZ-ALA</v>
    <v>921</v>
    <v>916</v>
    <v>Almaty is the largest city in Kazakhstan, with a population of over 2 million. It was the capital of Kazakhstan from 1929 to 1936, while the country was an autonomous republic of the Soviet Union, then from 1936 to 1991, a union republic and ...</v>
    <v>922</v>
    <v>923</v>
    <v>Almaty</v>
    <v>924</v>
    <v>Almaty</v>
    <v>mdp/vdpid/7389042135049175041</v>
  </rv>
  <rv s="2">
    <v>21</v>
    <v>22</v>
    <v>155</v>
    <v>3</v>
    <v>0</v>
    <v>Image of Kazakhstan</v>
  </rv>
  <rv s="8">
    <v>en-IN</v>
    <v>auxr9c</v>
    <v>268435456</v>
    <v>1</v>
    <v>Powered by Refinitiv</v>
    <v>42</v>
    <v>AUD/USD</v>
    <v>43</v>
    <v>62</v>
    <v>Finance</v>
    <v>45</v>
    <v>0.67059999999999997</v>
    <v>0.59119999999999995</v>
    <v>1.9E-3</v>
    <v>2.9170000000000003E-3</v>
    <v>USD</v>
    <v>AUD</v>
    <v>0.65449999999999997</v>
    <v>Currency Pair</v>
    <v>45957.217557870368</v>
    <v>0.65269999999999995</v>
    <v>Australian Dollar/US Dollar FX Spot Rate</v>
    <v>0.65229999999999999</v>
    <v>0.65129999999999999</v>
    <v>0.6532</v>
    <v>AUDUSD</v>
    <v>AUD/USD</v>
  </rv>
  <rv s="9">
    <v>927</v>
  </rv>
  <rv s="4">
    <v>https://www.bing.com/financeapi/forcetrigger?t=bvlqa2&amp;q=XNYS%3aSNOW&amp;form=skydnc</v>
    <v>Learn more on Bing</v>
  </rv>
  <rv s="27">
    <v>en-IN</v>
    <v>bvlqa2</v>
    <v>268435456</v>
    <v>1</v>
    <v>Powered by Refinitiv</v>
    <v>167</v>
    <v>SNOWFLAKE INC. (XNYS:SNOW)</v>
    <v>47</v>
    <v>168</v>
    <v>Finance</v>
    <v>49</v>
    <v>259.75</v>
    <v>113.23</v>
    <v>1.2161999999999999</v>
    <v>4.95</v>
    <v>2.287E-3</v>
    <v>1.9566E-2</v>
    <v>0.59</v>
    <v>USD</v>
    <v>Snowflake Inc. is a data cloud and artificial intelligence company. Its platform is the technology that powers the AI Data Cloud, enabling customers to consolidate data into a single source of truth to drive meaningful insights, apply artificial intelligence (AI) to solve business problems, build data applications, and share data and data products. It provides its platform through a customer-centric, and consumption-based business model. Its cloud-native architecture consists of three independently scalable but logically integrated layers across compute, storage, and cloud services. The compute layer provides dedicated resources to enable users to simultaneously access common data sets for many use cases with minimal latency. The storage layer ingests massive amounts and varieties of structured, semi-structured, and unstructured data to create a unified data record. Its ClearQuery platform allows users to rapidly search, explore, and analyze their data using natural language queries.</v>
    <v>7834</v>
    <v>New York Stock Exchange</v>
    <v>XNYS</v>
    <v>XNYS</v>
    <v>106 East Babcock Street, Suite 3A, BOZEMAN, MT, 59715 US</v>
    <v>259.75</v>
    <v>Software &amp; IT Services</v>
    <v>Stock</v>
    <v>45954.999418159372</v>
    <v>929</v>
    <v>252.69730000000001</v>
    <v>81877800000</v>
    <v>SNOWFLAKE INC.</v>
    <v>SNOWFLAKE INC.</v>
    <v>256.77</v>
    <v>252.99</v>
    <v>257.94</v>
    <v>258.52999999999997</v>
    <v>338800000</v>
    <v>SNOW</v>
    <v>SNOWFLAKE INC. (XNYS:SNOW)</v>
    <v>5169315</v>
    <v>4427240</v>
    <v>2012</v>
  </rv>
  <rv s="9">
    <v>930</v>
  </rv>
  <rv s="0">
    <v>536870912</v>
    <v>Kenya</v>
    <v>8ee43333-b344-289c-d8b1-5abf5e6a5995</v>
    <v>en-IN</v>
    <v>Map</v>
  </rv>
  <rv s="1">
    <fb>0.48546930456478199</fb>
    <v>24</v>
  </rv>
  <rv s="1">
    <fb>581309</fb>
    <v>25</v>
  </rv>
  <rv s="1">
    <fb>29000</fb>
    <v>25</v>
  </rv>
  <rv s="1">
    <fb>28.748000000000001</fb>
    <v>26</v>
  </rv>
  <rv s="1">
    <fb>254</fb>
    <v>27</v>
  </rv>
  <rv s="0">
    <v>536870912</v>
    <v>Nairobi</v>
    <v>df1ed42e-a684-844f-342a-4e9bec9a3e99</v>
    <v>en-IN</v>
    <v>Map</v>
  </rv>
  <rv s="1">
    <fb>17909.628000000001</fb>
    <v>25</v>
  </rv>
  <rv s="1">
    <fb>180.514812183022</fb>
    <v>28</v>
  </rv>
  <rv s="1">
    <fb>4.6898197612985901E-2</fb>
    <v>24</v>
  </rv>
  <rv s="1">
    <fb>164.32554865493401</fb>
    <v>25</v>
  </rv>
  <rv s="1">
    <fb>3.492</fb>
    <v>26</v>
  </rv>
  <rv s="1">
    <fb>7.8181117082901402E-2</fb>
    <v>24</v>
  </rv>
  <rv s="1">
    <fb>17.379572611489198</fb>
    <v>29</v>
  </rv>
  <rv s="1">
    <fb>0.95</fb>
    <v>30</v>
  </rv>
  <rv s="1">
    <fb>95503088538.091995</fb>
    <v>31</v>
  </rv>
  <rv s="1">
    <fb>1.0320534000000001</fb>
    <v>24</v>
  </rv>
  <rv s="1">
    <fb>0.1146471</fb>
    <v>24</v>
  </rv>
  <rv s="2">
    <v>24</v>
    <v>22</v>
    <v>170</v>
    <v>7</v>
    <v>0</v>
    <v>Image of Kenya</v>
  </rv>
  <rv s="1">
    <fb>30.6</fb>
    <v>29</v>
  </rv>
  <rv s="0">
    <v>805306368</v>
    <v>William Ruto (President)</v>
    <v>b3c9a399-aea6-7619-5ed8-960e4ae2e69f</v>
    <v>en-IN</v>
    <v>Generic</v>
  </rv>
  <rv s="0">
    <v>805306368</v>
    <v>Martha Koome (Chief justice)</v>
    <v>1ce8d031-adcc-e20b-6496-4cf0590a125a</v>
    <v>en-IN</v>
    <v>Generic</v>
  </rv>
  <rv s="3">
    <v>47</v>
  </rv>
  <rv s="4">
    <v>https://www.bing.com/search?q=kenya&amp;form=skydnc</v>
    <v>Learn more on Bing</v>
  </rv>
  <rv s="1">
    <fb>66.341999999999999</fb>
    <v>29</v>
  </rv>
  <rv s="1">
    <fb>25061520000</fb>
    <v>31</v>
  </rv>
  <rv s="1">
    <fb>342</fb>
    <v>29</v>
  </rv>
  <rv s="1">
    <fb>0.25</fb>
    <v>30</v>
  </rv>
  <rv s="3">
    <v>48</v>
  </rv>
  <rv s="1">
    <fb>0.33366441450000006</fb>
    <v>24</v>
  </rv>
  <rv s="1">
    <fb>0.1565</fb>
    <v>26</v>
  </rv>
  <rv s="1">
    <fb>54027487</fb>
    <v>25</v>
  </rv>
  <rv s="1">
    <fb>0.316</fb>
    <v>24</v>
  </rv>
  <rv s="1">
    <fb>0.47499999999999998</fb>
    <v>24</v>
  </rv>
  <rv s="1">
    <fb>2.4E-2</fb>
    <v>24</v>
  </rv>
  <rv s="1">
    <fb>6.2E-2</fb>
    <v>24</v>
  </rv>
  <rv s="1">
    <fb>0.14599999999999999</fb>
    <v>24</v>
  </rv>
  <rv s="1">
    <fb>0.74695999145507797</fb>
    <v>24</v>
  </rv>
  <rv s="0">
    <v>536870912</v>
    <v>Western Province</v>
    <v>8c1c2ae8-b1e8-2829-3d4f-0bc9e6eb18d6</v>
    <v>en-IN</v>
    <v>Map</v>
  </rv>
  <rv s="3">
    <v>49</v>
  </rv>
  <rv s="1">
    <fb>0.15085141819362599</fb>
    <v>24</v>
  </rv>
  <rv s="1">
    <fb>0.37200000000000005</fb>
    <v>24</v>
  </rv>
  <rv s="1">
    <fb>2.64199995994568E-2</fb>
    <v>32</v>
  </rv>
  <rv s="1">
    <fb>14461523</fb>
    <v>25</v>
  </rv>
  <rv s="19">
    <v>#VALUE!</v>
    <v>en-IN</v>
    <v>8ee43333-b344-289c-d8b1-5abf5e6a5995</v>
    <v>536870912</v>
    <v>1</v>
    <v>173</v>
    <v>105</v>
    <v>Kenya</v>
    <v>20</v>
    <v>21</v>
    <v>Map</v>
    <v>22</v>
    <v>174</v>
    <v>KE</v>
    <v>933</v>
    <v>934</v>
    <v>935</v>
    <v>936</v>
    <v>937</v>
    <v>938</v>
    <v>939</v>
    <v>940</v>
    <v>941</v>
    <v>KES</v>
    <v>Kenya, officially the Republic of Kenya, is a country in East Africa. A member of the Commonwealth with a population of more than 47.6 million in the 2019 census, Kenya is the 28th most populous country in the world and 7th most populous in ...</v>
    <v>942</v>
    <v>943</v>
    <v>944</v>
    <v>945</v>
    <v>946</v>
    <v>947</v>
    <v>948</v>
    <v>949</v>
    <v>950</v>
    <v>951</v>
    <v>938</v>
    <v>954</v>
    <v>955</v>
    <v>956</v>
    <v>957</v>
    <v>958</v>
    <v>959</v>
    <v>Kenya</v>
    <v>Ee Mungu Nguvu Yetu</v>
    <v>960</v>
    <v>Republic of Kenya</v>
    <v>961</v>
    <v>962</v>
    <v>963</v>
    <v>812</v>
    <v>964</v>
    <v>965</v>
    <v>966</v>
    <v>967</v>
    <v>240</v>
    <v>968</v>
    <v>969</v>
    <v>971</v>
    <v>972</v>
    <v>973</v>
    <v>974</v>
    <v>Kenya</v>
    <v>975</v>
    <v>mdp/vdpid/129</v>
  </rv>
  <rv s="0">
    <v>536870912</v>
    <v>Nairobi City County</v>
    <v>5f5f4291-8c2a-dd93-a743-7cd01a7277d4</v>
    <v>en-IN</v>
    <v>Map</v>
  </rv>
  <rv s="1">
    <fb>696</fb>
    <v>25</v>
  </rv>
  <rv s="2">
    <v>25</v>
    <v>22</v>
    <v>176</v>
    <v>7</v>
    <v>0</v>
    <v>Image of Nairobi</v>
  </rv>
  <rv s="1">
    <fb>-1.2863888888888999</fb>
    <v>37</v>
  </rv>
  <rv s="0">
    <v>805306368</v>
    <v>Johnson Sakaja (Governor)</v>
    <v>49ea9ee4-d456-7d07-b010-13d7485b62e8</v>
    <v>en-IN</v>
    <v>Generic</v>
  </rv>
  <rv s="3">
    <v>50</v>
  </rv>
  <rv s="4">
    <v>https://www.bing.com/search?q=nairobi&amp;form=skydnc</v>
    <v>Learn more on Bing</v>
  </rv>
  <rv s="1">
    <fb>36.817222222222</fb>
    <v>37</v>
  </rv>
  <rv s="1">
    <fb>5545000</fb>
    <v>25</v>
  </rv>
  <rv s="21">
    <v>#VALUE!</v>
    <v>en-IN</v>
    <v>df1ed42e-a684-844f-342a-4e9bec9a3e99</v>
    <v>536870912</v>
    <v>1</v>
    <v>177</v>
    <v>120</v>
    <v>Nairobi</v>
    <v>20</v>
    <v>21</v>
    <v>Map</v>
    <v>22</v>
    <v>72</v>
    <v>977</v>
    <v>977</v>
    <v>978</v>
    <v>932</v>
    <v>Nairobi is the capital and largest city of Kenya. The name is derived from the Maasai phrase Enkare Nairobi, which translates to 'place of cool waters', a reference to the Nairobi River which flows through the city. The city proper had a ...</v>
    <v>979</v>
    <v>980</v>
    <v>982</v>
    <v>983</v>
    <v>984</v>
    <v>Nairobi</v>
    <v>985</v>
    <v>Nairobi</v>
    <v>mdp/vdpid/8116144502579658754</v>
  </rv>
  <rv s="2">
    <v>24</v>
    <v>22</v>
    <v>170</v>
    <v>3</v>
    <v>0</v>
    <v>Image of Kenya</v>
  </rv>
  <rv s="8">
    <v>en-IN</v>
    <v>avykh7</v>
    <v>268435456</v>
    <v>1</v>
    <v>Powered by Refinitiv</v>
    <v>42</v>
    <v>USD/AUD</v>
    <v>43</v>
    <v>178</v>
    <v>Finance</v>
    <v>45</v>
    <v>1.6906000000000001</v>
    <v>1.4904999999999999</v>
    <v>-5.1000000000000004E-3</v>
    <v>-3.3210000000000002E-3</v>
    <v>AUD</v>
    <v>USD</v>
    <v>1.5321</v>
    <v>Currency Pair</v>
    <v>45957.217557870368</v>
    <v>1.5279</v>
    <v>US Dollar/Australian Dollar FX Cross Rate</v>
    <v>1.5316000000000001</v>
    <v>1.5356000000000001</v>
    <v>1.5305</v>
    <v>USDAUD</v>
    <v>USD/AUD</v>
  </rv>
  <rv s="9">
    <v>988</v>
  </rv>
  <rv s="4">
    <v>https://www.bing.com/financeapi/forcetrigger?t=a22wz2&amp;q=XNYS%3aSHOP&amp;form=skydnc</v>
    <v>Learn more on Bing</v>
  </rv>
  <rv s="10">
    <v>en-IN</v>
    <v>a22wz2</v>
    <v>268435456</v>
    <v>1</v>
    <v>Powered by Refinitiv</v>
    <v>46</v>
    <v>SHOPIFY INC. (XNAS:SHOP)</v>
    <v>47</v>
    <v>48</v>
    <v>Finance</v>
    <v>49</v>
    <v>174.74</v>
    <v>69.84</v>
    <v>2.72</v>
    <v>5.92</v>
    <v>1.9729999999999999E-3</v>
    <v>3.5442999999999995E-2</v>
    <v>0.34129999999999999</v>
    <v>USD</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8100</v>
    <v>Nasdaq Stock Market</v>
    <v>XNAS</v>
    <v>XNAS</v>
    <v>151 O'connor Street, Ground Floor, OTTAWA, ON, K2P 2L8 CA</v>
    <v>174.74</v>
    <v>Software &amp; IT Services</v>
    <v>Stock</v>
    <v>45954.999597233596</v>
    <v>990</v>
    <v>168.5</v>
    <v>210558000000</v>
    <v>SHOPIFY INC.</v>
    <v>SHOPIFY INC.</v>
    <v>168.5</v>
    <v>96.661199999999994</v>
    <v>167.03</v>
    <v>172.95</v>
    <v>173.29130000000001</v>
    <v>1299661000</v>
    <v>SHOP</v>
    <v>SHOPIFY INC. (XNAS:SHOP)</v>
    <v>8382276</v>
    <v>8295673</v>
    <v>2004</v>
  </rv>
  <rv s="9">
    <v>991</v>
  </rv>
  <rv s="0">
    <v>536870912</v>
    <v>Kiribati</v>
    <v>bc2cb506-42bd-7622-6e40-76dce84d7ce7</v>
    <v>en-IN</v>
    <v>Map</v>
  </rv>
  <rv s="1">
    <fb>0.41975308641975301</fb>
    <v>24</v>
  </rv>
  <rv s="1">
    <fb>811</fb>
    <v>25</v>
  </rv>
  <rv s="1">
    <fb>27.887</fb>
    <v>26</v>
  </rv>
  <rv s="1">
    <fb>686</fb>
    <v>27</v>
  </rv>
  <rv s="0">
    <v>536870912</v>
    <v>South Tarawa</v>
    <v>648d0017-5747-3002-dc59-8a39d9761440</v>
    <v>en-IN</v>
    <v>Map</v>
  </rv>
  <rv s="1">
    <fb>66.006</fb>
    <v>25</v>
  </rv>
  <rv s="1">
    <fb>99.547424489338397</fb>
    <v>28</v>
  </rv>
  <rv s="1">
    <fb>5.7201574363427397E-3</fb>
    <v>24</v>
  </rv>
  <rv s="1">
    <fb>3.569</fb>
    <v>26</v>
  </rv>
  <rv s="1">
    <fb>0.14999999529049801</fb>
    <v>24</v>
  </rv>
  <rv s="1">
    <fb>0</fb>
    <v>29</v>
  </rv>
  <rv s="1">
    <fb>194647201.94647199</fb>
    <v>31</v>
  </rv>
  <rv s="1">
    <fb>1.0130460999999999</fb>
    <v>24</v>
  </rv>
  <rv s="2">
    <v>26</v>
    <v>22</v>
    <v>180</v>
    <v>7</v>
    <v>0</v>
    <v>Image of Kiribati</v>
  </rv>
  <rv s="1">
    <fb>41.2</fb>
    <v>29</v>
  </rv>
  <rv s="0">
    <v>805306368</v>
    <v>Taneti Maamau (President)</v>
    <v>e793ff8f-0231-b716-9a6b-cd4c6b9d5248</v>
    <v>en-IN</v>
    <v>Generic</v>
  </rv>
  <rv s="0">
    <v>805306368</v>
    <v>Teuea Toatu (Vice president)</v>
    <v>5879a287-600d-c8f7-1a4b-7cd55041d32b</v>
    <v>en-IN</v>
    <v>Generic</v>
  </rv>
  <rv s="3">
    <v>51</v>
  </rv>
  <rv s="4">
    <v>https://www.bing.com/search?q=kiribati&amp;form=skydnc</v>
    <v>Learn more on Bing</v>
  </rv>
  <rv s="1">
    <fb>68.116</fb>
    <v>29</v>
  </rv>
  <rv s="1">
    <fb>92</fb>
    <v>29</v>
  </rv>
  <rv s="3">
    <v>52</v>
  </rv>
  <rv s="1">
    <fb>1.5479356999999999E-3</fb>
    <v>24</v>
  </rv>
  <rv s="1">
    <fb>0.20280000000000001</fb>
    <v>26</v>
  </rv>
  <rv s="1">
    <fb>131232</fb>
    <v>25</v>
  </rv>
  <rv s="1">
    <fb>0.21899999999999997</fb>
    <v>24</v>
  </rv>
  <rv s="1">
    <fb>0.29299999999999998</fb>
    <v>24</v>
  </rv>
  <rv s="1">
    <fb>0.439</fb>
    <v>24</v>
  </rv>
  <rv s="1">
    <fb>2.6000000000000002E-2</fb>
    <v>24</v>
  </rv>
  <rv s="1">
    <fb>6.6000000000000003E-2</fb>
    <v>24</v>
  </rv>
  <rv s="1">
    <fb>0.11599999999999999</fb>
    <v>24</v>
  </rv>
  <rv s="1">
    <fb>0.16</fb>
    <v>24</v>
  </rv>
  <rv s="1">
    <fb>0.21967735744276801</fb>
    <v>24</v>
  </rv>
  <rv s="1">
    <fb>0.32700000000000001</fb>
    <v>24</v>
  </rv>
  <rv s="1">
    <fb>64489</fb>
    <v>25</v>
  </rv>
  <rv s="28">
    <v>#VALUE!</v>
    <v>en-IN</v>
    <v>bc2cb506-42bd-7622-6e40-76dce84d7ce7</v>
    <v>536870912</v>
    <v>1</v>
    <v>183</v>
    <v>184</v>
    <v>Kiribati</v>
    <v>20</v>
    <v>21</v>
    <v>Map</v>
    <v>22</v>
    <v>185</v>
    <v>KI</v>
    <v>994</v>
    <v>995</v>
    <v>996</v>
    <v>997</v>
    <v>998</v>
    <v>999</v>
    <v>1000</v>
    <v>1001</v>
    <v>AUD</v>
    <v>Kiribati, officially the Republic of Kiribati, is an island country in the Micronesia subregion of Oceania in the central Pacific Ocean. Its permanent population is over 119,000 as of the 2020 census, with more than half living on Tarawa atoll. ...</v>
    <v>1002</v>
    <v>1003</v>
    <v>1004</v>
    <v>1005</v>
    <v>1006</v>
    <v>1007</v>
    <v>1008</v>
    <v>998</v>
    <v>1011</v>
    <v>1012</v>
    <v>1013</v>
    <v>1014</v>
    <v>Kiribati</v>
    <v>Kunan Kiribati</v>
    <v>1015</v>
    <v>Republic of Kiribati</v>
    <v>1016</v>
    <v>1017</v>
    <v>1018</v>
    <v>1019</v>
    <v>1020</v>
    <v>1021</v>
    <v>1022</v>
    <v>1023</v>
    <v>1024</v>
    <v>1025</v>
    <v>1026</v>
    <v>1027</v>
    <v>Kiribati</v>
    <v>1028</v>
    <v>mdp/vdpid/133</v>
  </rv>
  <rv s="0">
    <v>536870912</v>
    <v>Gilbert Islands</v>
    <v>cdd1f8b2-1ee4-f171-377f-3a0f4e2ea6a8</v>
    <v>en-IN</v>
    <v>Map</v>
  </rv>
  <rv s="1">
    <fb>15.76</fb>
    <v>25</v>
  </rv>
  <rv s="2">
    <v>27</v>
    <v>22</v>
    <v>186</v>
    <v>7</v>
    <v>0</v>
    <v>Image of South Tarawa</v>
  </rv>
  <rv s="1">
    <fb>1.3333333333333299</fb>
    <v>37</v>
  </rv>
  <rv s="4">
    <v>https://www.bing.com/search?q=south+tarawa+kiribati&amp;form=skydnc</v>
    <v>Learn more on Bing</v>
  </rv>
  <rv s="1">
    <fb>172.96666666666701</fb>
    <v>37</v>
  </rv>
  <rv s="1">
    <fb>63439</fb>
    <v>25</v>
  </rv>
  <rv s="29">
    <v>#VALUE!</v>
    <v>en-IN</v>
    <v>648d0017-5747-3002-dc59-8a39d9761440</v>
    <v>536870912</v>
    <v>1</v>
    <v>187</v>
    <v>188</v>
    <v>South Tarawa</v>
    <v>20</v>
    <v>21</v>
    <v>Map</v>
    <v>22</v>
    <v>189</v>
    <v>1030</v>
    <v>1031</v>
    <v>993</v>
    <v>South Tarawa is the capital and hub of the Republic of Kiribati and home to more than half of Kiribati's population. The South Tarawa population centre consists of all the small islets from Betio in the west to Bonriki and Tanaea in the ...</v>
    <v>1032</v>
    <v>1033</v>
    <v>1034</v>
    <v>1035</v>
    <v>South Tarawa</v>
    <v>1036</v>
    <v>South Tarawa</v>
    <v>mdp/vdpid/8067870309824331777</v>
  </rv>
  <rv s="2">
    <v>26</v>
    <v>22</v>
    <v>180</v>
    <v>3</v>
    <v>0</v>
    <v>Image of Kiribati</v>
  </rv>
  <rv s="8">
    <v>en-IN</v>
    <v>avyt7w</v>
    <v>268435456</v>
    <v>1</v>
    <v>Powered by Refinitiv</v>
    <v>42</v>
    <v>USD/CHF</v>
    <v>43</v>
    <v>190</v>
    <v>Finance</v>
    <v>45</v>
    <v>0.92</v>
    <v>0.78269999999999995</v>
    <v>1.1000000000000001E-3</v>
    <v>1.3830000000000001E-3</v>
    <v>CHF</v>
    <v>USD</v>
    <v>0.79730000000000001</v>
    <v>Currency Pair</v>
    <v>45957.217615740738</v>
    <v>0.79459999999999997</v>
    <v>US Dollar/Swiss Franc FX Spot Rate</v>
    <v>0.79730000000000001</v>
    <v>0.7954</v>
    <v>0.79649999999999999</v>
    <v>USDCHF</v>
    <v>USD/CHF</v>
  </rv>
  <rv s="9">
    <v>1039</v>
  </rv>
  <rv s="4">
    <v>https://www.bing.com/financeapi/forcetrigger?t=bq8rqh&amp;q=XNAS%3aCRWD&amp;form=skydnc</v>
    <v>Learn more on Bing</v>
  </rv>
  <rv s="10">
    <v>en-IN</v>
    <v>bq8rqh</v>
    <v>268435456</v>
    <v>1</v>
    <v>Powered by Refinitiv</v>
    <v>46</v>
    <v>CROWDSTRIKE HOLDINGS, INC. (XNAS:CRWD)</v>
    <v>47</v>
    <v>48</v>
    <v>Finance</v>
    <v>49</v>
    <v>535.52</v>
    <v>294.68</v>
    <v>1.1604000000000001</v>
    <v>5.34</v>
    <v>-2.655E-4</v>
    <v>1.023E-2</v>
    <v>-0.14000000000000001</v>
    <v>USD</v>
    <v>CrowdStrike Holdings, Inc. is a global cybersecurity company that provides cloud-delivered protection of endpoints, cloud workloads, identity and data. Its Falcon platform is designed for cybersecurity consolidation, purpose-built to stop breaches. The platforms collect and integrate data from across the enterprise, including endpoints, cloud workloads, identities, and third-party sources. It offers 29 cloud modules on its Falcon platform via a software as a service (SaaS) subscription-based model that spans multiple large markets, including corporate endpoint and cloud workload security, managed security services, security and vulnerability management, information technology (IT) operations management, identity protection, next-generation security information and event management (SIEM) and log management, threat intelligence services, data protection, SaaS security posture management, automation and response (SOAR) and artificial intelligence powered workflow automation, and others.</v>
    <v>10047</v>
    <v>Nasdaq Stock Market</v>
    <v>XNAS</v>
    <v>XNAS</v>
    <v>206 E. 9TH STREET, SUITE 1400, AUSTIN, TX, 78701 US</v>
    <v>535.52</v>
    <v>Software &amp; IT Services</v>
    <v>Stock</v>
    <v>45954.999654224215</v>
    <v>1041</v>
    <v>521.87</v>
    <v>125505200000</v>
    <v>CROWDSTRIKE HOLDINGS, INC.</v>
    <v>CROWDSTRIKE HOLDINGS, INC.</v>
    <v>528.79999999999995</v>
    <v>0</v>
    <v>521.98</v>
    <v>527.32000000000005</v>
    <v>527.17999999999995</v>
    <v>250955100</v>
    <v>CRWD</v>
    <v>CROWDSTRIKE HOLDINGS, INC. (XNAS:CRWD)</v>
    <v>2550453</v>
    <v>2654722</v>
    <v>2011</v>
  </rv>
  <rv s="9">
    <v>1042</v>
  </rv>
  <rv s="0">
    <v>536870912</v>
    <v>Kosovo</v>
    <v>e8c61c62-a327-1fd5-24aa-30b830695e65</v>
    <v>en-IN</v>
    <v>Map</v>
  </rv>
  <rv s="1">
    <fb>10909.029920000001</fb>
    <v>25</v>
  </rv>
  <rv s="1">
    <fb>383</fb>
    <v>27</v>
  </rv>
  <rv s="0">
    <v>536870912</v>
    <v>Prishtina</v>
    <v>d4576ad7-c326-5312-0fa8-d5e86cf099d8</v>
    <v>en-IN</v>
    <v>Map</v>
  </rv>
  <rv s="1">
    <fb>6959638874</fb>
    <v>31</v>
  </rv>
  <rv s="2">
    <v>28</v>
    <v>22</v>
    <v>192</v>
    <v>7</v>
    <v>0</v>
    <v>Image of Kosovo</v>
  </rv>
  <rv s="0">
    <v>805306368</v>
    <v>Vjosa Osmani (President)</v>
    <v>b383cc04-448a-a195-5945-2ecde0078413</v>
    <v>en-IN</v>
    <v>Generic</v>
  </rv>
  <rv s="0">
    <v>805306368</v>
    <v>Albin Kurti (Prime minister)</v>
    <v>993ad0be-94e2-9cb1-bd8d-b2778503a963</v>
    <v>en-IN</v>
    <v>Generic</v>
  </rv>
  <rv s="3">
    <v>53</v>
  </rv>
  <rv s="4">
    <v>https://www.bing.com/search?q=kosovo&amp;form=skydnc</v>
    <v>Learn more on Bing</v>
  </rv>
  <rv s="3">
    <v>54</v>
  </rv>
  <rv s="1">
    <fb>1883018</fb>
    <v>25</v>
  </rv>
  <rv s="0">
    <v>536870912</v>
    <v>District of Prizren</v>
    <v>bd332aed-1a0c-c1dd-5ae3-a0f09b3a5de3</v>
    <v>en-IN</v>
    <v>Map</v>
  </rv>
  <rv s="0">
    <v>536870912</v>
    <v>District of Gjilan</v>
    <v>90c2ed95-261e-28b7-6e2a-e60a0edffa69</v>
    <v>en-IN</v>
    <v>Map</v>
  </rv>
  <rv s="0">
    <v>536870912</v>
    <v>District of Mitrovica</v>
    <v>da8361f6-3f20-2f45-e35f-b3ec75d61d34</v>
    <v>en-IN</v>
    <v>Map</v>
  </rv>
  <rv s="0">
    <v>536870912</v>
    <v>District of Pristina</v>
    <v>c76f263e-78e5-e43c-51b3-529c1fdcfffa</v>
    <v>en-IN</v>
    <v>Map</v>
  </rv>
  <rv s="0">
    <v>536870912</v>
    <v>District of Peja</v>
    <v>f1047206-5921-927f-d59f-91bdf980d45e</v>
    <v>en-IN</v>
    <v>Map</v>
  </rv>
  <rv s="0">
    <v>536870912</v>
    <v>District of Gjakova</v>
    <v>d8a256df-b8ad-98c7-37ee-ddbd232a5696</v>
    <v>en-IN</v>
    <v>Map</v>
  </rv>
  <rv s="0">
    <v>536870912</v>
    <v>District of Ferizaj</v>
    <v>a0e76f79-34fe-2450-e012-853d3764b968</v>
    <v>en-IN</v>
    <v>Map</v>
  </rv>
  <rv s="3">
    <v>55</v>
  </rv>
  <rv s="30">
    <v>#VALUE!</v>
    <v>en-IN</v>
    <v>e8c61c62-a327-1fd5-24aa-30b830695e65</v>
    <v>536870912</v>
    <v>1</v>
    <v>193</v>
    <v>194</v>
    <v>Kosovo</v>
    <v>20</v>
    <v>21</v>
    <v>Map</v>
    <v>22</v>
    <v>195</v>
    <v>1045</v>
    <v>1046</v>
    <v>1047</v>
    <v>EUR</v>
    <v>Kosovo, officially the Republic of Kosovo is a country in Southeast Europe with partial diplomatic recognition. Kosovo lies landlocked in the centre of the Balkans, bordered by Serbia to the north and east, North Macedonia to the southeast, ...</v>
    <v>1048</v>
    <v>1049</v>
    <v>1047</v>
    <v>1052</v>
    <v>1053</v>
    <v>629</v>
    <v>Kosovo</v>
    <v>Anthem of the Republic of Kosovo</v>
    <v>1054</v>
    <v>Republika e Kosovës</v>
    <v>1055</v>
    <v>1063</v>
    <v>Kosovo</v>
    <v>mdp/vdpid/9914689</v>
  </rv>
  <rv s="1">
    <fb>572</fb>
    <v>25</v>
  </rv>
  <rv s="0">
    <v>536870912</v>
    <v>Kingdom of Yugoslavia</v>
    <v>7e828f86-2a05-0ae2-b29e-8cee4789fb1c</v>
    <v>en-IN</v>
    <v>Map</v>
  </rv>
  <rv s="2">
    <v>29</v>
    <v>22</v>
    <v>196</v>
    <v>7</v>
    <v>0</v>
    <v>Image of Pristina</v>
  </rv>
  <rv s="1">
    <fb>42.666666666666998</fb>
    <v>37</v>
  </rv>
  <rv s="0">
    <v>805306368</v>
    <v>Përparim Rama (Mayor)</v>
    <v>0c01e072-5f4b-31b2-9924-de4865aa7f23</v>
    <v>en-IN</v>
    <v>Generic</v>
  </rv>
  <rv s="3">
    <v>56</v>
  </rv>
  <rv s="4">
    <v>https://www.bing.com/search?q=pristina&amp;form=skydnc</v>
    <v>Learn more on Bing</v>
  </rv>
  <rv s="1">
    <fb>21.166666666666998</fb>
    <v>37</v>
  </rv>
  <rv s="1">
    <fb>207477</fb>
    <v>25</v>
  </rv>
  <rv s="3">
    <v>57</v>
  </rv>
  <rv s="24">
    <v>#VALUE!</v>
    <v>en-IN</v>
    <v>d4576ad7-c326-5312-0fa8-d5e86cf099d8</v>
    <v>536870912</v>
    <v>1</v>
    <v>197</v>
    <v>152</v>
    <v>Pristina</v>
    <v>20</v>
    <v>21</v>
    <v>Map</v>
    <v>22</v>
    <v>198</v>
    <v>1059</v>
    <v>1065</v>
    <v>1066</v>
    <v>Pristina is the capital and largest city of Kosovo. It is the administrative center of the eponymous municipality and district. In antiquity, the area of Pristina was part of the Dardanian kingdom. The heritage of the classical era is ...</v>
    <v>1067</v>
    <v>1068</v>
    <v>1070</v>
    <v>1071</v>
    <v>1072</v>
    <v>Pristina</v>
    <v>1073</v>
    <v>1074</v>
    <v>Pristina</v>
    <v>mdp/vdpid/7218084344118640641</v>
  </rv>
  <rv s="2">
    <v>28</v>
    <v>22</v>
    <v>192</v>
    <v>3</v>
    <v>0</v>
    <v>Image of Kosovo</v>
  </rv>
  <rv s="8">
    <v>en-IN</v>
    <v>avv7r7</v>
    <v>268435456</v>
    <v>1</v>
    <v>Powered by Refinitiv</v>
    <v>42</v>
    <v>CHF/USD</v>
    <v>43</v>
    <v>62</v>
    <v>Finance</v>
    <v>45</v>
    <v>1.2770999999999999</v>
    <v>1.0866</v>
    <v>-1E-3</v>
    <v>-7.9600000000000005E-4</v>
    <v>USD</v>
    <v>CHF</v>
    <v>1.2585</v>
    <v>Currency Pair</v>
    <v>45957.217615740738</v>
    <v>1.2542</v>
    <v>Swiss Franc/US Dollar FX Cross Rate</v>
    <v>1.2541</v>
    <v>1.2563</v>
    <v>1.2553000000000001</v>
    <v>CHFUSD</v>
    <v>CHF/USD</v>
  </rv>
  <rv s="9">
    <v>1077</v>
  </rv>
  <rv s="4">
    <v>https://www.bing.com/financeapi/forcetrigger?t=ahjyhw&amp;q=XNSE%3aSIEMENS&amp;form=skydnc</v>
    <v>Learn more on Bing</v>
  </rv>
  <rv s="31">
    <v>en-IN</v>
    <v>ahjyhw</v>
    <v>268435456</v>
    <v>1</v>
    <v>Powered by Refinitiv</v>
    <v>199</v>
    <v>SIEMENS LIMITED (XNSE:SIEMENS)</v>
    <v>47</v>
    <v>200</v>
    <v>Finance</v>
    <v>201</v>
    <v>4182.4399999999996</v>
    <v>2376.4499999999998</v>
    <v>1.2195</v>
    <v>5.8</v>
    <v>1.8400000000000001E-3</v>
    <v>INR</v>
    <v>Siemens Limited is a technology company focused on industry, infrastructure and mobility. Its segments include Smart Infrastructure, Mobility, Digital Industries, Low Voltage Motors and Others. The Smart Infrastructure segment is a supplier of products, systems, solutions and services for the transmission and distribution of electrical energy for power utilities, industrial companies and infrastructure segments. The Mobility segment is a supplier of solutions for passenger and freight transportation, including rail vehicles, rail automation systems, rail electrification systems, turnkey systems and related services. The Digital Industries provide products for the automation and digitalization of discrete, hybrid and process industries, supporting their digital transformation to become more sustainable. Its portfolio consists of industrial software and automation and drive technology products. The Low Voltage Motors segment is a supplier of products and services of low-voltage motors.</v>
    <v>9848</v>
    <v>National Stock Exchange of India</v>
    <v>XNSE</v>
    <v>XNSE</v>
    <v>Birla Aurora, Level 21, Plot No. 1080, Dr. Annie Besant Road, Worli, Kharghar Node, MUMBAI, MAHARASHTRA, 400030 IN</v>
    <v>3176.1</v>
    <v>Machinery, Equipment &amp; Components</v>
    <v>Stock</v>
    <v>45957.207395833335</v>
    <v>1079</v>
    <v>3141.3</v>
    <v>1105006000000</v>
    <v>SIEMENS LIMITED</v>
    <v>SIEMENS LIMITED</v>
    <v>3161</v>
    <v>55.348100000000002</v>
    <v>3152.2</v>
    <v>3158</v>
    <v>356120500</v>
    <v>SIEMENS</v>
    <v>SIEMENS LIMITED (XNSE:SIEMENS)</v>
    <v>30260</v>
    <v>252930</v>
    <v>1957</v>
  </rv>
  <rv s="9">
    <v>1080</v>
  </rv>
  <rv s="0">
    <v>536870912</v>
    <v>Kuwait</v>
    <v>75e8432f-5ecb-30f2-cbcb-664d801e3c97</v>
    <v>en-IN</v>
    <v>Map</v>
  </rv>
  <rv s="1">
    <fb>8.4175084175084208E-2</fb>
    <v>24</v>
  </rv>
  <rv s="1">
    <fb>17818</fb>
    <v>25</v>
  </rv>
  <rv s="1">
    <fb>25000</fb>
    <v>25</v>
  </rv>
  <rv s="1">
    <fb>13.939</fb>
    <v>26</v>
  </rv>
  <rv s="1">
    <fb>965</fb>
    <v>27</v>
  </rv>
  <rv s="0">
    <v>536870912</v>
    <v>Kuwait City</v>
    <v>7bfd3d22-1a12-c33b-79ac-69c6e5412bfe</v>
    <v>en-IN</v>
    <v>Map</v>
  </rv>
  <rv s="1">
    <fb>98733.975000000006</fb>
    <v>25</v>
  </rv>
  <rv s="1">
    <fb>126.60151211457401</fb>
    <v>28</v>
  </rv>
  <rv s="1">
    <fb>1.09184802655847E-2</fb>
    <v>24</v>
  </rv>
  <rv s="1">
    <fb>15590.599906473701</fb>
    <v>25</v>
  </rv>
  <rv s="1">
    <fb>2.0819999999999999</fb>
    <v>26</v>
  </rv>
  <rv s="1">
    <fb>3.5072951739618403E-3</fb>
    <v>24</v>
  </rv>
  <rv s="1">
    <fb>93.689889451270702</fb>
    <v>29</v>
  </rv>
  <rv s="1">
    <fb>0.35</fb>
    <v>30</v>
  </rv>
  <rv s="1">
    <fb>134761198945.98199</fb>
    <v>31</v>
  </rv>
  <rv s="1">
    <fb>0.9236027</fb>
    <v>24</v>
  </rv>
  <rv s="1">
    <fb>0.54364139999999994</fb>
    <v>24</v>
  </rv>
  <rv s="2">
    <v>30</v>
    <v>22</v>
    <v>203</v>
    <v>7</v>
    <v>0</v>
    <v>Image of Kuwait</v>
  </rv>
  <rv s="1">
    <fb>6.7</fb>
    <v>29</v>
  </rv>
  <rv s="0">
    <v>805306368</v>
    <v>Ahmad Nawaf Al-Ahmad Al-Sabah (Prime minister)</v>
    <v>aff3efba-9bde-f007-ad20-779c04e1bb5d</v>
    <v>en-IN</v>
    <v>Generic</v>
  </rv>
  <rv s="3">
    <v>58</v>
  </rv>
  <rv s="4">
    <v>https://www.bing.com/search?q=kuwait&amp;form=skydnc</v>
    <v>Learn more on Bing</v>
  </rv>
  <rv s="1">
    <fb>75.397999999999996</fb>
    <v>29</v>
  </rv>
  <rv s="1">
    <fb>107063210000</fb>
    <v>31</v>
  </rv>
  <rv s="1">
    <fb>12</fb>
    <v>29</v>
  </rv>
  <rv s="1">
    <fb>0.1437861272</fb>
    <v>24</v>
  </rv>
  <rv s="1">
    <fb>2.5789</fb>
    <v>26</v>
  </rv>
  <rv s="1">
    <fb>4268873</fb>
    <v>25</v>
  </rv>
  <rv s="1">
    <fb>0.73492996215820294</fb>
    <v>24</v>
  </rv>
  <rv s="0">
    <v>536870912</v>
    <v>Ahmadi Governorate</v>
    <v>4ad537fa-f18c-1465-8ab5-7cc163f5f02a</v>
    <v>en-IN</v>
    <v>Map</v>
  </rv>
  <rv s="0">
    <v>536870912</v>
    <v>Al Farwaniyah Governorate</v>
    <v>134a7968-8176-e583-5183-f839391241eb</v>
    <v>en-IN</v>
    <v>Map</v>
  </rv>
  <rv s="0">
    <v>536870912</v>
    <v>Capital Governorate</v>
    <v>af749407-857e-3d6a-64c5-ac8d2c1fe8ce</v>
    <v>en-IN</v>
    <v>Map</v>
  </rv>
  <rv s="0">
    <v>536870912</v>
    <v>Al Jahra Governorate</v>
    <v>a12b1263-57b9-b6a0-8866-9de2a053ea6f</v>
    <v>en-IN</v>
    <v>Map</v>
  </rv>
  <rv s="0">
    <v>536870912</v>
    <v>Hawalli Governorate</v>
    <v>cd35a7d9-c1b8-42ec-a6b5-b75e0098ae73</v>
    <v>en-IN</v>
    <v>Map</v>
  </rv>
  <rv s="0">
    <v>536870912</v>
    <v>Mubarak Al-Kabeer Governorate</v>
    <v>a86d3875-410a-eaaf-d232-4b318b11d64c</v>
    <v>en-IN</v>
    <v>Map</v>
  </rv>
  <rv s="3">
    <v>59</v>
  </rv>
  <rv s="1">
    <fb>1.3807787476104701E-2</fb>
    <v>24</v>
  </rv>
  <rv s="1">
    <fb>0.13</fb>
    <v>24</v>
  </rv>
  <rv s="1">
    <fb>2.18199992179871E-2</fb>
    <v>32</v>
  </rv>
  <rv s="1">
    <fb>4207083</fb>
    <v>25</v>
  </rv>
  <rv s="32">
    <v>#VALUE!</v>
    <v>en-IN</v>
    <v>75e8432f-5ecb-30f2-cbcb-664d801e3c97</v>
    <v>536870912</v>
    <v>1</v>
    <v>206</v>
    <v>207</v>
    <v>Kuwait</v>
    <v>20</v>
    <v>21</v>
    <v>Map</v>
    <v>22</v>
    <v>208</v>
    <v>KW</v>
    <v>1083</v>
    <v>1084</v>
    <v>1085</v>
    <v>1086</v>
    <v>1087</v>
    <v>1088</v>
    <v>1089</v>
    <v>1090</v>
    <v>1091</v>
    <v>KWD</v>
    <v>Kuwait, officially the State of Kuwait, is a country in the Middle East. It is situated in the northern edge of Eastern Arabia at the tip of the Persian Gulf, bordering Iraq to the north and Saudi Arabia to the south. Kuwait also shares maritime ...</v>
    <v>1092</v>
    <v>1093</v>
    <v>1094</v>
    <v>1095</v>
    <v>1096</v>
    <v>1097</v>
    <v>1098</v>
    <v>1099</v>
    <v>1100</v>
    <v>1101</v>
    <v>1088</v>
    <v>1103</v>
    <v>1104</v>
    <v>1105</v>
    <v>1106</v>
    <v>1107</v>
    <v>946</v>
    <v>Kuwait</v>
    <v>National Anthem of Kuwait</v>
    <v>808</v>
    <v>Koweït</v>
    <v>1108</v>
    <v>1109</v>
    <v>1110</v>
    <v>1111</v>
    <v>1118</v>
    <v>1119</v>
    <v>1120</v>
    <v>1121</v>
    <v>Kuwait</v>
    <v>1122</v>
    <v>mdp/vdpid/136</v>
  </rv>
  <rv s="1">
    <fb>200</fb>
    <v>25</v>
  </rv>
  <rv s="2">
    <v>31</v>
    <v>22</v>
    <v>210</v>
    <v>7</v>
    <v>0</v>
    <v>Image of Kuwait City</v>
  </rv>
  <rv s="1">
    <fb>29.375</fb>
    <v>37</v>
  </rv>
  <rv s="4">
    <v>https://www.bing.com/search?q=kuwait+city&amp;form=skydnc</v>
    <v>Learn more on Bing</v>
  </rv>
  <rv s="1">
    <fb>47.98</fb>
    <v>37</v>
  </rv>
  <rv s="1">
    <fb>2989000</fb>
    <v>25</v>
  </rv>
  <rv s="6">
    <v>#VALUE!</v>
    <v>en-IN</v>
    <v>7bfd3d22-1a12-c33b-79ac-69c6e5412bfe</v>
    <v>536870912</v>
    <v>1</v>
    <v>211</v>
    <v>35</v>
    <v>Kuwait City</v>
    <v>20</v>
    <v>21</v>
    <v>Map</v>
    <v>22</v>
    <v>41</v>
    <v>1124</v>
    <v>1082</v>
    <v>Kuwait City is the capital and largest city of Kuwait. Located at the heart of the country on the south shore of Kuwait Bay on the Persian Gulf, it is the political, cultural and economic centre of the emirate, containing Kuwait's Seif Palace, ...</v>
    <v>1125</v>
    <v>1126</v>
    <v>1127</v>
    <v>1128</v>
    <v>Kuwait City</v>
    <v>1129</v>
    <v>Kuwait City</v>
    <v>mdp/vdpid/7369862916931059714</v>
  </rv>
  <rv s="2">
    <v>30</v>
    <v>22</v>
    <v>203</v>
    <v>3</v>
    <v>0</v>
    <v>Image of Kuwait</v>
  </rv>
  <rv s="8">
    <v>en-IN</v>
    <v>avym77</v>
    <v>268435456</v>
    <v>1</v>
    <v>Powered by Refinitiv</v>
    <v>42</v>
    <v>USD/CNY</v>
    <v>43</v>
    <v>212</v>
    <v>Finance</v>
    <v>45</v>
    <v>7.3509000000000002</v>
    <v>7.0857999999999999</v>
    <v>-8.3999999999999995E-3</v>
    <v>-1.1799999999999998E-3</v>
    <v>CNY</v>
    <v>USD</v>
    <v>7.1135000000000002</v>
    <v>Currency Pair</v>
    <v>45957.217685185184</v>
    <v>7.11</v>
    <v>US Dollar/Chinese Renminbi FX Spot Rate</v>
    <v>7.1090999999999998</v>
    <v>7.1211000000000002</v>
    <v>7.1127000000000002</v>
    <v>USDCNY</v>
    <v>USD/CNY</v>
  </rv>
  <rv s="9">
    <v>1132</v>
  </rv>
  <rv s="4">
    <v>https://www.bing.com/financeapi/forcetrigger?t=a243h7&amp;q=XNAS%3aTEAM&amp;form=skydnc</v>
    <v>Learn more on Bing</v>
  </rv>
  <rv s="10">
    <v>en-IN</v>
    <v>a243h7</v>
    <v>268435456</v>
    <v>1</v>
    <v>Powered by Refinitiv</v>
    <v>46</v>
    <v>ATLASSIAN CORPORATION (XNAS:TEAM)</v>
    <v>47</v>
    <v>48</v>
    <v>Finance</v>
    <v>49</v>
    <v>325.99990000000003</v>
    <v>144.32</v>
    <v>0.9486</v>
    <v>-2.37</v>
    <v>2.7669999999999999E-3</v>
    <v>-1.4362999999999999E-2</v>
    <v>0.45</v>
    <v>USD</v>
    <v>Atlassian Corporation is a provider of team collaboration and productivity software. The Company specializes in software development, work management, and enterprise service management software, which enables enterprises to connect their business and technology teams with an artificial intelligence (AI)-powered system of work. Its interconnected portfolio of apps, AI agents, and Collections, each with discrete value propositions, delivers solutions for software teams, IT operations and support teams, leadership, and business teams. Its apps, agents, and Collections are all built on the Atlassian Cloud Platform and data model: a common technology foundation that connects teams, information, and workflows throughout an organization. Its apps include Jira, Confluence, Loom, Jira Service Management, Rovo, Bitbucket, Compass, Jira Product Discovery, Jira Align, Focus and Talent. It offers team collaboration products on its Data Center deployment option. It operates the Dia and Arc browsers.</v>
    <v>13813</v>
    <v>Nasdaq Stock Market</v>
    <v>XNAS</v>
    <v>XNAS</v>
    <v>Level 6, 341 George Street,, SYDNEY, NEW SOUTH WALES, 2000 AU</v>
    <v>168.6525</v>
    <v>Software &amp; IT Services</v>
    <v>Stock</v>
    <v>45954.999922152347</v>
    <v>1134</v>
    <v>162.15</v>
    <v>44193910000</v>
    <v>ATLASSIAN CORPORATION</v>
    <v>ATLASSIAN CORPORATION</v>
    <v>167.3</v>
    <v>0</v>
    <v>165.01</v>
    <v>162.63999999999999</v>
    <v>163.09</v>
    <v>263231400</v>
    <v>TEAM</v>
    <v>ATLASSIAN CORPORATION (XNAS:TEAM)</v>
    <v>1977820</v>
    <v>2953806</v>
    <v>2022</v>
  </rv>
  <rv s="9">
    <v>1135</v>
  </rv>
  <rv s="0">
    <v>536870912</v>
    <v>Kyrgyzstan</v>
    <v>27f6d40c-198a-efe5-2541-4a5c16f65884</v>
    <v>en-IN</v>
    <v>Map</v>
  </rv>
  <rv s="1">
    <fb>0.54958289885297196</fb>
    <v>24</v>
  </rv>
  <rv s="1">
    <fb>199951</fb>
    <v>25</v>
  </rv>
  <rv s="1">
    <fb>21000</fb>
    <v>25</v>
  </rv>
  <rv s="1">
    <fb>27.1</fb>
    <v>26</v>
  </rv>
  <rv s="1">
    <fb>996</fb>
    <v>27</v>
  </rv>
  <rv s="0">
    <v>536870912</v>
    <v>Bishkek</v>
    <v>f744f7c3-1242-c414-8b99-2aaf98f7bddd</v>
    <v>en-IN</v>
    <v>Map</v>
  </rv>
  <rv s="1">
    <fb>9787.223</fb>
    <v>25</v>
  </rv>
  <rv s="1">
    <fb>155.676152413544</fb>
    <v>28</v>
  </rv>
  <rv s="1">
    <fb>1.13362257718798E-2</fb>
    <v>24</v>
  </rv>
  <rv s="1">
    <fb>1941.22183189101</fb>
    <v>25</v>
  </rv>
  <rv s="1">
    <fb>3.3</fb>
    <v>26</v>
  </rv>
  <rv s="1">
    <fb>3.2794577685088602E-2</fb>
    <v>24</v>
  </rv>
  <rv s="1">
    <fb>75.476218956647202</fb>
    <v>29</v>
  </rv>
  <rv s="1">
    <fb>0.56000000000000005</fb>
    <v>30</v>
  </rv>
  <rv s="1">
    <fb>8454619607.8179502</fb>
    <v>31</v>
  </rv>
  <rv s="1">
    <fb>1.0756540999999999</fb>
    <v>24</v>
  </rv>
  <rv s="1">
    <fb>0.41267020000000004</fb>
    <v>24</v>
  </rv>
  <rv s="2">
    <v>32</v>
    <v>22</v>
    <v>214</v>
    <v>7</v>
    <v>0</v>
    <v>Image of Kyrgyzstan</v>
  </rv>
  <rv s="1">
    <fb>16.899999999999999</fb>
    <v>29</v>
  </rv>
  <rv s="0">
    <v>805306368</v>
    <v>Sadyr Japarov (President)</v>
    <v>b383044a-af48-c077-2070-a76cb02265f9</v>
    <v>en-IN</v>
    <v>Generic</v>
  </rv>
  <rv s="3">
    <v>60</v>
  </rv>
  <rv s="4">
    <v>https://www.bing.com/search?q=kyrgyzstan&amp;form=skydnc</v>
    <v>Learn more on Bing</v>
  </rv>
  <rv s="1">
    <fb>71.400000000000006</fb>
    <v>29</v>
  </rv>
  <rv s="1">
    <fb>60</fb>
    <v>29</v>
  </rv>
  <rv s="1">
    <fb>0.09</fb>
    <v>30</v>
  </rv>
  <rv s="3">
    <v>61</v>
  </rv>
  <rv s="1">
    <fb>0.48239436470000002</fb>
    <v>24</v>
  </rv>
  <rv s="1">
    <fb>1.8759999999999999</fb>
    <v>26</v>
  </rv>
  <rv s="1">
    <fb>6803300</fb>
    <v>25</v>
  </rv>
  <rv s="1">
    <fb>0.218</fb>
    <v>24</v>
  </rv>
  <rv s="1">
    <fb>0.37799999999999995</fb>
    <v>24</v>
  </rv>
  <rv s="1">
    <fb>9.9000000000000005E-2</fb>
    <v>24</v>
  </rv>
  <rv s="1">
    <fb>0.13500000000000001</fb>
    <v>24</v>
  </rv>
  <rv s="1">
    <fb>0.17</fb>
    <v>24</v>
  </rv>
  <rv s="1">
    <fb>0.59831001281738305</fb>
    <v>24</v>
  </rv>
  <rv s="0">
    <v>536870912</v>
    <v>Osh</v>
    <v>fb2c3f6c-3f52-c2c9-bd17-c74d334b5da4</v>
    <v>en-IN</v>
    <v>Map</v>
  </rv>
  <rv s="0">
    <v>536870912</v>
    <v>Batken Region</v>
    <v>56336dc8-1184-bd64-13d7-7c02badbe8c1</v>
    <v>en-IN</v>
    <v>Map</v>
  </rv>
  <rv s="0">
    <v>536870912</v>
    <v>Chuy Region</v>
    <v>0d0e95c1-3cf1-b662-669c-3f778042fb71</v>
    <v>en-IN</v>
    <v>Map</v>
  </rv>
  <rv s="0">
    <v>536870912</v>
    <v>Issyk-Kul Region</v>
    <v>6c4cf4dd-06dd-d852-5c60-40ceaf0dbbde</v>
    <v>en-IN</v>
    <v>Map</v>
  </rv>
  <rv s="0">
    <v>536870912</v>
    <v>Jalal-Abad Region</v>
    <v>c930ab29-b123-fda6-5ae6-51acea4f137d</v>
    <v>en-IN</v>
    <v>Map</v>
  </rv>
  <rv s="0">
    <v>536870912</v>
    <v>Naryn Region</v>
    <v>bd90e3bf-de2d-2d2f-7066-86f87bdc18a8</v>
    <v>en-IN</v>
    <v>Map</v>
  </rv>
  <rv s="0">
    <v>536870912</v>
    <v>Osh Region</v>
    <v>1bc4f38a-6453-0cad-f854-f1a4e80bed9c</v>
    <v>en-IN</v>
    <v>Map</v>
  </rv>
  <rv s="0">
    <v>536870912</v>
    <v>Talas Region</v>
    <v>b4287fe8-a22c-115c-8577-2813c27dc206</v>
    <v>en-IN</v>
    <v>Map</v>
  </rv>
  <rv s="3">
    <v>62</v>
  </rv>
  <rv s="1">
    <fb>0.17998857013594999</fb>
    <v>24</v>
  </rv>
  <rv s="1">
    <fb>0.28999999999999998</fb>
    <v>24</v>
  </rv>
  <rv s="1">
    <fb>6.3299999237060506E-2</fb>
    <v>32</v>
  </rv>
  <rv s="1">
    <fb>2362644</fb>
    <v>25</v>
  </rv>
  <rv s="13">
    <v>#VALUE!</v>
    <v>en-IN</v>
    <v>27f6d40c-198a-efe5-2541-4a5c16f65884</v>
    <v>536870912</v>
    <v>1</v>
    <v>217</v>
    <v>78</v>
    <v>Kyrgyzstan</v>
    <v>20</v>
    <v>21</v>
    <v>Map</v>
    <v>22</v>
    <v>218</v>
    <v>KG</v>
    <v>1138</v>
    <v>1139</v>
    <v>1140</v>
    <v>1141</v>
    <v>1142</v>
    <v>1143</v>
    <v>1144</v>
    <v>1145</v>
    <v>1146</v>
    <v>KGS</v>
    <v>Kyrgyzstan, officially the Kyrgyz Republic is a landlocked country in Central Asia, lying in the Tian Shan and Pamir mountain ranges. Bishkek is the capital and largest city of the country. Kyrgyzstan is bordered by Kazakhstan to the north, ...</v>
    <v>1147</v>
    <v>1148</v>
    <v>1149</v>
    <v>1150</v>
    <v>1151</v>
    <v>1152</v>
    <v>1153</v>
    <v>1154</v>
    <v>1155</v>
    <v>1156</v>
    <v>1143</v>
    <v>1158</v>
    <v>1159</v>
    <v>1160</v>
    <v>1161</v>
    <v>1162</v>
    <v>Kyrgyzstan</v>
    <v>National Anthem of the Kyrgyz Republic</v>
    <v>1163</v>
    <v>Кыргызстан</v>
    <v>1164</v>
    <v>1165</v>
    <v>1166</v>
    <v>1167</v>
    <v>499</v>
    <v>1168</v>
    <v>889</v>
    <v>1169</v>
    <v>1170</v>
    <v>1171</v>
    <v>1172</v>
    <v>1181</v>
    <v>1182</v>
    <v>1183</v>
    <v>1184</v>
    <v>Kyrgyzstan</v>
    <v>1185</v>
    <v>mdp/vdpid/130</v>
  </rv>
  <rv s="1">
    <fb>127</fb>
    <v>25</v>
  </rv>
  <rv s="2">
    <v>33</v>
    <v>22</v>
    <v>219</v>
    <v>7</v>
    <v>0</v>
    <v>Image of Bishkek</v>
  </rv>
  <rv s="0">
    <v>805306368</v>
    <v>Emil Abdykadyrov (Mayor)</v>
    <v>1e3f5ffc-999a-bb0f-7f14-98a4b333cdee</v>
    <v>en-IN</v>
    <v>Generic</v>
  </rv>
  <rv s="3">
    <v>63</v>
  </rv>
  <rv s="4">
    <v>https://www.bing.com/search?q=bishkek&amp;form=skydnc</v>
    <v>Learn more on Bing</v>
  </rv>
  <rv s="1">
    <fb>1120827</fb>
    <v>25</v>
  </rv>
  <rv s="33">
    <v>#VALUE!</v>
    <v>en-IN</v>
    <v>f744f7c3-1242-c414-8b99-2aaf98f7bddd</v>
    <v>536870912</v>
    <v>1</v>
    <v>221</v>
    <v>222</v>
    <v>Bishkek</v>
    <v>20</v>
    <v>21</v>
    <v>Map</v>
    <v>22</v>
    <v>94</v>
    <v>KG-GB</v>
    <v>1187</v>
    <v>916</v>
    <v>Bishkek, formerly Pishpek and Frunze, is the capital and largest city of Kyrgyzstan. Bishkek is also the administrative centre of the Chüy Region. The region surrounds the city, although the city itself is not part of the region but rather a ...</v>
    <v>1188</v>
    <v>1190</v>
    <v>1191</v>
    <v>Bishkek</v>
    <v>1192</v>
    <v>Bishkek</v>
    <v>mdp/vdpid/7388648514047180801</v>
  </rv>
  <rv s="2">
    <v>32</v>
    <v>22</v>
    <v>214</v>
    <v>3</v>
    <v>0</v>
    <v>Image of Kyrgyzstan</v>
  </rv>
  <rv s="8">
    <v>en-IN</v>
    <v>av554c</v>
    <v>268435456</v>
    <v>1</v>
    <v>Powered by Refinitiv</v>
    <v>42</v>
    <v>CNY/USD</v>
    <v>43</v>
    <v>62</v>
    <v>Finance</v>
    <v>45</v>
    <v>0.1411</v>
    <v>0.13600000000000001</v>
    <v>1.6799999999999999E-4</v>
    <v>1.196E-3</v>
    <v>USD</v>
    <v>CNY</v>
    <v>0.1406</v>
    <v>Currency Pair</v>
    <v>45957.217685185184</v>
    <v>0.1406</v>
    <v>Chinese Renminbi/US Dollar FX Cross Rate</v>
    <v>0.1406</v>
    <v>0.1404</v>
    <v>0.1406</v>
    <v>CNYUSD</v>
    <v>CNY/USD</v>
  </rv>
  <rv s="9">
    <v>1195</v>
  </rv>
  <rv s="4">
    <v>https://www.bing.com/financeapi/forcetrigger?t=by833m&amp;q=XLON%3a0L95&amp;form=skydnc</v>
    <v>Learn more on Bing</v>
  </rv>
  <rv s="34">
    <v>en-IN</v>
    <v>by833m</v>
    <v>268435456</v>
    <v>1</v>
    <v>Powered by Refinitiv</v>
    <v>223</v>
    <v>BLOCK, INC. (XLON:0L95)</v>
    <v>47</v>
    <v>224</v>
    <v>Finance</v>
    <v>225</v>
    <v>100</v>
    <v>41.805</v>
    <v>2.7320000000000002</v>
    <v>0</v>
    <v>0</v>
    <v>USD</v>
    <v>Block, Inc. builds technology to increase access to the global economy. The Company operates through two segments: Square and Cash App. The Square includes managed payment services, software solutions, hardware, and financial services offered to sellers, excluding those that involve Cash App. The Cash App segment includes the financial tools available to individuals within the mobile Cash App, including peer-to-peer payments, bitcoin and stock investments. The Cash App also includes Cash App Card, which is linked to customer stored balances that customers can use to pay for purchases or withdraw funds from an ATM. Cash App also includes the BNPL platform. Its Afterpay business is transforming the way customers manage their spending over time. Its TIDAL business is a music platform that empowers artists to thrive as entrepreneurs. Its Bitkey business is a simple self-custody wallet built for bitcoin. Proto business is a suite of bitcoin mining products and services.</v>
    <v>11372</v>
    <v>London Stock Exchange</v>
    <v>XLON</v>
    <v>XLON</v>
    <v>1955 Broadway, Suite 600, OAKLAND, CA, 94612 US</v>
    <v>Professional &amp; Commercial Services</v>
    <v>Stock</v>
    <v>45678.760167372653</v>
    <v>1197</v>
    <v>46279620000</v>
    <v>BLOCK, INC.</v>
    <v>BLOCK, INC.</v>
    <v>52.099299999999999</v>
    <v>88.224999999999994</v>
    <v>88.224999999999994</v>
    <v>609584000</v>
    <v>0L95</v>
    <v>BLOCK, INC. (XLON:0L95)</v>
    <v>7259</v>
    <v>5079360</v>
    <v>2009</v>
  </rv>
  <rv s="9">
    <v>1198</v>
  </rv>
  <rv s="35">
    <v>12</v>
    <v>Low</v>
    <v>0</v>
  </rv>
  <rv s="0">
    <v>536870912</v>
    <v>Laos</v>
    <v>11c0d945-090a-d0d7-d3dc-dc4c96acbd4a</v>
    <v>en-IN</v>
    <v>Map</v>
  </rv>
  <rv s="1">
    <fb>0.10264298093587501</fb>
    <v>24</v>
  </rv>
  <rv s="1">
    <fb>236800</fb>
    <v>25</v>
  </rv>
  <rv s="1">
    <fb>129000</fb>
    <v>25</v>
  </rv>
  <rv s="1">
    <fb>23.548999999999999</fb>
    <v>26</v>
  </rv>
  <rv s="1">
    <fb>856</fb>
    <v>27</v>
  </rv>
  <rv s="0">
    <v>536870912</v>
    <v>Vientiane</v>
    <v>a5f88abd-8d89-0b82-371a-7b61d0882090</v>
    <v>en-IN</v>
    <v>Map</v>
  </rv>
  <rv s="1">
    <fb>17762.948</fb>
    <v>25</v>
  </rv>
  <rv s="1">
    <fb>135.86625228013901</fb>
    <v>28</v>
  </rv>
  <rv s="1">
    <fb>3.3228139373129101E-2</fb>
    <v>24</v>
  </rv>
  <rv s="1">
    <fb>2.6669999999999998</fb>
    <v>26</v>
  </rv>
  <rv s="1">
    <fb>0.82108232574198392</fb>
    <v>24</v>
  </rv>
  <rv s="1">
    <fb>0.93</fb>
    <v>30</v>
  </rv>
  <rv s="1">
    <fb>18173839128.269901</fb>
    <v>31</v>
  </rv>
  <rv s="1">
    <fb>1.0236099000000001</fb>
    <v>24</v>
  </rv>
  <rv s="1">
    <fb>0.14966760000000001</fb>
    <v>24</v>
  </rv>
  <rv s="2">
    <v>34</v>
    <v>22</v>
    <v>227</v>
    <v>7</v>
    <v>0</v>
    <v>Image of Laos</v>
  </rv>
  <rv s="1">
    <fb>37.6</fb>
    <v>29</v>
  </rv>
  <rv s="0">
    <v>805306368</v>
    <v>Thongloun Sisoulith (President)</v>
    <v>d8ac4dd9-62ca-eb4c-956a-812171790ca5</v>
    <v>en-IN</v>
    <v>Generic</v>
  </rv>
  <rv s="0">
    <v>805306368</v>
    <v>Bounthong Chitmany (Vice president)</v>
    <v>3fe15d3a-c644-dba0-fa1b-4a974d8c81d5</v>
    <v>en-IN</v>
    <v>Generic</v>
  </rv>
  <rv s="0">
    <v>805306368</v>
    <v>Sonexay Siphandone (Prime minister)</v>
    <v>79f542a8-96d0-49b7-d8f3-9d56c9953e9d</v>
    <v>en-IN</v>
    <v>Generic</v>
  </rv>
  <rv s="3">
    <v>64</v>
  </rv>
  <rv s="4">
    <v>https://www.bing.com/search?q=laos&amp;form=skydnc</v>
    <v>Learn more on Bing</v>
  </rv>
  <rv s="1">
    <fb>67.61</fb>
    <v>29</v>
  </rv>
  <rv s="1">
    <fb>185</fb>
    <v>29</v>
  </rv>
  <rv s="1">
    <fb>0.83</fb>
    <v>30</v>
  </rv>
  <rv s="3">
    <v>65</v>
  </rv>
  <rv s="1">
    <fb>0.45365326220000002</fb>
    <v>24</v>
  </rv>
  <rv s="1">
    <fb>0.37259999999999999</fb>
    <v>26</v>
  </rv>
  <rv s="1">
    <fb>7529475</fb>
    <v>25</v>
  </rv>
  <rv s="1">
    <fb>0.21</fb>
    <v>24</v>
  </rv>
  <rv s="1">
    <fb>0.29799999999999999</fb>
    <v>24</v>
  </rv>
  <rv s="1">
    <fb>0.44600000000000001</fb>
    <v>24</v>
  </rv>
  <rv s="1">
    <fb>3.2000000000000001E-2</fb>
    <v>24</v>
  </rv>
  <rv s="1">
    <fb>7.5999999999999998E-2</fb>
    <v>24</v>
  </rv>
  <rv s="1">
    <fb>0.115</fb>
    <v>24</v>
  </rv>
  <rv s="1">
    <fb>0.153</fb>
    <v>24</v>
  </rv>
  <rv s="1">
    <fb>0.78473999023437502</fb>
    <v>24</v>
  </rv>
  <rv s="0">
    <v>536870912</v>
    <v>Attapeu Province</v>
    <v>69561c74-7aeb-b122-190f-d14f829d9d5b</v>
    <v>en-IN</v>
    <v>Map</v>
  </rv>
  <rv s="0">
    <v>536870912</v>
    <v>Bokeo Province</v>
    <v>088afd4d-5753-db2b-f393-548242af7f55</v>
    <v>en-IN</v>
    <v>Map</v>
  </rv>
  <rv s="0">
    <v>536870912</v>
    <v>Bolikhamsai Province</v>
    <v>ab9d8d30-7e5f-60fa-f417-0b2fb45c1edb</v>
    <v>en-IN</v>
    <v>Map</v>
  </rv>
  <rv s="0">
    <v>536870912</v>
    <v>Champasak Province</v>
    <v>25f44a53-2ef0-a2f9-2223-626c1227f891</v>
    <v>en-IN</v>
    <v>Map</v>
  </rv>
  <rv s="0">
    <v>536870912</v>
    <v>Houaphanh Province</v>
    <v>4fba35a6-c1cb-d70c-3091-dccd3b88443b</v>
    <v>en-IN</v>
    <v>Map</v>
  </rv>
  <rv s="0">
    <v>536870912</v>
    <v>Khammouane Province</v>
    <v>803dba3e-3378-cf10-519b-8db0bed79359</v>
    <v>en-IN</v>
    <v>Map</v>
  </rv>
  <rv s="0">
    <v>536870912</v>
    <v>Louang Namtha Province</v>
    <v>ec0525ed-d54b-4b75-1777-344efdc56c53</v>
    <v>en-IN</v>
    <v>Map</v>
  </rv>
  <rv s="0">
    <v>536870912</v>
    <v>Luang Prabang Province</v>
    <v>6061d3f3-9c92-8772-c721-ee0c926fd746</v>
    <v>en-IN</v>
    <v>Map</v>
  </rv>
  <rv s="0">
    <v>536870912</v>
    <v>Oudomxay Province</v>
    <v>8d47e80e-7a78-0800-7591-a8243822f2cf</v>
    <v>en-IN</v>
    <v>Map</v>
  </rv>
  <rv s="0">
    <v>536870912</v>
    <v>Phongsaly Province</v>
    <v>ce9c7de4-4684-dd1c-68d8-50fe32d0a038</v>
    <v>en-IN</v>
    <v>Map</v>
  </rv>
  <rv s="0">
    <v>536870912</v>
    <v>Sainyabuli Province</v>
    <v>44e6279c-ebb8-d7be-c346-a1882669b6d6</v>
    <v>en-IN</v>
    <v>Map</v>
  </rv>
  <rv s="0">
    <v>536870912</v>
    <v>Salavan Province</v>
    <v>fee6e8e0-3bf7-fafd-76ab-b00568f1e0af</v>
    <v>en-IN</v>
    <v>Map</v>
  </rv>
  <rv s="0">
    <v>536870912</v>
    <v>Savannakhet Province</v>
    <v>8bf2ee8d-f21c-fc2e-eafb-e598f7fcb6ce</v>
    <v>en-IN</v>
    <v>Map</v>
  </rv>
  <rv s="0">
    <v>536870912</v>
    <v>Sekong Province</v>
    <v>59122f72-581f-4973-5502-f82e92f4fe4c</v>
    <v>en-IN</v>
    <v>Map</v>
  </rv>
  <rv s="0">
    <v>536870912</v>
    <v>Vientiane Prefecture</v>
    <v>f92d17f7-5728-2af6-1825-f861c3d31771</v>
    <v>en-IN</v>
    <v>Map</v>
  </rv>
  <rv s="0">
    <v>536870912</v>
    <v>Vientiane Province</v>
    <v>906f0679-ad6c-6d00-b282-de6b516908b8</v>
    <v>en-IN</v>
    <v>Map</v>
  </rv>
  <rv s="0">
    <v>536870912</v>
    <v>Xiangkhouang Province</v>
    <v>8bcd566b-5a8c-99a6-582b-3f5ed9d256c2</v>
    <v>en-IN</v>
    <v>Map</v>
  </rv>
  <rv s="3">
    <v>66</v>
  </rv>
  <rv s="1">
    <fb>0.129430993761254</fb>
    <v>24</v>
  </rv>
  <rv s="1">
    <fb>0.24100000000000002</fb>
    <v>24</v>
  </rv>
  <rv s="1">
    <fb>6.2599998712539696E-3</fb>
    <v>32</v>
  </rv>
  <rv s="1">
    <fb>2555552</fb>
    <v>25</v>
  </rv>
  <rv s="36">
    <v>#VALUE!</v>
    <v>en-IN</v>
    <v>11c0d945-090a-d0d7-d3dc-dc4c96acbd4a</v>
    <v>536870912</v>
    <v>1</v>
    <v>230</v>
    <v>231</v>
    <v>Laos</v>
    <v>20</v>
    <v>21</v>
    <v>Map</v>
    <v>22</v>
    <v>232</v>
    <v>LA</v>
    <v>1202</v>
    <v>1203</v>
    <v>1204</v>
    <v>1205</v>
    <v>1206</v>
    <v>1207</v>
    <v>1208</v>
    <v>1209</v>
    <v>1210</v>
    <v>LAK</v>
    <v>Laos, officially the Lao People's Democratic Republic, is a landlocked country in Southeast Asia. At the heart of the Indochinese Peninsula, Laos is bordered by Myanmar and China to the northwest, Vietnam to the east, Cambodia to the southeast, ...</v>
    <v>1211</v>
    <v>1212</v>
    <v>1213</v>
    <v>1214</v>
    <v>1215</v>
    <v>1216</v>
    <v>1217</v>
    <v>1218</v>
    <v>1207</v>
    <v>1222</v>
    <v>1223</v>
    <v>1224</v>
    <v>1225</v>
    <v>1226</v>
    <v>Laos</v>
    <v>Pheng Xat Lao</v>
    <v>1227</v>
    <v>ສາທາລະນະລັດ ປະຊາທິປະໄຕ ປະຊາຊົນລາວ</v>
    <v>1228</v>
    <v>1229</v>
    <v>1230</v>
    <v>1231</v>
    <v>1232</v>
    <v>1233</v>
    <v>1234</v>
    <v>1235</v>
    <v>1236</v>
    <v>1237</v>
    <v>1238</v>
    <v>1256</v>
    <v>1257</v>
    <v>1258</v>
    <v>1259</v>
    <v>Laos</v>
    <v>1260</v>
    <v>mdp/vdpid/138</v>
  </rv>
  <rv s="1">
    <fb>3920</fb>
    <v>25</v>
  </rv>
  <rv s="2">
    <v>35</v>
    <v>22</v>
    <v>233</v>
    <v>7</v>
    <v>0</v>
    <v>Image of Vientiane</v>
  </rv>
  <rv s="1">
    <fb>17.966666666666999</fb>
    <v>37</v>
  </rv>
  <rv s="0">
    <v>805306368</v>
    <v>Athsphangthong Siphandone (Mayor)</v>
    <v>542d46e8-52e2-5ae5-629c-ab4112505f2b</v>
    <v>en-IN</v>
    <v>Generic</v>
  </rv>
  <rv s="3">
    <v>67</v>
  </rv>
  <rv s="4">
    <v>https://www.bing.com/search?q=vientiane&amp;form=skydnc</v>
    <v>Learn more on Bing</v>
  </rv>
  <rv s="1">
    <fb>102.6</fb>
    <v>37</v>
  </rv>
  <rv s="1">
    <fb>1003004</fb>
    <v>25</v>
  </rv>
  <rv s="14">
    <v>#VALUE!</v>
    <v>en-IN</v>
    <v>a5f88abd-8d89-0b82-371a-7b61d0882090</v>
    <v>536870912</v>
    <v>1</v>
    <v>234</v>
    <v>82</v>
    <v>Vientiane</v>
    <v>20</v>
    <v>21</v>
    <v>Map</v>
    <v>22</v>
    <v>235</v>
    <v>1253</v>
    <v>1262</v>
    <v>1201</v>
    <v>Vientiane is the capital and largest city of Laos. Comprising the five urban districts of Vientiane Prefecture, the city is located on the banks of the Mekong, right at the border with Thailand. Vientiane was the administrative capital during ...</v>
    <v>1263</v>
    <v>1264</v>
    <v>1266</v>
    <v>1267</v>
    <v>1268</v>
    <v>Vientiane</v>
    <v>1269</v>
    <v>Vientiane</v>
    <v>mdp/vdpid/7864745052562522113</v>
  </rv>
  <rv s="2">
    <v>34</v>
    <v>22</v>
    <v>227</v>
    <v>3</v>
    <v>0</v>
    <v>Image of Laos</v>
  </rv>
  <rv s="8">
    <v>en-IN</v>
    <v>avyspr</v>
    <v>268435456</v>
    <v>1</v>
    <v>Powered by Refinitiv</v>
    <v>42</v>
    <v>USD/SGD</v>
    <v>43</v>
    <v>236</v>
    <v>Finance</v>
    <v>45</v>
    <v>1.375</v>
    <v>1.2695000000000001</v>
    <v>-2.9999999999999997E-4</v>
    <v>-2.3109999999999998E-4</v>
    <v>SGD</v>
    <v>USD</v>
    <v>1.2984</v>
    <v>Currency Pair</v>
    <v>45957.217731481483</v>
    <v>1.2961</v>
    <v>US Dollar/Singapore Dollar FX Spot Rate</v>
    <v>1.2982</v>
    <v>1.2981</v>
    <v>1.2978000000000001</v>
    <v>USDSGD</v>
    <v>USD/SGD</v>
  </rv>
  <rv s="9">
    <v>1272</v>
  </rv>
  <rv s="4">
    <v>https://www.bing.com/financeapi/forcetrigger?t=bx11nm&amp;q=XNYS%3aDASH&amp;form=skydnc</v>
    <v>Learn more on Bing</v>
  </rv>
  <rv s="10">
    <v>en-IN</v>
    <v>bx11nm</v>
    <v>268435456</v>
    <v>1</v>
    <v>Powered by Refinitiv</v>
    <v>46</v>
    <v>DOORDASH, INC. (XNAS:DASH)</v>
    <v>47</v>
    <v>48</v>
    <v>Finance</v>
    <v>49</v>
    <v>285.5</v>
    <v>152.26009999999999</v>
    <v>1.7099</v>
    <v>3.56</v>
    <v>-2.5569999999999998E-3</v>
    <v>1.3983000000000001E-2</v>
    <v>-0.66</v>
    <v>USD</v>
    <v>DoorDash, Inc. is engaged in providing services that reduce friction in local commerce and help merchants connect with consumers in their communities. The Company's primary offerings include the DoorDash Marketplace and the Wolt Marketplace (together, the Marketplaces), and its Commerce Platform. The Company's Marketplaces operate in over 30 countries across the globe and provide an integrated suite of services that help merchants establish an online presence, connect with consumers in their communities, and solve mission-critical challenges, such as customer acquisition, demand generation, order fulfillment, merchandising, payment processing, and customer support. It also offers advertising as a value-added service through its Marketplaces to help merchants and consumer packaged goods companies increase consumer engagement. The Company also has offsite advertising capabilities. Its white-label delivery fulfillment services include DoorDash Drive On-Demand and Wolt Drive.</v>
    <v>23700</v>
    <v>Nasdaq Stock Market</v>
    <v>XNAS</v>
    <v>XNAS</v>
    <v>303 2nd Street, South Tower, 8th Floor, San Francisco, CA, 94107 US</v>
    <v>261.67500000000001</v>
    <v>Software &amp; IT Services</v>
    <v>Stock</v>
    <v>45954.999822001562</v>
    <v>1274</v>
    <v>253.24</v>
    <v>107785500000</v>
    <v>DOORDASH, INC.</v>
    <v>DOORDASH, INC.</v>
    <v>255.63</v>
    <v>143.41669999999999</v>
    <v>254.59</v>
    <v>258.14999999999998</v>
    <v>257.49</v>
    <v>427194800</v>
    <v>DASH</v>
    <v>DOORDASH, INC. (XNAS:DASH)</v>
    <v>2720037</v>
    <v>3075886</v>
    <v>2013</v>
  </rv>
  <rv s="9">
    <v>1275</v>
  </rv>
  <rv s="0">
    <v>536870912</v>
    <v>Latvia</v>
    <v>76511c15-b60b-948f-e9c7-f9bd9d9c4ece</v>
    <v>en-IN</v>
    <v>Map</v>
  </rv>
  <rv s="1">
    <fb>0.31055001608234201</fb>
    <v>24</v>
  </rv>
  <rv s="1">
    <fb>64593.79</fb>
    <v>25</v>
  </rv>
  <rv s="1">
    <fb>6000</fb>
    <v>25</v>
  </rv>
  <rv s="1">
    <fb>10</fb>
    <v>26</v>
  </rv>
  <rv s="1">
    <fb>371</fb>
    <v>27</v>
  </rv>
  <rv s="0">
    <v>536870912</v>
    <v>Riga</v>
    <v>28ba38b3-e530-65db-5053-2ad0f32507de</v>
    <v>en-IN</v>
    <v>Map</v>
  </rv>
  <rv s="1">
    <fb>7003.97</fb>
    <v>25</v>
  </rv>
  <rv s="1">
    <fb>116.85698464327299</fb>
    <v>28</v>
  </rv>
  <rv s="1">
    <fb>2.8114092007562198E-2</fb>
    <v>24</v>
  </rv>
  <rv s="1">
    <fb>3507.4045206547198</fb>
    <v>25</v>
  </rv>
  <rv s="1">
    <fb>1.6</fb>
    <v>26</v>
  </rv>
  <rv s="1">
    <fb>0.53978769738561394</fb>
    <v>24</v>
  </rv>
  <rv s="1">
    <fb>56.717427573372497</fb>
    <v>29</v>
  </rv>
  <rv s="1">
    <fb>1.1599999999999999</fb>
    <v>30</v>
  </rv>
  <rv s="1">
    <fb>34117202555.066601</fb>
    <v>31</v>
  </rv>
  <rv s="1">
    <fb>0.99367839999999996</fb>
    <v>24</v>
  </rv>
  <rv s="1">
    <fb>0.88057429999999992</fb>
    <v>24</v>
  </rv>
  <rv s="2">
    <v>36</v>
    <v>22</v>
    <v>238</v>
    <v>7</v>
    <v>0</v>
    <v>Image of Latvia</v>
  </rv>
  <rv s="1">
    <fb>3.3</fb>
    <v>29</v>
  </rv>
  <rv s="0">
    <v>805306368</v>
    <v>Edgars Rinkēvičs (President)</v>
    <v>ebfa1c68-a065-5fec-f8e2-6cecc7007ba2</v>
    <v>en-IN</v>
    <v>Generic</v>
  </rv>
  <rv s="0">
    <v>805306368</v>
    <v>Evika Siliņa (Prime minister)</v>
    <v>789c6cbb-7ecc-bc03-79ae-fba6accaf7be</v>
    <v>en-IN</v>
    <v>Generic</v>
  </rv>
  <rv s="3">
    <v>68</v>
  </rv>
  <rv s="4">
    <v>https://www.bing.com/search?q=latvia&amp;form=skydnc</v>
    <v>Learn more on Bing</v>
  </rv>
  <rv s="1">
    <fb>74.678048780487799</fb>
    <v>29</v>
  </rv>
  <rv s="1">
    <fb>19</fb>
    <v>29</v>
  </rv>
  <rv s="1">
    <fb>2.8</fb>
    <v>30</v>
  </rv>
  <rv s="3">
    <v>69</v>
  </rv>
  <rv s="1">
    <fb>0.41623710610000003</fb>
    <v>24</v>
  </rv>
  <rv s="1">
    <fb>3.1905000000000001</fb>
    <v>26</v>
  </rv>
  <rv s="1">
    <fb>1883379</fb>
    <v>25</v>
  </rv>
  <rv s="1">
    <fb>0.22800000000000001</fb>
    <v>24</v>
  </rv>
  <rv s="1">
    <fb>0.26899999999999996</fb>
    <v>24</v>
  </rv>
  <rv s="1">
    <fb>0.11699999999999999</fb>
    <v>24</v>
  </rv>
  <rv s="1">
    <fb>0.61410999298095703</fb>
    <v>24</v>
  </rv>
  <rv s="0">
    <v>536870912</v>
    <v>Daugavpils</v>
    <v>4e5a5f86-90d5-62bf-5706-7846070ac222</v>
    <v>en-IN</v>
    <v>Map</v>
  </rv>
  <rv s="0">
    <v>536870912</v>
    <v>Jēkabpils</v>
    <v>62882a74-fadf-da76-905b-75acf15a12e7</v>
    <v>en-IN</v>
    <v>Map</v>
  </rv>
  <rv s="0">
    <v>536870912</v>
    <v>Jūrmala</v>
    <v>b53197a1-c6da-44d4-6c8b-b9fc5b3319d2</v>
    <v>en-IN</v>
    <v>Map</v>
  </rv>
  <rv s="0">
    <v>536870912</v>
    <v>Liepāja</v>
    <v>dfd39be7-dd1e-dd81-ac22-7e76fd127d61</v>
    <v>en-IN</v>
    <v>Map</v>
  </rv>
  <rv s="0">
    <v>536870912</v>
    <v>Rēzekne</v>
    <v>8d930e7b-793d-f10f-fab9-eb4f8dc90d0a</v>
    <v>en-IN</v>
    <v>Map</v>
  </rv>
  <rv s="0">
    <v>536870912</v>
    <v>Valmiera</v>
    <v>3aab869a-d293-3264-01d9-f4734906ae56</v>
    <v>en-IN</v>
    <v>Map</v>
  </rv>
  <rv s="0">
    <v>536870912</v>
    <v>Aglona Municipality</v>
    <v>4215b6b4-7c37-19c0-e2d9-3fa604feae4c</v>
    <v>en-IN</v>
    <v>Map</v>
  </rv>
  <rv s="0">
    <v>536870912</v>
    <v>Ventspils</v>
    <v>0528f2b2-5eb9-8bbc-6bbd-5de31f2222b6</v>
    <v>en-IN</v>
    <v>Map</v>
  </rv>
  <rv s="0">
    <v>536870912</v>
    <v>Aizpute Municipality</v>
    <v>16529e6c-f2ac-2885-1ef4-7a356784edc5</v>
    <v>en-IN</v>
    <v>Map</v>
  </rv>
  <rv s="0">
    <v>536870912</v>
    <v>Aknīste Municipality</v>
    <v>741c24a1-bdc0-94e1-4dcf-6e0d1b5d7133</v>
    <v>en-IN</v>
    <v>Map</v>
  </rv>
  <rv s="0">
    <v>536870912</v>
    <v>Aloja Municipality</v>
    <v>87d24c3f-2d38-4808-9a8a-d3d131dc4a43</v>
    <v>en-IN</v>
    <v>Map</v>
  </rv>
  <rv s="0">
    <v>536870912</v>
    <v>Alsunga Municipality</v>
    <v>8a409f4c-c2c1-c335-8b60-38bf28a34bce</v>
    <v>en-IN</v>
    <v>Map</v>
  </rv>
  <rv s="0">
    <v>536870912</v>
    <v>Alūksne Municipality</v>
    <v>f3457abd-4feb-a1cf-785e-f40f0829f1ba</v>
    <v>en-IN</v>
    <v>Map</v>
  </rv>
  <rv s="0">
    <v>536870912</v>
    <v>Amata Municipality</v>
    <v>fdd456f5-778d-448e-b507-66bbe9a04833</v>
    <v>en-IN</v>
    <v>Map</v>
  </rv>
  <rv s="0">
    <v>536870912</v>
    <v>Ape Municipality</v>
    <v>ea6e964f-6000-3fed-256e-1e9932fd0e1a</v>
    <v>en-IN</v>
    <v>Map</v>
  </rv>
  <rv s="0">
    <v>536870912</v>
    <v>Auce Municipality</v>
    <v>cd68a410-3b71-8eae-1b5c-0185dfe4124f</v>
    <v>en-IN</v>
    <v>Map</v>
  </rv>
  <rv s="0">
    <v>536870912</v>
    <v>Babīte Municipality</v>
    <v>7f15b32f-3c71-2350-05c0-dd49106a9f2a</v>
    <v>en-IN</v>
    <v>Map</v>
  </rv>
  <rv s="0">
    <v>536870912</v>
    <v>Baldone Municipality</v>
    <v>f433962a-8933-b39b-6eab-48b738af80ea</v>
    <v>en-IN</v>
    <v>Map</v>
  </rv>
  <rv s="0">
    <v>536870912</v>
    <v>Baltinava Municipality</v>
    <v>d5f3faf5-cbdf-e5f6-756c-06b9a409cdd1</v>
    <v>en-IN</v>
    <v>Map</v>
  </rv>
  <rv s="0">
    <v>536870912</v>
    <v>Beverīna Municipality</v>
    <v>86e998e5-8e6b-463e-d7f3-93d8182bfb8e</v>
    <v>en-IN</v>
    <v>Map</v>
  </rv>
  <rv s="0">
    <v>536870912</v>
    <v>Brocēni Municipality</v>
    <v>2722733f-5fa2-6550-ece2-e9dfd4421c4a</v>
    <v>en-IN</v>
    <v>Map</v>
  </rv>
  <rv s="0">
    <v>536870912</v>
    <v>Burtnieki Municipality</v>
    <v>4ce21d19-14a8-2971-d38c-d0b8a0e85020</v>
    <v>en-IN</v>
    <v>Map</v>
  </rv>
  <rv s="0">
    <v>536870912</v>
    <v>Carnikava Municipality</v>
    <v>6c67e43f-7ce8-4b95-ab5f-825f1cc08e6b</v>
    <v>en-IN</v>
    <v>Map</v>
  </rv>
  <rv s="0">
    <v>536870912</v>
    <v>Cesvaine Municipality</v>
    <v>ec1951c4-ae79-4386-a326-29c30ed9979a</v>
    <v>en-IN</v>
    <v>Map</v>
  </rv>
  <rv s="0">
    <v>536870912</v>
    <v>Cibla Municipality</v>
    <v>865e4fe5-7132-4039-b413-c507f2b982e7</v>
    <v>en-IN</v>
    <v>Map</v>
  </rv>
  <rv s="0">
    <v>536870912</v>
    <v>Dagda Municipality</v>
    <v>73f875ab-3251-35c8-32c4-3c400e60b6d6</v>
    <v>en-IN</v>
    <v>Map</v>
  </rv>
  <rv s="0">
    <v>536870912</v>
    <v>Daugavpils Municipality</v>
    <v>773963e6-64d9-b85b-5eac-302bf2a3ec81</v>
    <v>en-IN</v>
    <v>Map</v>
  </rv>
  <rv s="0">
    <v>536870912</v>
    <v>Dundaga Municipality</v>
    <v>e7427ccb-691c-905d-ed13-ad1d3870553f</v>
    <v>en-IN</v>
    <v>Map</v>
  </rv>
  <rv s="0">
    <v>536870912</v>
    <v>Durbe Municipality</v>
    <v>8f5a661d-9297-4b3b-9bcd-90bf0cdd31c2</v>
    <v>en-IN</v>
    <v>Map</v>
  </rv>
  <rv s="0">
    <v>536870912</v>
    <v>Engure Municipality</v>
    <v>aeed18e1-fac1-4d4b-b87f-7db6cac987e6</v>
    <v>en-IN</v>
    <v>Map</v>
  </rv>
  <rv s="0">
    <v>536870912</v>
    <v>Ērgļi Municipality</v>
    <v>bacc2eec-b43e-40fa-e69d-d2b14a4095b2</v>
    <v>en-IN</v>
    <v>Map</v>
  </rv>
  <rv s="0">
    <v>536870912</v>
    <v>Grobiņa Municipality</v>
    <v>4b1f9b19-2dff-d177-d69b-3d96892ed82c</v>
    <v>en-IN</v>
    <v>Map</v>
  </rv>
  <rv s="0">
    <v>536870912</v>
    <v>Gulbene Municipality</v>
    <v>84bcd265-d604-17c7-fef6-d42c1d4d7cbb</v>
    <v>en-IN</v>
    <v>Map</v>
  </rv>
  <rv s="0">
    <v>536870912</v>
    <v>Iecava Municipality</v>
    <v>2d17de83-356a-8e88-3bab-1da17af6e01d</v>
    <v>en-IN</v>
    <v>Map</v>
  </rv>
  <rv s="0">
    <v>536870912</v>
    <v>Ikšķile Municipality</v>
    <v>11f36a9d-1090-4972-1950-2eec64cf368b</v>
    <v>en-IN</v>
    <v>Map</v>
  </rv>
  <rv s="0">
    <v>536870912</v>
    <v>Inčukalns Municipality</v>
    <v>0beb8468-a9b3-b0a6-7cce-3ba8237b7da6</v>
    <v>en-IN</v>
    <v>Map</v>
  </rv>
  <rv s="0">
    <v>536870912</v>
    <v>Ilūkste Municipality</v>
    <v>66edeeca-90a4-e69f-036f-a3e0107ae452</v>
    <v>en-IN</v>
    <v>Map</v>
  </rv>
  <rv s="0">
    <v>536870912</v>
    <v>Jaunjelgava Municipality</v>
    <v>fba5a4ed-93a0-4be1-b3ce-8d13172f1500</v>
    <v>en-IN</v>
    <v>Map</v>
  </rv>
  <rv s="0">
    <v>536870912</v>
    <v>Jaunpiebalga Municipality</v>
    <v>98502c52-4765-4ef2-9ff6-77ed8a9fa5b7</v>
    <v>en-IN</v>
    <v>Map</v>
  </rv>
  <rv s="0">
    <v>536870912</v>
    <v>Jaunpils Municipality</v>
    <v>b55305fd-4269-056a-5170-90d1fe3baacb</v>
    <v>en-IN</v>
    <v>Map</v>
  </rv>
  <rv s="0">
    <v>536870912</v>
    <v>Kandava Municipality</v>
    <v>99c4db77-8ad4-4c65-9c91-573f3cc30454</v>
    <v>en-IN</v>
    <v>Map</v>
  </rv>
  <rv s="0">
    <v>536870912</v>
    <v>Kārsava Municipality</v>
    <v>ded6a3cc-a2dc-cb24-4ae2-f9e58be59863</v>
    <v>en-IN</v>
    <v>Map</v>
  </rv>
  <rv s="0">
    <v>536870912</v>
    <v>Koknese Municipality</v>
    <v>9734311c-f332-4e1b-80b8-7fe322d499bd</v>
    <v>en-IN</v>
    <v>Map</v>
  </rv>
  <rv s="0">
    <v>536870912</v>
    <v>Krimulda Municipality</v>
    <v>7bf8b4c8-6ac5-4e82-ab7c-f2e56c0ffb62</v>
    <v>en-IN</v>
    <v>Map</v>
  </rv>
  <rv s="0">
    <v>536870912</v>
    <v>Krustpils Municipality</v>
    <v>71f50272-f39a-311c-bd67-bc4631c6ead3</v>
    <v>en-IN</v>
    <v>Map</v>
  </rv>
  <rv s="0">
    <v>536870912</v>
    <v>Ķegums Municipality</v>
    <v>824bd57c-a023-2e58-f5ea-3310deb8260f</v>
    <v>en-IN</v>
    <v>Map</v>
  </rv>
  <rv s="0">
    <v>536870912</v>
    <v>Lielvārde Municipality</v>
    <v>8bdeb832-8fbc-a8a5-bc39-a455b4f9f051</v>
    <v>en-IN</v>
    <v>Map</v>
  </rv>
  <rv s="0">
    <v>536870912</v>
    <v>Līgatne Municipality</v>
    <v>c5f79def-4599-5f6b-6d38-4ac396d6fe90</v>
    <v>en-IN</v>
    <v>Map</v>
  </rv>
  <rv s="0">
    <v>536870912</v>
    <v>Līvāni Municipality</v>
    <v>b212a4e1-83e7-4094-9a29-5ec611033e55</v>
    <v>en-IN</v>
    <v>Map</v>
  </rv>
  <rv s="0">
    <v>536870912</v>
    <v>Lubāna Municipality</v>
    <v>caf94297-fa50-a99c-95a2-d0bf48b83e64</v>
    <v>en-IN</v>
    <v>Map</v>
  </rv>
  <rv s="0">
    <v>536870912</v>
    <v>Mālpils Municipality</v>
    <v>26c2b099-96e3-34fa-922c-d087ed484629</v>
    <v>en-IN</v>
    <v>Map</v>
  </rv>
  <rv s="0">
    <v>536870912</v>
    <v>Mārupe Municipality</v>
    <v>b77c49e7-961d-fe7b-2521-383816eff92f</v>
    <v>en-IN</v>
    <v>Map</v>
  </rv>
  <rv s="0">
    <v>536870912</v>
    <v>Mazsalaca Municipality</v>
    <v>fe882855-cbe8-ffc8-b961-060ef13e8204</v>
    <v>en-IN</v>
    <v>Map</v>
  </rv>
  <rv s="0">
    <v>536870912</v>
    <v>Naukšēni Municipality</v>
    <v>d0450d7e-707d-9040-3b05-292579d092c4</v>
    <v>en-IN</v>
    <v>Map</v>
  </rv>
  <rv s="0">
    <v>536870912</v>
    <v>Nereta Municipality</v>
    <v>55a7dc26-4c2d-48e2-94bc-22db851f15b9</v>
    <v>en-IN</v>
    <v>Map</v>
  </rv>
  <rv s="0">
    <v>536870912</v>
    <v>Nīca Municipality</v>
    <v>fb8a3e1b-fe69-6fae-42bd-0679aa16e1a9</v>
    <v>en-IN</v>
    <v>Map</v>
  </rv>
  <rv s="0">
    <v>536870912</v>
    <v>Olaine Municipality</v>
    <v>f59d02c5-1ef0-44ab-b209-23b73010c646</v>
    <v>en-IN</v>
    <v>Map</v>
  </rv>
  <rv s="0">
    <v>536870912</v>
    <v>Ozolnieki Municipality</v>
    <v>72766bce-4d81-1778-097e-317d1d983123</v>
    <v>en-IN</v>
    <v>Map</v>
  </rv>
  <rv s="0">
    <v>536870912</v>
    <v>Pārgauja Municipality</v>
    <v>f292c99e-6314-d515-6f03-128d1ba465c0</v>
    <v>en-IN</v>
    <v>Map</v>
  </rv>
  <rv s="0">
    <v>536870912</v>
    <v>Pāvilosta Municipality</v>
    <v>3b324166-e091-6850-154f-c36abebe360a</v>
    <v>en-IN</v>
    <v>Map</v>
  </rv>
  <rv s="0">
    <v>536870912</v>
    <v>Pļaviņas Municipality</v>
    <v>6fcba523-b97f-29a3-5df9-edaf4322b61b</v>
    <v>en-IN</v>
    <v>Map</v>
  </rv>
  <rv s="0">
    <v>536870912</v>
    <v>Priekule Municipality</v>
    <v>e121d743-f0dd-464d-b422-8db726d0e033</v>
    <v>en-IN</v>
    <v>Map</v>
  </rv>
  <rv s="0">
    <v>536870912</v>
    <v>Priekuļi Municipality</v>
    <v>486a7ea0-45d8-3e73-f4a6-3d06d6c08fa6</v>
    <v>en-IN</v>
    <v>Map</v>
  </rv>
  <rv s="0">
    <v>536870912</v>
    <v>Rauna Municipality</v>
    <v>4c3c3491-90e5-4031-af60-7fa60f0850b2</v>
    <v>en-IN</v>
    <v>Map</v>
  </rv>
  <rv s="0">
    <v>536870912</v>
    <v>Riebiņi Municipality</v>
    <v>e6cac5f7-6025-df5b-b4eb-bd216dc4678b</v>
    <v>en-IN</v>
    <v>Map</v>
  </rv>
  <rv s="0">
    <v>536870912</v>
    <v>Roja Municipality</v>
    <v>b386fd30-eb29-d691-e930-ea6d0cae3d24</v>
    <v>en-IN</v>
    <v>Map</v>
  </rv>
  <rv s="0">
    <v>536870912</v>
    <v>Rucava Municipality</v>
    <v>ec2cd100-fdce-415c-ac3f-a219102ec293</v>
    <v>en-IN</v>
    <v>Map</v>
  </rv>
  <rv s="0">
    <v>536870912</v>
    <v>Rugāji Municipality</v>
    <v>f49888ec-5ddf-eb38-fdd3-8573337f7fc1</v>
    <v>en-IN</v>
    <v>Map</v>
  </rv>
  <rv s="0">
    <v>536870912</v>
    <v>Rundāle Municipality</v>
    <v>533a2de1-3779-b13a-aa56-ed3b83fd53d0</v>
    <v>en-IN</v>
    <v>Map</v>
  </rv>
  <rv s="0">
    <v>536870912</v>
    <v>Rūjiena Municipality</v>
    <v>fed40cd7-e234-657a-a11b-8dea201dd6d0</v>
    <v>en-IN</v>
    <v>Map</v>
  </rv>
  <rv s="0">
    <v>536870912</v>
    <v>Salacgrīva Municipality</v>
    <v>80ef951c-2550-24ca-cf7b-4342861886eb</v>
    <v>en-IN</v>
    <v>Map</v>
  </rv>
  <rv s="0">
    <v>536870912</v>
    <v>Sala Municipality</v>
    <v>909d33ec-ef4f-477e-927e-523005b6764d</v>
    <v>en-IN</v>
    <v>Map</v>
  </rv>
  <rv s="0">
    <v>536870912</v>
    <v>Salaspils Municipality</v>
    <v>7c112789-52a0-4b20-8051-57f2f93d8016</v>
    <v>en-IN</v>
    <v>Map</v>
  </rv>
  <rv s="0">
    <v>536870912</v>
    <v>Sēja Municipality</v>
    <v>f2195bdb-7143-22dc-e1a1-d541086dec56</v>
    <v>en-IN</v>
    <v>Map</v>
  </rv>
  <rv s="0">
    <v>536870912</v>
    <v>Skrīveri Municipality</v>
    <v>b4cc21f1-1127-917f-eb85-fba26428df3b</v>
    <v>en-IN</v>
    <v>Map</v>
  </rv>
  <rv s="0">
    <v>536870912</v>
    <v>Skrunda Municipality</v>
    <v>cc4d65f9-aa12-fccc-cc2d-a9b8bebee8e1</v>
    <v>en-IN</v>
    <v>Map</v>
  </rv>
  <rv s="0">
    <v>536870912</v>
    <v>Stopiņi Municipality</v>
    <v>03e7834e-9845-4cf8-e9b8-9a69430b2927</v>
    <v>en-IN</v>
    <v>Map</v>
  </rv>
  <rv s="0">
    <v>536870912</v>
    <v>Strenči Municipality</v>
    <v>7bcd1518-5656-200c-5f7c-9c5f8850b0b8</v>
    <v>en-IN</v>
    <v>Map</v>
  </rv>
  <rv s="0">
    <v>536870912</v>
    <v>Tērvete Municipality</v>
    <v>47f44eb5-a7df-d6d2-920d-c0fc7a809856</v>
    <v>en-IN</v>
    <v>Map</v>
  </rv>
  <rv s="0">
    <v>536870912</v>
    <v>Vaiņode Municipality</v>
    <v>b81e63b2-dc93-3ca5-4472-c5e86ffbfdd7</v>
    <v>en-IN</v>
    <v>Map</v>
  </rv>
  <rv s="0">
    <v>536870912</v>
    <v>Valka Municipality</v>
    <v>cde06364-3fe3-412c-9832-cb0d2b4f51b4</v>
    <v>en-IN</v>
    <v>Map</v>
  </rv>
  <rv s="0">
    <v>536870912</v>
    <v>Kocēni Municipality</v>
    <v>5602f1dd-149e-fa4d-2373-4ba50b2323d2</v>
    <v>en-IN</v>
    <v>Map</v>
  </rv>
  <rv s="0">
    <v>536870912</v>
    <v>Varakļāni Municipality</v>
    <v>2f940a92-b8ee-5598-68d6-854e2360cd32</v>
    <v>en-IN</v>
    <v>Map</v>
  </rv>
  <rv s="0">
    <v>536870912</v>
    <v>Vārkava Municipality</v>
    <v>086ee51e-5241-dafe-9f61-f294c3936596</v>
    <v>en-IN</v>
    <v>Map</v>
  </rv>
  <rv s="0">
    <v>536870912</v>
    <v>Vecpiebalga Municipality</v>
    <v>b393d6b6-3ae0-4047-8447-ed5ee0bbf1cc</v>
    <v>en-IN</v>
    <v>Map</v>
  </rv>
  <rv s="0">
    <v>536870912</v>
    <v>Vecumnieki Municipality</v>
    <v>c5ee0fc4-8577-4300-86dd-3b2e0d29ae85</v>
    <v>en-IN</v>
    <v>Map</v>
  </rv>
  <rv s="0">
    <v>536870912</v>
    <v>Ventspils Municipality</v>
    <v>e6848574-695c-f74c-82b2-a32baa4c7f8e</v>
    <v>en-IN</v>
    <v>Map</v>
  </rv>
  <rv s="0">
    <v>536870912</v>
    <v>Viesīte Municipality</v>
    <v>24099be6-7cfa-2469-d56d-4a6271ad2ea5</v>
    <v>en-IN</v>
    <v>Map</v>
  </rv>
  <rv s="0">
    <v>536870912</v>
    <v>Viļaka Municipality</v>
    <v>cc2369ad-7dc3-f03b-ecdf-0128b0c81f89</v>
    <v>en-IN</v>
    <v>Map</v>
  </rv>
  <rv s="0">
    <v>536870912</v>
    <v>Viļāni Municipality</v>
    <v>7ebeb0a9-e7e5-1c6a-1059-744d83e064be</v>
    <v>en-IN</v>
    <v>Map</v>
  </rv>
  <rv s="0">
    <v>536870912</v>
    <v>Zilupe Municipality</v>
    <v>25491da1-9a80-aeed-c83c-52243cd65fe0</v>
    <v>en-IN</v>
    <v>Map</v>
  </rv>
  <rv s="0">
    <v>536870912</v>
    <v>Mērsrags Municipality</v>
    <v>4aa810e0-3d30-b751-bf45-427e236e34a6</v>
    <v>en-IN</v>
    <v>Map</v>
  </rv>
  <rv s="0">
    <v>536870912</v>
    <v>Jelgava</v>
    <v>b04f0327-437a-1fc1-17dc-740d1d38dba9</v>
    <v>en-IN</v>
    <v>Map</v>
  </rv>
  <rv s="3">
    <v>70</v>
  </rv>
  <rv s="1">
    <fb>0.22888486346394601</fb>
    <v>24</v>
  </rv>
  <rv s="3">
    <v>71</v>
  </rv>
  <rv s="1">
    <fb>0.38100000000000001</fb>
    <v>24</v>
  </rv>
  <rv s="1">
    <fb>6.5199999809265108E-2</fb>
    <v>32</v>
  </rv>
  <rv s="1">
    <fb>1304943</fb>
    <v>25</v>
  </rv>
  <rv s="37">
    <v>#VALUE!</v>
    <v>en-IN</v>
    <v>76511c15-b60b-948f-e9c7-f9bd9d9c4ece</v>
    <v>536870912</v>
    <v>1</v>
    <v>241</v>
    <v>242</v>
    <v>Latvia</v>
    <v>20</v>
    <v>21</v>
    <v>Map</v>
    <v>22</v>
    <v>243</v>
    <v>LV</v>
    <v>1278</v>
    <v>1279</v>
    <v>1280</v>
    <v>1281</v>
    <v>1282</v>
    <v>1283</v>
    <v>1284</v>
    <v>1285</v>
    <v>1286</v>
    <v>EUR</v>
    <v>Latvia, officially the Republic of Latvia, is a country in the Baltic region of Northern Europe. It is one of the three Baltic states, along with Estonia to the north and Lithuania to the south. It borders Russia to the east, Belarus to the ...</v>
    <v>1287</v>
    <v>1288</v>
    <v>1289</v>
    <v>1290</v>
    <v>1291</v>
    <v>1292</v>
    <v>1293</v>
    <v>1294</v>
    <v>1295</v>
    <v>1296</v>
    <v>1283</v>
    <v>1299</v>
    <v>1300</v>
    <v>1301</v>
    <v>1302</v>
    <v>1303</v>
    <v>Latvia</v>
    <v>Dievs, svētī Latviju!</v>
    <v>1304</v>
    <v>Latvijas Republika</v>
    <v>1305</v>
    <v>1306</v>
    <v>1307</v>
    <v>1308</v>
    <v>1309</v>
    <v>814</v>
    <v>238</v>
    <v>143</v>
    <v>1310</v>
    <v>505</v>
    <v>1311</v>
    <v>1405</v>
    <v>1406</v>
    <v>1407</v>
    <v>1408</v>
    <v>1409</v>
    <v>Latvia</v>
    <v>1410</v>
    <v>mdp/vdpid/140</v>
  </rv>
  <rv s="1">
    <fb>304</fb>
    <v>25</v>
  </rv>
  <rv s="2">
    <v>37</v>
    <v>22</v>
    <v>244</v>
    <v>7</v>
    <v>0</v>
    <v>Image of Riga</v>
  </rv>
  <rv s="1">
    <fb>56.947499999999998</fb>
    <v>37</v>
  </rv>
  <rv s="0">
    <v>805306368</v>
    <v>Vilnis Ķirsis (Mayor)</v>
    <v>e7586e01-9269-cf39-60c3-7dfc0156929d</v>
    <v>en-IN</v>
    <v>Generic</v>
  </rv>
  <rv s="3">
    <v>72</v>
  </rv>
  <rv s="4">
    <v>https://www.bing.com/search?q=riga&amp;form=skydnc</v>
    <v>Learn more on Bing</v>
  </rv>
  <rv s="1">
    <fb>24.106944444444</fb>
    <v>37</v>
  </rv>
  <rv s="1">
    <fb>660187</fb>
    <v>25</v>
  </rv>
  <rv s="22">
    <v>#VALUE!</v>
    <v>en-IN</v>
    <v>28ba38b3-e530-65db-5053-2ad0f32507de</v>
    <v>536870912</v>
    <v>1</v>
    <v>245</v>
    <v>131</v>
    <v>Riga</v>
    <v>20</v>
    <v>21</v>
    <v>Map</v>
    <v>22</v>
    <v>235</v>
    <v>1412</v>
    <v>916</v>
    <v>Riga is the capital and largest city of Latvia. Home to 605,802 inhabitants, the city accounts for a third of Latvia's total population. The population of Riga metropolitan area, which stretches beyond the city limits, is estimated at 860,142. ...</v>
    <v>1413</v>
    <v>1414</v>
    <v>1416</v>
    <v>1417</v>
    <v>1418</v>
    <v>Riga</v>
    <v>1419</v>
    <v>Riga</v>
    <v>mdp/vdpid/7031691453600366593</v>
  </rv>
  <rv s="2">
    <v>36</v>
    <v>22</v>
    <v>238</v>
    <v>3</v>
    <v>0</v>
    <v>Image of Latvia</v>
  </rv>
  <rv s="8">
    <v>en-IN</v>
    <v>avte3m</v>
    <v>268435456</v>
    <v>1</v>
    <v>Powered by Refinitiv</v>
    <v>42</v>
    <v>SGD/USD</v>
    <v>43</v>
    <v>62</v>
    <v>Finance</v>
    <v>45</v>
    <v>0.78749999999999998</v>
    <v>0.72699999999999998</v>
    <v>4.0000000000000002E-4</v>
    <v>5.197E-4</v>
    <v>USD</v>
    <v>SGD</v>
    <v>0.77149999999999996</v>
    <v>Currency Pair</v>
    <v>45957.217731481483</v>
    <v>0.7702</v>
    <v>Singapore Dollar/US Dollar FX Cross Rate</v>
    <v>0.77</v>
    <v>0.76970000000000005</v>
    <v>0.77010000000000001</v>
    <v>SGDUSD</v>
    <v>SGD/USD</v>
  </rv>
  <rv s="9">
    <v>1422</v>
  </rv>
  <rv s="4">
    <v>https://www.bing.com/financeapi/forcetrigger?t=a21icw&amp;q=XNAS%3aPYPL&amp;form=skydnc</v>
    <v>Learn more on Bing</v>
  </rv>
  <rv s="10">
    <v>en-IN</v>
    <v>a21icw</v>
    <v>268435456</v>
    <v>1</v>
    <v>Powered by Refinitiv</v>
    <v>46</v>
    <v>PAYPAL HOLDINGS, INC. (XNAS:PYPL)</v>
    <v>47</v>
    <v>48</v>
    <v>Finance</v>
    <v>49</v>
    <v>93.66</v>
    <v>55.85</v>
    <v>1.4487000000000001</v>
    <v>0.11</v>
    <v>4.2999999999999999E-4</v>
    <v>1.5790000000000001E-3</v>
    <v>0.03</v>
    <v>USD</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24400</v>
    <v>Nasdaq Stock Market</v>
    <v>XNAS</v>
    <v>XNAS</v>
    <v>2211 N 1st St, SAN JOSE, CA, 95131 US</v>
    <v>71.25</v>
    <v>Professional &amp; Commercial Services</v>
    <v>Stock</v>
    <v>45954.999912430467</v>
    <v>1424</v>
    <v>69.739999999999995</v>
    <v>65032610000</v>
    <v>PAYPAL HOLDINGS, INC.</v>
    <v>PAYPAL HOLDINGS, INC.</v>
    <v>70.150000000000006</v>
    <v>14.930400000000001</v>
    <v>69.66</v>
    <v>69.77</v>
    <v>69.8</v>
    <v>955378400</v>
    <v>PYPL</v>
    <v>PAYPAL HOLDINGS, INC. (XNAS:PYPL)</v>
    <v>8638209</v>
    <v>15177473</v>
    <v>2015</v>
  </rv>
  <rv s="9">
    <v>1425</v>
  </rv>
  <rv s="0">
    <v>536870912</v>
    <v>Lebanon</v>
    <v>f2d30d7c-bea9-11b5-a8fe-a92d37480c87</v>
    <v>en-IN</v>
    <v>Map</v>
  </rv>
  <rv s="1">
    <fb>0.64320625610948201</fb>
    <v>24</v>
  </rv>
  <rv s="1">
    <fb>10452</fb>
    <v>25</v>
  </rv>
  <rv s="1">
    <fb>80000</fb>
    <v>25</v>
  </rv>
  <rv s="1">
    <fb>17.545000000000002</fb>
    <v>26</v>
  </rv>
  <rv s="1">
    <fb>961</fb>
    <v>27</v>
  </rv>
  <rv s="0">
    <v>536870912</v>
    <v>Beirut</v>
    <v>afaaff6f-4112-4894-7e7e-2ca7359df5cf</v>
    <v>en-IN</v>
    <v>Map</v>
  </rv>
  <rv s="1">
    <fb>24796.254000000001</fb>
    <v>25</v>
  </rv>
  <rv s="1">
    <fb>130.024611761339</fb>
    <v>28</v>
  </rv>
  <rv s="1">
    <fb>3.0053894939038001E-2</fb>
    <v>24</v>
  </rv>
  <rv s="1">
    <fb>2588.30067018927</fb>
    <v>25</v>
  </rv>
  <rv s="1">
    <fb>2.0870000000000002</fb>
    <v>26</v>
  </rv>
  <rv s="1">
    <fb>0.134291304870785</fb>
    <v>24</v>
  </rv>
  <rv s="1">
    <fb>97.621101107806794</fb>
    <v>29</v>
  </rv>
  <rv s="1">
    <fb>0.74</fb>
    <v>30</v>
  </rv>
  <rv s="1">
    <fb>53367042272.172501</fb>
    <v>31</v>
  </rv>
  <rv s="1">
    <fb>0.95052829999999999</fb>
    <v>24</v>
  </rv>
  <rv s="1">
    <fb>0.26255430000000002</fb>
    <v>24</v>
  </rv>
  <rv s="2">
    <v>38</v>
    <v>22</v>
    <v>247</v>
    <v>7</v>
    <v>0</v>
    <v>Image of Lebanon</v>
  </rv>
  <rv s="1">
    <fb>6.4</fb>
    <v>29</v>
  </rv>
  <rv s="0">
    <v>805306368</v>
    <v>Najib Mikati (Prime minister)</v>
    <v>e3d9f212-dd43-2e8d-545a-9835e48a1acd</v>
    <v>en-IN</v>
    <v>Generic</v>
  </rv>
  <rv s="3">
    <v>73</v>
  </rv>
  <rv s="4">
    <v>https://www.bing.com/search?q=lebanon&amp;form=skydnc</v>
    <v>Learn more on Bing</v>
  </rv>
  <rv s="1">
    <fb>78.875</fb>
    <v>29</v>
  </rv>
  <rv s="1">
    <fb>7735800000</fb>
    <v>31</v>
  </rv>
  <rv s="1">
    <fb>29</fb>
    <v>29</v>
  </rv>
  <rv s="1">
    <fb>2.15</fb>
    <v>30</v>
  </rv>
  <rv s="3">
    <v>74</v>
  </rv>
  <rv s="1">
    <fb>0.32069597230000002</fb>
    <v>24</v>
  </rv>
  <rv s="1">
    <fb>2.1038000000000001</fb>
    <v>26</v>
  </rv>
  <rv s="1">
    <fb>5489739</fb>
    <v>25</v>
  </rv>
  <rv s="1">
    <fb>0.248</fb>
    <v>24</v>
  </rv>
  <rv s="1">
    <fb>0.4</fb>
    <v>24</v>
  </rv>
  <rv s="1">
    <fb>0.127</fb>
    <v>24</v>
  </rv>
  <rv s="1">
    <fb>0.47013000488281298</fb>
    <v>24</v>
  </rv>
  <rv s="0">
    <v>536870912</v>
    <v>Beirut Governorate</v>
    <v>51248dc1-d152-b73a-bc60-aab6ea034eb4</v>
    <v>en-IN</v>
    <v>Map</v>
  </rv>
  <rv s="0">
    <v>536870912</v>
    <v>Beqaa Governorate</v>
    <v>c9845962-193c-cf5c-bb2b-a1342db23cc0</v>
    <v>en-IN</v>
    <v>Map</v>
  </rv>
  <rv s="0">
    <v>536870912</v>
    <v>Mount Lebanon Governorate</v>
    <v>7677f064-de66-965a-3358-73cd8c1b8d48</v>
    <v>en-IN</v>
    <v>Map</v>
  </rv>
  <rv s="0">
    <v>536870912</v>
    <v>North Governorate</v>
    <v>638cd249-dbdd-b287-a3fb-c88a57e7cca0</v>
    <v>en-IN</v>
    <v>Map</v>
  </rv>
  <rv s="0">
    <v>536870912</v>
    <v>South Governorate</v>
    <v>c8fdcdf5-28fe-7307-75c0-2c2f1d3e1162</v>
    <v>en-IN</v>
    <v>Map</v>
  </rv>
  <rv s="0">
    <v>536870912</v>
    <v>Nabatieh Governorate</v>
    <v>99641455-8de4-a1c7-0c50-4e75b9f48b98</v>
    <v>en-IN</v>
    <v>Map</v>
  </rv>
  <rv s="3">
    <v>75</v>
  </rv>
  <rv s="1">
    <fb>0.153087429268704</fb>
    <v>24</v>
  </rv>
  <rv s="1">
    <fb>0.32200000000000001</fb>
    <v>24</v>
  </rv>
  <rv s="1">
    <fb>6.2290000915527298E-2</fb>
    <v>32</v>
  </rv>
  <rv s="1">
    <fb>6084994</fb>
    <v>25</v>
  </rv>
  <rv s="19">
    <v>#VALUE!</v>
    <v>en-IN</v>
    <v>f2d30d7c-bea9-11b5-a8fe-a92d37480c87</v>
    <v>536870912</v>
    <v>1</v>
    <v>250</v>
    <v>105</v>
    <v>Lebanon</v>
    <v>20</v>
    <v>21</v>
    <v>Map</v>
    <v>22</v>
    <v>251</v>
    <v>LB</v>
    <v>1428</v>
    <v>1429</v>
    <v>1430</v>
    <v>1431</v>
    <v>1432</v>
    <v>1433</v>
    <v>1434</v>
    <v>1435</v>
    <v>1436</v>
    <v>LBP</v>
    <v>Lebanon, officially the Republic of Lebanon, is a country in West Asia. It is bordered by Syria to the north and east, by Israel to the south, and by the Mediterranean Sea to the west. Cyprus lies a short distance away from the country's ...</v>
    <v>1437</v>
    <v>1438</v>
    <v>1439</v>
    <v>1440</v>
    <v>1441</v>
    <v>1442</v>
    <v>1443</v>
    <v>1444</v>
    <v>1445</v>
    <v>1446</v>
    <v>1433</v>
    <v>1448</v>
    <v>1449</v>
    <v>1450</v>
    <v>1451</v>
    <v>1452</v>
    <v>1453</v>
    <v>Lebanon</v>
    <v>Lebanese national anthem</v>
    <v>1454</v>
    <v>République libanaise</v>
    <v>1455</v>
    <v>1456</v>
    <v>1457</v>
    <v>329</v>
    <v>1458</v>
    <v>1459</v>
    <v>412</v>
    <v>413</v>
    <v>1460</v>
    <v>1171</v>
    <v>1461</v>
    <v>1468</v>
    <v>1469</v>
    <v>1470</v>
    <v>1471</v>
    <v>Lebanon</v>
    <v>1472</v>
    <v>mdp/vdpid/139</v>
  </rv>
  <rv s="1">
    <fb>20</fb>
    <v>25</v>
  </rv>
  <rv s="0">
    <v>536870912</v>
    <v>Mandatory Lebanese Republic</v>
    <v>0b1d9a26-459f-ed06-7565-4fd3e810b618</v>
    <v>en-IN</v>
    <v>Map</v>
  </rv>
  <rv s="2">
    <v>39</v>
    <v>22</v>
    <v>253</v>
    <v>7</v>
    <v>0</v>
    <v>Image of Beirut</v>
  </rv>
  <rv s="1">
    <fb>33.886944444443998</fb>
    <v>37</v>
  </rv>
  <rv s="0">
    <v>805306368</v>
    <v>Marwan Abboud (Governor)</v>
    <v>2dcaf2d3-b1e7-eed5-e9ff-3d073308add0</v>
    <v>en-IN</v>
    <v>Generic</v>
  </rv>
  <rv s="0">
    <v>805306368</v>
    <v>Jamal Itani (Mayor)</v>
    <v>927532ba-bd03-9ede-124b-7a68cb2be6e5</v>
    <v>en-IN</v>
    <v>Generic</v>
  </rv>
  <rv s="3">
    <v>76</v>
  </rv>
  <rv s="4">
    <v>https://www.bing.com/search?q=beirut&amp;form=skydnc</v>
    <v>Learn more on Bing</v>
  </rv>
  <rv s="1">
    <fb>35.513055555556001</fb>
    <v>37</v>
  </rv>
  <rv s="1">
    <fb>2421354</fb>
    <v>25</v>
  </rv>
  <rv s="14">
    <v>#VALUE!</v>
    <v>en-IN</v>
    <v>afaaff6f-4112-4894-7e7e-2ca7359df5cf</v>
    <v>536870912</v>
    <v>1</v>
    <v>254</v>
    <v>82</v>
    <v>Beirut</v>
    <v>20</v>
    <v>21</v>
    <v>Map</v>
    <v>22</v>
    <v>235</v>
    <v>1462</v>
    <v>1474</v>
    <v>1475</v>
    <v>Beirut is the capital and largest city of Lebanon. As of 2014, Greater Beirut has a population of 2.5 million, which makes it the third-largest city in the Levant region and the fifteenth-largest in the Arab world. The city is situated on a ...</v>
    <v>1476</v>
    <v>1477</v>
    <v>1480</v>
    <v>1481</v>
    <v>1482</v>
    <v>Beirut</v>
    <v>1483</v>
    <v>Beirut</v>
    <v>mdp/vdpid/-7996863966</v>
  </rv>
  <rv s="2">
    <v>38</v>
    <v>22</v>
    <v>247</v>
    <v>3</v>
    <v>0</v>
    <v>Image of Lebanon</v>
  </rv>
  <rv s="8">
    <v>en-IN</v>
    <v>avynz2</v>
    <v>268435456</v>
    <v>1</v>
    <v>Powered by Refinitiv</v>
    <v>42</v>
    <v>USD/HKD</v>
    <v>43</v>
    <v>255</v>
    <v>Finance</v>
    <v>45</v>
    <v>7.85</v>
    <v>7.7496</v>
    <v>-1.2999999999999999E-3</v>
    <v>-1.6729999999999997E-4</v>
    <v>HKD</v>
    <v>USD</v>
    <v>7.77</v>
    <v>Currency Pair</v>
    <v>45957.217650462961</v>
    <v>7.7672999999999996</v>
    <v>US Dollar/Hong Kong Dollar FX Spot Rate</v>
    <v>7.7693000000000003</v>
    <v>7.7695999999999996</v>
    <v>7.7683</v>
    <v>USDHKD</v>
    <v>USD/HKD</v>
  </rv>
  <rv s="9">
    <v>1486</v>
  </rv>
  <rv s="4">
    <v>https://www.bing.com/financeapi/forcetrigger?t=a1yoa2&amp;q=XNYS%3aNOW&amp;form=skydnc</v>
    <v>Learn more on Bing</v>
  </rv>
  <rv s="10">
    <v>en-IN</v>
    <v>a1yoa2</v>
    <v>268435456</v>
    <v>1</v>
    <v>Powered by Refinitiv</v>
    <v>46</v>
    <v>SERVICENOW, INC. (XNYS:NOW)</v>
    <v>47</v>
    <v>48</v>
    <v>Finance</v>
    <v>49</v>
    <v>1198.0899999999999</v>
    <v>678.65880000000004</v>
    <v>0.93899999999999995</v>
    <v>-9</v>
    <v>2.2360000000000001E-3</v>
    <v>-9.5830000000000012E-3</v>
    <v>2.08</v>
    <v>USD</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 four primary areas: technology, customer and industry, employee and creator. Its technology workflows empower information technology (IT) departments to plan, build, operate and service the IT needs of the business enterprise. Its customer and industry workflows help organizations reimagine their customer experience. Its employee workflows help customers simplify how their employees access services they need. Its creator workflows enable customers to automate processes by creating their own custom workflows on the Now Platform.</v>
    <v>26293</v>
    <v>New York Stock Exchange</v>
    <v>XNYS</v>
    <v>XNYS</v>
    <v>2225 Lawson Lane, SANTA CLARA, CA, 95054 US</v>
    <v>950</v>
    <v>Software &amp; IT Services</v>
    <v>Stock</v>
    <v>45954.998895185156</v>
    <v>1488</v>
    <v>928.88</v>
    <v>194615200000</v>
    <v>SERVICENOW, INC.</v>
    <v>SERVICENOW, INC.</v>
    <v>945.75</v>
    <v>117.16289999999999</v>
    <v>939.17</v>
    <v>930.17</v>
    <v>932.25</v>
    <v>208000000</v>
    <v>NOW</v>
    <v>SERVICENOW, INC. (XNYS:NOW)</v>
    <v>1071017</v>
    <v>1265113</v>
    <v>2012</v>
  </rv>
  <rv s="9">
    <v>1489</v>
  </rv>
  <rv s="0">
    <v>536870912</v>
    <v>Lesotho</v>
    <v>5c17227d-3ed7-168e-a4d5-87288eb2e3f9</v>
    <v>en-IN</v>
    <v>Map</v>
  </rv>
  <rv s="1">
    <fb>0.77635046113306994</fb>
    <v>24</v>
  </rv>
  <rv s="1">
    <fb>30355</fb>
    <v>25</v>
  </rv>
  <rv s="1">
    <fb>2000</fb>
    <v>25</v>
  </rv>
  <rv s="1">
    <fb>26.808</fb>
    <v>26</v>
  </rv>
  <rv s="1">
    <fb>266</fb>
    <v>27</v>
  </rv>
  <rv s="0">
    <v>536870912</v>
    <v>Maseru</v>
    <v>23d9936d-7e8e-f74c-1ef1-08927d747066</v>
    <v>en-IN</v>
    <v>Map</v>
  </rv>
  <rv s="1">
    <fb>2511.895</fb>
    <v>25</v>
  </rv>
  <rv s="1">
    <fb>155.858195070683</fb>
    <v>28</v>
  </rv>
  <rv s="1">
    <fb>5.1870835919799303E-2</fb>
    <v>24</v>
  </rv>
  <rv s="1">
    <fb>3.141</fb>
    <v>26</v>
  </rv>
  <rv s="1">
    <fb>1.6469038208168599E-2</fb>
    <v>24</v>
  </rv>
  <rv s="1">
    <fb>0.7</fb>
    <v>30</v>
  </rv>
  <rv s="1">
    <fb>2460072443.6284199</fb>
    <v>31</v>
  </rv>
  <rv s="1">
    <fb>1.2089749999999999</fb>
    <v>24</v>
  </rv>
  <rv s="1">
    <fb>0.1019626</fb>
    <v>24</v>
  </rv>
  <rv s="2">
    <v>40</v>
    <v>22</v>
    <v>257</v>
    <v>7</v>
    <v>0</v>
    <v>Image of Lesotho</v>
  </rv>
  <rv s="1">
    <fb>65.7</fb>
    <v>29</v>
  </rv>
  <rv s="0">
    <v>805306368</v>
    <v>Letsie III (Monarch)</v>
    <v>d13aa3f3-753b-b556-7f53-b7516f446e56</v>
    <v>en-IN</v>
    <v>Generic</v>
  </rv>
  <rv s="0">
    <v>805306368</v>
    <v>Sam Matekane (Prime minister)</v>
    <v>35c67ab5-feaa-6ac4-e929-460410c1f833</v>
    <v>en-IN</v>
    <v>Generic</v>
  </rv>
  <rv s="3">
    <v>77</v>
  </rv>
  <rv s="4">
    <v>https://www.bing.com/search?q=lesotho&amp;form=skydnc</v>
    <v>Learn more on Bing</v>
  </rv>
  <rv s="1">
    <fb>53.704999999999998</fb>
    <v>29</v>
  </rv>
  <rv s="1">
    <fb>544</fb>
    <v>29</v>
  </rv>
  <rv s="3">
    <v>78</v>
  </rv>
  <rv s="1">
    <fb>0.16853801170000002</fb>
    <v>24</v>
  </rv>
  <rv s="1">
    <fb>6.7599999999999993E-2</fb>
    <v>26</v>
  </rv>
  <rv s="1">
    <fb>2305825</fb>
    <v>25</v>
  </rv>
  <rv s="1">
    <fb>0.22600000000000001</fb>
    <v>24</v>
  </rv>
  <rv s="1">
    <fb>0.32899999999999996</fb>
    <v>24</v>
  </rv>
  <rv s="1">
    <fb>0.498</fb>
    <v>24</v>
  </rv>
  <rv s="1">
    <fb>1.7000000000000001E-2</fb>
    <v>24</v>
  </rv>
  <rv s="1">
    <fb>4.5999999999999999E-2</fb>
    <v>24</v>
  </rv>
  <rv s="1">
    <fb>8.900000000000001E-2</fb>
    <v>24</v>
  </rv>
  <rv s="1">
    <fb>0.14199999999999999</fb>
    <v>24</v>
  </rv>
  <rv s="1">
    <fb>0.67884002685546907</fb>
    <v>24</v>
  </rv>
  <rv s="0">
    <v>536870912</v>
    <v>Berea District</v>
    <v>c70c35f9-a151-6b7f-eec0-00e72232b095</v>
    <v>en-IN</v>
    <v>Map</v>
  </rv>
  <rv s="0">
    <v>536870912</v>
    <v>Butha-Buthe District</v>
    <v>82296630-f891-2e68-bf4a-af581fb38346</v>
    <v>en-IN</v>
    <v>Map</v>
  </rv>
  <rv s="0">
    <v>536870912</v>
    <v>Leribe District</v>
    <v>8479f582-170e-6819-aff4-0aca594de477</v>
    <v>en-IN</v>
    <v>Map</v>
  </rv>
  <rv s="0">
    <v>536870912</v>
    <v>Mafeteng District</v>
    <v>3070d20f-140c-c363-c406-293b6d1d5d46</v>
    <v>en-IN</v>
    <v>Map</v>
  </rv>
  <rv s="0">
    <v>536870912</v>
    <v>Maseru District</v>
    <v>15a23df3-3817-5f98-e145-bf557b53874f</v>
    <v>en-IN</v>
    <v>Map</v>
  </rv>
  <rv s="0">
    <v>536870912</v>
    <v>Mohale's Hoek District</v>
    <v>3c5319b8-4e30-87f4-0ec8-71b0337552e9</v>
    <v>en-IN</v>
    <v>Map</v>
  </rv>
  <rv s="0">
    <v>536870912</v>
    <v>Mokhotlong District</v>
    <v>7a9ffcb7-6df9-aee9-1550-e30715fa9720</v>
    <v>en-IN</v>
    <v>Map</v>
  </rv>
  <rv s="0">
    <v>536870912</v>
    <v>Qacha's Nek District</v>
    <v>7e5baa2c-41f0-6e19-9d41-b6a5bd72954e</v>
    <v>en-IN</v>
    <v>Map</v>
  </rv>
  <rv s="0">
    <v>536870912</v>
    <v>Quthing District</v>
    <v>90c02a93-fa4d-3f74-75c0-db41fa95d728</v>
    <v>en-IN</v>
    <v>Map</v>
  </rv>
  <rv s="0">
    <v>536870912</v>
    <v>Thaba-Tseka District</v>
    <v>d52e2535-8347-23b1-bf5d-94ce4df4a55a</v>
    <v>en-IN</v>
    <v>Map</v>
  </rv>
  <rv s="3">
    <v>79</v>
  </rv>
  <rv s="1">
    <fb>0.31572594000417697</fb>
    <v>24</v>
  </rv>
  <rv s="1">
    <fb>0.234050006866455</fb>
    <v>32</v>
  </rv>
  <rv s="1">
    <fb>607508</fb>
    <v>25</v>
  </rv>
  <rv s="38">
    <v>#VALUE!</v>
    <v>en-IN</v>
    <v>5c17227d-3ed7-168e-a4d5-87288eb2e3f9</v>
    <v>536870912</v>
    <v>1</v>
    <v>260</v>
    <v>261</v>
    <v>Lesotho</v>
    <v>20</v>
    <v>21</v>
    <v>Map</v>
    <v>22</v>
    <v>262</v>
    <v>LS</v>
    <v>1492</v>
    <v>1493</v>
    <v>1494</v>
    <v>1495</v>
    <v>1496</v>
    <v>1497</v>
    <v>1498</v>
    <v>1499</v>
    <v>1500</v>
    <v>LSL</v>
    <v>Lesotho, formally the Kingdom of Lesotho, is a landlocked country in Southern Africa. As an enclave of South Africa, with which it shares a 1,106 km border, it is the only sovereign enclave in the world outside of the Italian peninsula. It is ...</v>
    <v>1501</v>
    <v>1502</v>
    <v>1004</v>
    <v>1503</v>
    <v>1504</v>
    <v>1505</v>
    <v>1506</v>
    <v>1507</v>
    <v>1508</v>
    <v>1497</v>
    <v>1511</v>
    <v>1512</v>
    <v>1513</v>
    <v>1514</v>
    <v>882</v>
    <v>Lesotho</v>
    <v>Lesotho Fatse La Bontata Rona</v>
    <v>1515</v>
    <v>Muso oa Lesotho</v>
    <v>1516</v>
    <v>1517</v>
    <v>1518</v>
    <v>1519</v>
    <v>1520</v>
    <v>1521</v>
    <v>1522</v>
    <v>1523</v>
    <v>1524</v>
    <v>1525</v>
    <v>1526</v>
    <v>1537</v>
    <v>1538</v>
    <v>891</v>
    <v>1539</v>
    <v>Lesotho</v>
    <v>1540</v>
    <v>mdp/vdpid/146</v>
  </rv>
  <rv s="1">
    <fb>138</fb>
    <v>25</v>
  </rv>
  <rv s="2">
    <v>41</v>
    <v>22</v>
    <v>263</v>
    <v>7</v>
    <v>0</v>
    <v>Image of Maseru</v>
  </rv>
  <rv s="1">
    <fb>-29.31</fb>
    <v>37</v>
  </rv>
  <rv s="4">
    <v>https://www.bing.com/search?q=maseru&amp;form=skydnc</v>
    <v>Learn more on Bing</v>
  </rv>
  <rv s="1">
    <fb>27.48</fb>
    <v>37</v>
  </rv>
  <rv s="1">
    <fb>519186</fb>
    <v>25</v>
  </rv>
  <rv s="29">
    <v>#VALUE!</v>
    <v>en-IN</v>
    <v>23d9936d-7e8e-f74c-1ef1-08927d747066</v>
    <v>536870912</v>
    <v>1</v>
    <v>264</v>
    <v>188</v>
    <v>Maseru</v>
    <v>20</v>
    <v>21</v>
    <v>Map</v>
    <v>22</v>
    <v>72</v>
    <v>1531</v>
    <v>1542</v>
    <v>1491</v>
    <v>Maseru is the capital and largest city of Lesotho. It is also the capital of the Maseru District. Located on the Caledon River, Maseru lies directly on the Lesotho–South Africa border. Maseru had a population of 330,760 in the 2016 census. The ...</v>
    <v>1543</v>
    <v>1544</v>
    <v>1545</v>
    <v>1546</v>
    <v>Maseru</v>
    <v>1547</v>
    <v>Maseru</v>
    <v>mdp/vdpid/8183869036686213121</v>
  </rv>
  <rv s="2">
    <v>40</v>
    <v>22</v>
    <v>257</v>
    <v>3</v>
    <v>0</v>
    <v>Image of Lesotho</v>
  </rv>
  <rv s="8">
    <v>en-IN</v>
    <v>avbskr</v>
    <v>268435456</v>
    <v>1</v>
    <v>Powered by Refinitiv</v>
    <v>42</v>
    <v>HKD/USD</v>
    <v>43</v>
    <v>62</v>
    <v>Finance</v>
    <v>45</v>
    <v>0.129</v>
    <v>0.12740000000000001</v>
    <v>2.6999999999999999E-5</v>
    <v>2.0979999999999998E-4</v>
    <v>USD</v>
    <v>HKD</v>
    <v>0.12870000000000001</v>
    <v>Currency Pair</v>
    <v>45957.217650462961</v>
    <v>0.12870000000000001</v>
    <v>Hong Kong Dollar/US Dollar FX Cross Rate</v>
    <v>0.12870000000000001</v>
    <v>0.12870000000000001</v>
    <v>0.12870000000000001</v>
    <v>HKDUSD</v>
    <v>HKD/USD</v>
  </rv>
  <rv s="9">
    <v>1550</v>
  </rv>
  <rv s="4">
    <v>http://en.wikipedia.org/wiki/Amgen</v>
    <v>Wikipedia</v>
  </rv>
  <rv s="16">
    <v>460</v>
    <v>1552</v>
  </rv>
  <rv s="17">
    <v>99</v>
    <v>https://www.bing.com/th?id=AMMS_7651d2e878d4df4bb82a200be2db03e3&amp;qlt=95</v>
    <v>1553</v>
    <v>0</v>
    <v>https://www.bing.com/images/search?form=xlimg&amp;q=amgen</v>
    <v>Image of AMGEN INC.</v>
  </rv>
  <rv s="4">
    <v>https://www.bing.com/financeapi/forcetrigger?t=a1nec7&amp;q=XNAS%3aAMGN&amp;form=skydnc</v>
    <v>Learn more on Bing</v>
  </rv>
  <rv s="18">
    <v>en-IN</v>
    <v>a1nec7</v>
    <v>268435456</v>
    <v>1</v>
    <v>Powered by Refinitiv</v>
    <v>95</v>
    <v>AMGEN INC. (XNAS:AMGN)</v>
    <v>97</v>
    <v>98</v>
    <v>Finance</v>
    <v>49</v>
    <v>335.88</v>
    <v>253.3</v>
    <v>0.43390000000000001</v>
    <v>-1.1299999999999999</v>
    <v>4.1130000000000002E-4</v>
    <v>-3.8579999999999999E-3</v>
    <v>0.12</v>
    <v>USD</v>
    <v>Amgen Inc. is a biotechnology company. It discovers, develops, manufactures and delivers medicines for the toughest diseases. It focuses on areas of high unmet medical need and leverages its expertise to strive for solutions that improve people’s lives. It operates in the human therapeutics segment. Its marketed products portfolio includes EPOGEN (epoetin alfa); Aranesp (darbepoetin alfa); Parsabiv (etelcalcetide); Neulasta (pegfilgrastim); KANJINTI (trastuzumab-anns); Otezla; BLINCYTO (blinatumomab); ACTIMMUNE (interferon gamma-1b); Neulasta (pegfilgrastim); Sensipar/Mimpara (cinacalcet); Prolia (denosumab); ENBREL; QUINSAIR (levofloxacin); Repatha (evolocumab) and others. It markets ENBREL, a tumor necrosis factor blocker, in the United States and Canada. It markets Otezla, a small molecule that inhibits phosphodiesterase 4, in many countries around the world. It markets Repatha, a proprotein convertase subtilisin/kexin type 9 (PCSK9) inhibitor, in many countries around the world.</v>
    <v>28000</v>
    <v>Nasdaq Stock Market</v>
    <v>XNAS</v>
    <v>XNAS</v>
    <v>One Amgen Center Drive, THOUSAND OAKS, CA, 91320-1799 US</v>
    <v>293.94</v>
    <v>1554</v>
    <v>Pharmaceuticals</v>
    <v>Stock</v>
    <v>45954.988458553125</v>
    <v>1555</v>
    <v>290.66000000000003</v>
    <v>159344300000</v>
    <v>AMGEN INC.</v>
    <v>AMGEN INC.</v>
    <v>292.89</v>
    <v>23.8657</v>
    <v>292.89</v>
    <v>291.76</v>
    <v>291.88</v>
    <v>538361900</v>
    <v>AMGN</v>
    <v>AMGEN INC. (XNAS:AMGN)</v>
    <v>1376330</v>
    <v>2505556</v>
    <v>1986</v>
  </rv>
  <rv s="9">
    <v>1556</v>
  </rv>
  <rv s="0">
    <v>536870912</v>
    <v>Liberia</v>
    <v>95192591-973c-cf6a-417a-9b3fa9907caa</v>
    <v>en-IN</v>
    <v>Map</v>
  </rv>
  <rv s="1">
    <fb>0.28031561461793997</fb>
    <v>24</v>
  </rv>
  <rv s="1">
    <fb>111369</fb>
    <v>25</v>
  </rv>
  <rv s="1">
    <fb>33.042000000000002</fb>
    <v>26</v>
  </rv>
  <rv s="1">
    <fb>231</fb>
    <v>27</v>
  </rv>
  <rv s="0">
    <v>536870912</v>
    <v>Monrovia</v>
    <v>ef4ff957-4fe8-883f-eb4e-51b097bb1cd9</v>
    <v>en-IN</v>
    <v>Map</v>
  </rv>
  <rv s="1">
    <fb>1386.126</fb>
    <v>25</v>
  </rv>
  <rv s="1">
    <fb>223.12978802062801</fb>
    <v>28</v>
  </rv>
  <rv s="1">
    <fb>0.23563514895374202</fb>
    <v>24</v>
  </rv>
  <rv s="1">
    <fb>4.3150000000000004</fb>
    <v>26</v>
  </rv>
  <rv s="1">
    <fb>0.43075166112956803</fb>
    <v>24</v>
  </rv>
  <rv s="1">
    <fb>0.8</fb>
    <v>30</v>
  </rv>
  <rv s="1">
    <fb>3070518100</fb>
    <v>31</v>
  </rv>
  <rv s="1">
    <fb>0.85109190000000001</fb>
    <v>24</v>
  </rv>
  <rv s="1">
    <fb>0.11922530000000001</fb>
    <v>24</v>
  </rv>
  <rv s="2">
    <v>42</v>
    <v>22</v>
    <v>266</v>
    <v>7</v>
    <v>0</v>
    <v>Image of Liberia</v>
  </rv>
  <rv s="1">
    <fb>53.5</fb>
    <v>29</v>
  </rv>
  <rv s="0">
    <v>805306368</v>
    <v>George Weah (President)</v>
    <v>cb5600da-99f5-7134-4d7c-7c619601e95b</v>
    <v>en-IN</v>
    <v>Generic</v>
  </rv>
  <rv s="0">
    <v>805306368</v>
    <v>Jewel Taylor (Vice president)</v>
    <v>b04171dd-845c-2b4e-1c1b-af693e1d9280</v>
    <v>en-IN</v>
    <v>Generic</v>
  </rv>
  <rv s="0">
    <v>805306368</v>
    <v>Bhofal Chambers (Speaker)</v>
    <v>58ebd2ea-ccd5-edb6-b733-40221ee80953</v>
    <v>en-IN</v>
    <v>Generic</v>
  </rv>
  <rv s="0">
    <v>805306368</v>
    <v>Sie-A-Nyene Yuoh (Chief justice)</v>
    <v>1949a044-b028-9be8-8288-d4778a0181c0</v>
    <v>en-IN</v>
    <v>Generic</v>
  </rv>
  <rv s="3">
    <v>80</v>
  </rv>
  <rv s="4">
    <v>https://www.bing.com/search?q=liberia&amp;form=skydnc</v>
    <v>Learn more on Bing</v>
  </rv>
  <rv s="1">
    <fb>63.73</fb>
    <v>29</v>
  </rv>
  <rv s="1">
    <fb>661</fb>
    <v>29</v>
  </rv>
  <rv s="1">
    <fb>0.17</fb>
    <v>30</v>
  </rv>
  <rv s="3">
    <v>81</v>
  </rv>
  <rv s="1">
    <fb>0.1963532674</fb>
    <v>24</v>
  </rv>
  <rv s="1">
    <fb>3.73E-2</fb>
    <v>26</v>
  </rv>
  <rv s="1">
    <fb>5302681</fb>
    <v>25</v>
  </rv>
  <rv s="1">
    <fb>0.223</fb>
    <v>24</v>
  </rv>
  <rv s="1">
    <fb>0.27100000000000002</fb>
    <v>24</v>
  </rv>
  <rv s="1">
    <fb>0.42799999999999999</fb>
    <v>24</v>
  </rv>
  <rv s="1">
    <fb>7.2000000000000008E-2</fb>
    <v>24</v>
  </rv>
  <rv s="1">
    <fb>0.7631500244140631</fb>
    <v>24</v>
  </rv>
  <rv s="0">
    <v>536870912</v>
    <v>Bomi County</v>
    <v>213c11f5-5f82-2d59-c2f6-5563efe6fe51</v>
    <v>en-IN</v>
    <v>Map</v>
  </rv>
  <rv s="0">
    <v>536870912</v>
    <v>Bong County</v>
    <v>b21e8ba9-2afb-7122-75a1-18f259487975</v>
    <v>en-IN</v>
    <v>Map</v>
  </rv>
  <rv s="0">
    <v>536870912</v>
    <v>Gbarpolu County</v>
    <v>fe1f8697-3001-e4ee-07df-84b02073269a</v>
    <v>en-IN</v>
    <v>Map</v>
  </rv>
  <rv s="0">
    <v>536870912</v>
    <v>Grand Bassa County</v>
    <v>a8135369-20e8-e5a6-9b50-2994ccbb934c</v>
    <v>en-IN</v>
    <v>Map</v>
  </rv>
  <rv s="0">
    <v>536870912</v>
    <v>Grand Cape Mount County</v>
    <v>05ada0f3-8ec3-ba70-cc61-eaf4375c0dab</v>
    <v>en-IN</v>
    <v>Map</v>
  </rv>
  <rv s="0">
    <v>536870912</v>
    <v>Grand Gedeh County</v>
    <v>cc14e117-c801-17cc-9ea5-f9a88daf4f82</v>
    <v>en-IN</v>
    <v>Map</v>
  </rv>
  <rv s="0">
    <v>536870912</v>
    <v>Grand Kru County</v>
    <v>075eee02-1783-4e13-39cc-95fa317b23e0</v>
    <v>en-IN</v>
    <v>Map</v>
  </rv>
  <rv s="0">
    <v>536870912</v>
    <v>Lofa County</v>
    <v>5a2741e4-9127-a0d3-3eba-cdae90710607</v>
    <v>en-IN</v>
    <v>Map</v>
  </rv>
  <rv s="0">
    <v>536870912</v>
    <v>Margibi County</v>
    <v>be0abe4e-f4a0-77e4-bbb3-6b8f861c4e3e</v>
    <v>en-IN</v>
    <v>Map</v>
  </rv>
  <rv s="0">
    <v>536870912</v>
    <v>Maryland County</v>
    <v>f897806e-0dc2-2b4c-8e40-6f137a38f53c</v>
    <v>en-IN</v>
    <v>Map</v>
  </rv>
  <rv s="0">
    <v>536870912</v>
    <v>Montserrado County</v>
    <v>21440288-266a-669b-ecc4-cfd55860d830</v>
    <v>en-IN</v>
    <v>Map</v>
  </rv>
  <rv s="0">
    <v>536870912</v>
    <v>Nimba County</v>
    <v>61a49794-53d2-0a79-06f5-6c82de1c59dc</v>
    <v>en-IN</v>
    <v>Map</v>
  </rv>
  <rv s="0">
    <v>536870912</v>
    <v>River Cess County</v>
    <v>5b0405c8-9c4b-5652-de78-0913953487ee</v>
    <v>en-IN</v>
    <v>Map</v>
  </rv>
  <rv s="0">
    <v>536870912</v>
    <v>River Gee County</v>
    <v>6c16b75b-39eb-259c-fc86-b1bd3c6e235e</v>
    <v>en-IN</v>
    <v>Map</v>
  </rv>
  <rv s="0">
    <v>536870912</v>
    <v>Sinoe County</v>
    <v>706fd40f-95de-c3f5-cce3-67c1caef8e7a</v>
    <v>en-IN</v>
    <v>Map</v>
  </rv>
  <rv s="3">
    <v>82</v>
  </rv>
  <rv s="1">
    <fb>0.12909168787088401</fb>
    <v>24</v>
  </rv>
  <rv s="1">
    <fb>2.8139998912811302E-2</fb>
    <v>32</v>
  </rv>
  <rv s="1">
    <fb>2548426</fb>
    <v>25</v>
  </rv>
  <rv s="36">
    <v>#VALUE!</v>
    <v>en-IN</v>
    <v>95192591-973c-cf6a-417a-9b3fa9907caa</v>
    <v>536870912</v>
    <v>1</v>
    <v>269</v>
    <v>231</v>
    <v>Liberia</v>
    <v>20</v>
    <v>21</v>
    <v>Map</v>
    <v>22</v>
    <v>270</v>
    <v>LR</v>
    <v>1559</v>
    <v>1560</v>
    <v>1494</v>
    <v>1561</v>
    <v>1562</v>
    <v>1563</v>
    <v>1564</v>
    <v>1565</v>
    <v>1566</v>
    <v>LRD</v>
    <v>Liberia, officially the Republic of Liberia, is a country on the West African coast. It is bordered by Sierra Leone to its northwest, Guinea to its north, Ivory Coast to its east, and the Atlantic Ocean to its south and southwest. It has a ...</v>
    <v>1567</v>
    <v>1568</v>
    <v>1569</v>
    <v>1570</v>
    <v>1571</v>
    <v>1572</v>
    <v>1573</v>
    <v>1574</v>
    <v>1563</v>
    <v>1579</v>
    <v>1580</v>
    <v>1581</v>
    <v>1582</v>
    <v>1583</v>
    <v>Liberia</v>
    <v>All Hail, Liberia, Hail!</v>
    <v>1584</v>
    <v>Repubblica di Libèria</v>
    <v>1585</v>
    <v>1586</v>
    <v>1587</v>
    <v>1588</v>
    <v>1589</v>
    <v>1590</v>
    <v>709</v>
    <v>1591</v>
    <v>1024</v>
    <v>1025</v>
    <v>1592</v>
    <v>1608</v>
    <v>1609</v>
    <v>36</v>
    <v>1610</v>
    <v>Liberia</v>
    <v>1611</v>
    <v>mdp/vdpid/142</v>
  </rv>
  <rv s="0">
    <v>536870912</v>
    <v>Greater Monrovia District</v>
    <v>4da9818f-d2e4-c5f3-fbe9-54338699a11a</v>
    <v>en-IN</v>
    <v>Map</v>
  </rv>
  <rv s="1">
    <fb>194.25</fb>
    <v>25</v>
  </rv>
  <rv s="2">
    <v>43</v>
    <v>22</v>
    <v>271</v>
    <v>7</v>
    <v>0</v>
    <v>Image of Monrovia</v>
  </rv>
  <rv s="1">
    <fb>6.3105555555555997</fb>
    <v>37</v>
  </rv>
  <rv s="0">
    <v>805306368</v>
    <v>Jefferson T. Koijee (Mayor)</v>
    <v>8140cf97-7bb6-cf14-9943-573e85c98869</v>
    <v>en-IN</v>
    <v>Generic</v>
  </rv>
  <rv s="3">
    <v>83</v>
  </rv>
  <rv s="4">
    <v>https://www.bing.com/search?q=monrovia+liberia&amp;form=skydnc</v>
    <v>Learn more on Bing</v>
  </rv>
  <rv s="1">
    <fb>-10.804722222222001</fb>
    <v>37</v>
  </rv>
  <rv s="1">
    <fb>1021762</fb>
    <v>25</v>
  </rv>
  <rv s="3">
    <v>84</v>
  </rv>
  <rv s="39">
    <v>#VALUE!</v>
    <v>en-IN</v>
    <v>ef4ff957-4fe8-883f-eb4e-51b097bb1cd9</v>
    <v>536870912</v>
    <v>1</v>
    <v>272</v>
    <v>273</v>
    <v>Monrovia</v>
    <v>20</v>
    <v>21</v>
    <v>Map</v>
    <v>22</v>
    <v>274</v>
    <v>1603</v>
    <v>1613</v>
    <v>1614</v>
    <v>1558</v>
    <v>Monrovia is the capital city of the West African country of Liberia. Founded in 1822, it is located on Cape Mesurado on the Atlantic coast and as of the 2008 census had 1,010,970 residents, home to 29% of Liberia’s total population. As the ...</v>
    <v>1615</v>
    <v>1616</v>
    <v>1618</v>
    <v>1619</v>
    <v>1620</v>
    <v>Monrovia</v>
    <v>1621</v>
    <v>1622</v>
    <v>Monrovia</v>
    <v>mdp/vdpid/5757087503416819713</v>
  </rv>
  <rv s="2">
    <v>42</v>
    <v>22</v>
    <v>266</v>
    <v>3</v>
    <v>0</v>
    <v>Image of Liberia</v>
  </rv>
  <rv s="8">
    <v>en-IN</v>
    <v>avyt52</v>
    <v>268435456</v>
    <v>1</v>
    <v>Powered by Refinitiv</v>
    <v>42</v>
    <v>USD/SEK</v>
    <v>43</v>
    <v>275</v>
    <v>Finance</v>
    <v>45</v>
    <v>11.3207</v>
    <v>9.1842000000000006</v>
    <v>4.5999999999999999E-3</v>
    <v>4.9029999999999994E-4</v>
    <v>SEK</v>
    <v>USD</v>
    <v>9.3961000000000006</v>
    <v>Currency Pair</v>
    <v>45957.217719907407</v>
    <v>9.3721999999999994</v>
    <v>US Dollar/Swedish Krona FX Spot Rate</v>
    <v>9.3901000000000003</v>
    <v>9.3821999999999992</v>
    <v>9.3867999999999991</v>
    <v>USDSEK</v>
    <v>USD/SEK</v>
  </rv>
  <rv s="9">
    <v>1625</v>
  </rv>
  <rv s="4">
    <v>https://www.bing.com/financeapi/forcetrigger?t=a1yv52&amp;q=XNAS%3aNVDA&amp;form=skydnc</v>
    <v>Learn more on Bing</v>
  </rv>
  <rv s="10">
    <v>en-IN</v>
    <v>a1yv52</v>
    <v>268435456</v>
    <v>1</v>
    <v>Powered by Refinitiv</v>
    <v>46</v>
    <v>NVIDIA CORPORATION (XNAS:NVDA)</v>
    <v>47</v>
    <v>48</v>
    <v>Finance</v>
    <v>49</v>
    <v>195.62</v>
    <v>86.62</v>
    <v>2.1122999999999998</v>
    <v>4.0999999999999996</v>
    <v>1.0739999999999999E-3</v>
    <v>2.2508E-2</v>
    <v>0.2</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187.47</v>
    <v>Semiconductors &amp; Semiconductor Equipment</v>
    <v>Stock</v>
    <v>45954.999997048435</v>
    <v>1627</v>
    <v>183.5</v>
    <v>4380804000000</v>
    <v>NVIDIA CORPORATION</v>
    <v>NVIDIA CORPORATION</v>
    <v>183.83500000000001</v>
    <v>53.012500000000003</v>
    <v>182.16</v>
    <v>186.26</v>
    <v>186.46</v>
    <v>24300000000</v>
    <v>NVDA</v>
    <v>NVIDIA CORPORATION (XNAS:NVDA)</v>
    <v>131296677</v>
    <v>175757330</v>
    <v>1998</v>
  </rv>
  <rv s="9">
    <v>1628</v>
  </rv>
  <rv s="0">
    <v>536870912</v>
    <v>Libya</v>
    <v>b4e5604e-361e-ab37-6516-4cf5580a04aa</v>
    <v>en-IN</v>
    <v>Map</v>
  </rv>
  <rv s="1">
    <fb>8.7238710117417101E-2</fb>
    <v>24</v>
  </rv>
  <rv s="1">
    <fb>1759541</fb>
    <v>25</v>
  </rv>
  <rv s="1">
    <fb>0</fb>
    <v>25</v>
  </rv>
  <rv s="1">
    <fb>18.829000000000001</fb>
    <v>26</v>
  </rv>
  <rv s="1">
    <fb>218</fb>
    <v>27</v>
  </rv>
  <rv s="0">
    <v>536870912</v>
    <v>Tripoli</v>
    <v>797b970a-c20b-a043-ba81-e81b907b963a</v>
    <v>en-IN</v>
    <v>Map</v>
  </rv>
  <rv s="1">
    <fb>50564.262999999999</fb>
    <v>25</v>
  </rv>
  <rv s="1">
    <fb>125.711288725735</fb>
    <v>28</v>
  </rv>
  <rv s="1">
    <fb>2.6058180271951802E-2</fb>
    <v>24</v>
  </rv>
  <rv s="1">
    <fb>1811.05516990863</fb>
    <v>25</v>
  </rv>
  <rv s="1">
    <fb>2.2400000000000002</fb>
    <v>26</v>
  </rv>
  <rv s="1">
    <fb>1.2332768791843301E-3</fb>
    <v>24</v>
  </rv>
  <rv s="1">
    <fb>99.111296363411299</fb>
    <v>29</v>
  </rv>
  <rv s="1">
    <fb>0.11</fb>
    <v>30</v>
  </rv>
  <rv s="1">
    <fb>52076250947.579201</fb>
    <v>31</v>
  </rv>
  <rv s="1">
    <fb>1.0901269</fb>
    <v>24</v>
  </rv>
  <rv s="1">
    <fb>0.6049736</fb>
    <v>24</v>
  </rv>
  <rv s="2">
    <v>44</v>
    <v>22</v>
    <v>277</v>
    <v>7</v>
    <v>0</v>
    <v>Image of Libya</v>
  </rv>
  <rv s="1">
    <fb>10.199999999999999</fb>
    <v>29</v>
  </rv>
  <rv s="0">
    <v>805306368</v>
    <v>Abdul Hamid Dbeibeh (Prime minister)</v>
    <v>19d6a51d-4f80-17b4-0985-1db6b876692b</v>
    <v>en-IN</v>
    <v>Generic</v>
  </rv>
  <rv s="3">
    <v>85</v>
  </rv>
  <rv s="4">
    <v>https://www.bing.com/search?q=libya&amp;form=skydnc</v>
    <v>Learn more on Bing</v>
  </rv>
  <rv s="1">
    <fb>72.724000000000004</fb>
    <v>29</v>
  </rv>
  <rv s="1">
    <fb>72</fb>
    <v>29</v>
  </rv>
  <rv s="1">
    <fb>1.88</fb>
    <v>30</v>
  </rv>
  <rv s="1">
    <fb>0.36666666669999998</fb>
    <v>24</v>
  </rv>
  <rv s="1">
    <fb>2.0905</fb>
    <v>26</v>
  </rv>
  <rv s="1">
    <fb>6812341</fb>
    <v>25</v>
  </rv>
  <rv s="1">
    <fb>0.49686000823974602</fb>
    <v>24</v>
  </rv>
  <rv s="0">
    <v>536870912</v>
    <v>Butnan District</v>
    <v>70cd1a3f-bd3b-0263-be05-46588cc766da</v>
    <v>en-IN</v>
    <v>Map</v>
  </rv>
  <rv s="0">
    <v>536870912</v>
    <v>Derna District</v>
    <v>de7ee281-0ad8-acdc-c86e-3535d0d88705</v>
    <v>en-IN</v>
    <v>Map</v>
  </rv>
  <rv s="0">
    <v>536870912</v>
    <v>Jabal al Akhdar</v>
    <v>e402f0cb-467b-7e76-6407-e14122078979</v>
    <v>en-IN</v>
    <v>Map</v>
  </rv>
  <rv s="0">
    <v>536870912</v>
    <v>Marj District</v>
    <v>8295393a-9cec-305b-834e-a2798de19289</v>
    <v>en-IN</v>
    <v>Map</v>
  </rv>
  <rv s="0">
    <v>536870912</v>
    <v>Benghazi</v>
    <v>66430d95-3827-18c3-3c9f-ba437a20c99c</v>
    <v>en-IN</v>
    <v>Map</v>
  </rv>
  <rv s="0">
    <v>536870912</v>
    <v>Al Wahat District</v>
    <v>4cdfbf92-5b82-1a82-d210-65a62a0d9e8a</v>
    <v>en-IN</v>
    <v>Map</v>
  </rv>
  <rv s="0">
    <v>536870912</v>
    <v>Kufra District</v>
    <v>bfb3c0e3-1e01-c5e3-d40c-2afeca1bf8dd</v>
    <v>en-IN</v>
    <v>Map</v>
  </rv>
  <rv s="0">
    <v>536870912</v>
    <v>Sirte District</v>
    <v>0efc7b56-02bb-1c2e-beab-3300e28a2b74</v>
    <v>en-IN</v>
    <v>Map</v>
  </rv>
  <rv s="0">
    <v>536870912</v>
    <v>Murzuq District</v>
    <v>6edf077e-3928-fdf2-1e60-c6c12552f227</v>
    <v>en-IN</v>
    <v>Map</v>
  </rv>
  <rv s="0">
    <v>536870912</v>
    <v>Sabha District</v>
    <v>bc187859-a816-aae3-f165-be8f62aba2a6</v>
    <v>en-IN</v>
    <v>Map</v>
  </rv>
  <rv s="0">
    <v>536870912</v>
    <v>Wadi al Hayaa District</v>
    <v>18bfe72f-09f3-a5d4-849a-306921a0b4df</v>
    <v>en-IN</v>
    <v>Map</v>
  </rv>
  <rv s="0">
    <v>536870912</v>
    <v>Misrata District</v>
    <v>9f9abcbd-0374-e19f-f39a-b7e0d722e5ae</v>
    <v>en-IN</v>
    <v>Map</v>
  </rv>
  <rv s="0">
    <v>536870912</v>
    <v>Murqub District</v>
    <v>52427f1d-31dc-8560-f8ea-9a850c293b99</v>
    <v>en-IN</v>
    <v>Map</v>
  </rv>
  <rv s="0">
    <v>536870912</v>
    <v>Tripoli District</v>
    <v>7e57856f-d308-8bf3-2959-247c2e03872a</v>
    <v>en-IN</v>
    <v>Map</v>
  </rv>
  <rv s="0">
    <v>536870912</v>
    <v>Jafara</v>
    <v>a65c136c-8458-c1ba-132b-e0d90f55a331</v>
    <v>en-IN</v>
    <v>Map</v>
  </rv>
  <rv s="0">
    <v>536870912</v>
    <v>Zawiya District</v>
    <v>17b11f1e-9f59-9ac1-2eda-f384b806a0e9</v>
    <v>en-IN</v>
    <v>Map</v>
  </rv>
  <rv s="0">
    <v>536870912</v>
    <v>Nuqat al Khams</v>
    <v>c726644c-b8ab-654e-fbe0-7a5f01009cbc</v>
    <v>en-IN</v>
    <v>Map</v>
  </rv>
  <rv s="0">
    <v>536870912</v>
    <v>Jabal al Gharbi District</v>
    <v>decca4b4-0c85-1058-154d-27f3ff3ff82c</v>
    <v>en-IN</v>
    <v>Map</v>
  </rv>
  <rv s="0">
    <v>536870912</v>
    <v>Nalut District</v>
    <v>9a530c1d-0e7a-2bb2-19b3-30fb1156a222</v>
    <v>en-IN</v>
    <v>Map</v>
  </rv>
  <rv s="0">
    <v>536870912</v>
    <v>Ghat District</v>
    <v>df6aff4d-0c04-536e-9e7a-00c7f88b76f5</v>
    <v>en-IN</v>
    <v>Map</v>
  </rv>
  <rv s="0">
    <v>536870912</v>
    <v>Jufra District</v>
    <v>1e0e9735-960b-0b53-6ee8-1197a464782a</v>
    <v>en-IN</v>
    <v>Map</v>
  </rv>
  <rv s="0">
    <v>536870912</v>
    <v>Wadi al Shatii District</v>
    <v>fd21c56f-fa95-a8ab-4795-0f05f8b7164f</v>
    <v>en-IN</v>
    <v>Map</v>
  </rv>
  <rv s="0">
    <v>536870912</v>
    <v>Zawiya</v>
    <v>8cacc710-ff36-89a1-46eb-f7b98912429b</v>
    <v>en-IN</v>
    <v>Map</v>
  </rv>
  <rv s="0">
    <v>536870912</v>
    <v>Ghat</v>
    <v>7508bdb5-2cb1-cb41-3034-12f9583e6bbe</v>
    <v>en-IN</v>
    <v>Map</v>
  </rv>
  <rv s="0">
    <v>536870912</v>
    <v>Nalut</v>
    <v>26bfa050-45b5-c7b9-2c3b-116423364c36</v>
    <v>en-IN</v>
    <v>Map</v>
  </rv>
  <rv s="0">
    <v>536870912</v>
    <v>Misrata</v>
    <v>8476360f-6835-0781-7fc6-fa6b36957731</v>
    <v>en-IN</v>
    <v>Map</v>
  </rv>
  <rv s="3">
    <v>86</v>
  </rv>
  <rv s="1">
    <fb>0.32600000000000001</fb>
    <v>24</v>
  </rv>
  <rv s="1">
    <fb>0.185629997253418</fb>
    <v>32</v>
  </rv>
  <rv s="1">
    <fb>5448597</fb>
    <v>25</v>
  </rv>
  <rv s="40">
    <v>#VALUE!</v>
    <v>en-IN</v>
    <v>b4e5604e-361e-ab37-6516-4cf5580a04aa</v>
    <v>536870912</v>
    <v>1</v>
    <v>280</v>
    <v>281</v>
    <v>Libya</v>
    <v>20</v>
    <v>21</v>
    <v>Map</v>
    <v>22</v>
    <v>282</v>
    <v>LY</v>
    <v>1631</v>
    <v>1632</v>
    <v>1633</v>
    <v>1634</v>
    <v>1635</v>
    <v>1636</v>
    <v>1637</v>
    <v>1638</v>
    <v>1639</v>
    <v>LYD</v>
    <v>Libya, officially the State of Libya, is a country in the Maghreb region of North Africa. It is bordered by the Mediterranean Sea to the north, Egypt to the east, Sudan to the southeast, Chad to the south, Niger to the southwest, Algeria to the ...</v>
    <v>1640</v>
    <v>1641</v>
    <v>1642</v>
    <v>1643</v>
    <v>1644</v>
    <v>1645</v>
    <v>1646</v>
    <v>1647</v>
    <v>1648</v>
    <v>1649</v>
    <v>1636</v>
    <v>1651</v>
    <v>1652</v>
    <v>1653</v>
    <v>1654</v>
    <v>1655</v>
    <v>Libya</v>
    <v>Libya, Libya, Libya</v>
    <v>808</v>
    <v>Stato della Libia</v>
    <v>1656</v>
    <v>1657</v>
    <v>1658</v>
    <v>1659</v>
    <v>1686</v>
    <v>846</v>
    <v>1687</v>
    <v>1688</v>
    <v>Libya</v>
    <v>1689</v>
    <v>mdp/vdpid/148</v>
  </rv>
  <rv s="1">
    <fb>400</fb>
    <v>25</v>
  </rv>
  <rv s="1">
    <fb>32.871138999999999</fb>
    <v>37</v>
  </rv>
  <rv s="4">
    <v>https://www.bing.com/search?q=tripoli+libya&amp;form=skydnc</v>
    <v>Learn more on Bing</v>
  </rv>
  <rv s="1">
    <fb>13.17995</fb>
    <v>37</v>
  </rv>
  <rv s="1">
    <fb>1170000</fb>
    <v>25</v>
  </rv>
  <rv s="41">
    <v>#VALUE!</v>
    <v>en-IN</v>
    <v>797b970a-c20b-a043-ba81-e81b907b963a</v>
    <v>536870912</v>
    <v>1</v>
    <v>285</v>
    <v>286</v>
    <v>Tripoli, Libya</v>
    <v>287</v>
    <v>288</v>
    <v>Map</v>
    <v>22</v>
    <v>109</v>
    <v>1691</v>
    <v>1630</v>
    <v>Tripoli is the capital and largest city of Libya, with a population of about 1.18 million people in 2019. It is located in the northwest of Libya on the edge of the desert, on a point of rocky land projecting into the Mediterranean Sea and forming a bay. It includes the port of Tripoli and the country's largest commercial and manufacturing center. It is also the site of the University of Tripoli. The vast Bab al-Azizia barracks, which includes the former family estate of Muammar Gaddafi, is also located in the city. Colonel Gaddafi largely ruled the country from his residence in this barracks.</v>
    <v>1692</v>
    <v>1693</v>
    <v>1694</v>
    <v>Tripoli, Libya</v>
    <v>1695</v>
    <v>Tripoli, Libya</v>
    <v>mdp/vdpid/7233004568278204417</v>
  </rv>
  <rv s="2">
    <v>44</v>
    <v>22</v>
    <v>277</v>
    <v>3</v>
    <v>0</v>
    <v>Image of Libya</v>
  </rv>
  <rv s="8">
    <v>en-IN</v>
    <v>avuw5r</v>
    <v>268435456</v>
    <v>1</v>
    <v>Powered by Refinitiv</v>
    <v>42</v>
    <v>SEK/USD</v>
    <v>43</v>
    <v>62</v>
    <v>Finance</v>
    <v>45</v>
    <v>0.1087</v>
    <v>8.8099999999999998E-2</v>
    <v>2.0000000000000001E-4</v>
    <v>1.8809999999999999E-3</v>
    <v>USD</v>
    <v>SEK</v>
    <v>0.1067</v>
    <v>Currency Pair</v>
    <v>45957.217650462961</v>
    <v>0.10639999999999999</v>
    <v>Swedish Krona/US Dollar FX Cross Rate</v>
    <v>0.10639999999999999</v>
    <v>0.10630000000000001</v>
    <v>0.1065</v>
    <v>SEKUSD</v>
    <v>SEK/USD</v>
  </rv>
  <rv s="9">
    <v>1698</v>
  </rv>
  <rv s="4">
    <v>https://www.bing.com/financeapi/forcetrigger?t=bptw77&amp;q=XNYS%3aUBER&amp;form=skydnc</v>
    <v>Learn more on Bing</v>
  </rv>
  <rv s="10">
    <v>en-IN</v>
    <v>bptw77</v>
    <v>268435456</v>
    <v>1</v>
    <v>Powered by Refinitiv</v>
    <v>46</v>
    <v>UBER TECHNOLOGIES, INC. (XNYS:UBER)</v>
    <v>47</v>
    <v>48</v>
    <v>Finance</v>
    <v>49</v>
    <v>101.99</v>
    <v>59.33</v>
    <v>1.4663999999999999</v>
    <v>-0.54</v>
    <v>3.189E-4</v>
    <v>-5.7079999999999995E-3</v>
    <v>0.03</v>
    <v>USD</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31100</v>
    <v>New York Stock Exchange</v>
    <v>XNYS</v>
    <v>XNYS</v>
    <v>1725 3Rd Street, SAN FRANCISCO, CA, 94158 US</v>
    <v>95.26</v>
    <v>Software &amp; IT Services</v>
    <v>Stock</v>
    <v>45954.999958830471</v>
    <v>1700</v>
    <v>93.900099999999995</v>
    <v>192296500000</v>
    <v>UBER TECHNOLOGIES, INC.</v>
    <v>UBER TECHNOLOGIES, INC.</v>
    <v>95.15</v>
    <v>15.946300000000001</v>
    <v>94.61</v>
    <v>94.07</v>
    <v>94.1</v>
    <v>2085419000</v>
    <v>UBER</v>
    <v>UBER TECHNOLOGIES, INC. (XNYS:UBER)</v>
    <v>12014562</v>
    <v>15531772</v>
    <v>2010</v>
  </rv>
  <rv s="9">
    <v>1701</v>
  </rv>
  <rv s="0">
    <v>536870912</v>
    <v>Liechtenstein</v>
    <v>aa7e3291-f6e4-a640-0adb-4aa06efc7910</v>
    <v>en-IN</v>
    <v>Map</v>
  </rv>
  <rv s="1">
    <fb>0.322499990463257</fb>
    <v>24</v>
  </rv>
  <rv s="1">
    <fb>160</fb>
    <v>25</v>
  </rv>
  <rv s="1">
    <fb>9.9</fb>
    <v>26</v>
  </rv>
  <rv s="1">
    <fb>423</fb>
    <v>27</v>
  </rv>
  <rv s="0">
    <v>536870912</v>
    <v>Vaduz</v>
    <v>3bc0f2bb-c7b6-52ea-c739-789c5eddea7f</v>
    <v>en-IN</v>
    <v>Map</v>
  </rv>
  <rv s="1">
    <fb>51.338000000000001</fb>
    <v>25</v>
  </rv>
  <rv s="1">
    <fb>1.44</fb>
    <v>26</v>
  </rv>
  <rv s="1">
    <fb>0.43125000596046398</fb>
    <v>24</v>
  </rv>
  <rv s="1">
    <fb>1.74</fb>
    <v>30</v>
  </rv>
  <rv s="1">
    <fb>6552858738.7021399</fb>
    <v>31</v>
  </rv>
  <rv s="1">
    <fb>1.0469974</fb>
    <v>24</v>
  </rv>
  <rv s="1">
    <fb>0.35621930000000002</fb>
    <v>24</v>
  </rv>
  <rv s="2">
    <v>45</v>
    <v>22</v>
    <v>290</v>
    <v>7</v>
    <v>0</v>
    <v>Image of Liechtenstein</v>
  </rv>
  <rv s="0">
    <v>536870912</v>
    <v>Schaan</v>
    <v>3d6eba74-e923-9fdc-6caa-8f45e38b4434</v>
    <v>en-IN</v>
    <v>Map</v>
  </rv>
  <rv s="0">
    <v>805306368</v>
    <v>Hans-Adam II, Prince of Liechtenstein (Monarch)</v>
    <v>2e7cc976-8a4b-13f4-0340-13c09168b182</v>
    <v>en-IN</v>
    <v>Generic</v>
  </rv>
  <rv s="0">
    <v>805306368</v>
    <v>Daniel Risch (Prime minister)</v>
    <v>81d23657-42c5-e44b-be18-cd296a1d9abb</v>
    <v>en-IN</v>
    <v>Generic</v>
  </rv>
  <rv s="3">
    <v>87</v>
  </rv>
  <rv s="4">
    <v>https://www.bing.com/search?q=liechtenstein&amp;form=skydnc</v>
    <v>Learn more on Bing</v>
  </rv>
  <rv s="1">
    <fb>83.041463414634194</fb>
    <v>29</v>
  </rv>
  <rv s="3">
    <v>88</v>
  </rv>
  <rv s="1">
    <fb>39327</fb>
    <v>25</v>
  </rv>
  <rv s="0">
    <v>536870912</v>
    <v>Ruggell</v>
    <v>3c0a6767-f96e-6589-6249-8b36cfb2e722</v>
    <v>en-IN</v>
    <v>Map</v>
  </rv>
  <rv s="0">
    <v>536870912</v>
    <v>Gamprin</v>
    <v>081f9cbc-6085-eb49-7de5-d48847301090</v>
    <v>en-IN</v>
    <v>Map</v>
  </rv>
  <rv s="0">
    <v>536870912</v>
    <v>Eschen</v>
    <v>32034179-d2f0-d4dd-c573-fbdf124f52d3</v>
    <v>en-IN</v>
    <v>Map</v>
  </rv>
  <rv s="0">
    <v>536870912</v>
    <v>Mauren</v>
    <v>b2d2f18a-d3e6-628c-f493-1ea1bf90090c</v>
    <v>en-IN</v>
    <v>Map</v>
  </rv>
  <rv s="0">
    <v>536870912</v>
    <v>Planken</v>
    <v>4bccca6f-d36d-b322-e886-1f02e4bdb83b</v>
    <v>en-IN</v>
    <v>Map</v>
  </rv>
  <rv s="0">
    <v>536870912</v>
    <v>Triesenberg</v>
    <v>09d7a66c-7c90-1906-9360-102b1f9ae78d</v>
    <v>en-IN</v>
    <v>Map</v>
  </rv>
  <rv s="0">
    <v>536870912</v>
    <v>Triesen</v>
    <v>5c9e8310-6d56-0507-71c1-e00bcf7a0b39</v>
    <v>en-IN</v>
    <v>Map</v>
  </rv>
  <rv s="0">
    <v>536870912</v>
    <v>Balzers</v>
    <v>1c3798d6-4dd5-21e0-1726-237b735c2971</v>
    <v>en-IN</v>
    <v>Map</v>
  </rv>
  <rv s="3">
    <v>89</v>
  </rv>
  <rv s="1">
    <fb>0.21600000000000003</fb>
    <v>24</v>
  </rv>
  <rv s="1">
    <fb>5464</fb>
    <v>25</v>
  </rv>
  <rv s="42">
    <v>#VALUE!</v>
    <v>en-IN</v>
    <v>aa7e3291-f6e4-a640-0adb-4aa06efc7910</v>
    <v>536870912</v>
    <v>1</v>
    <v>293</v>
    <v>294</v>
    <v>Liechtenstein</v>
    <v>20</v>
    <v>21</v>
    <v>Map</v>
    <v>22</v>
    <v>295</v>
    <v>LI</v>
    <v>1704</v>
    <v>1705</v>
    <v>1706</v>
    <v>1707</v>
    <v>1708</v>
    <v>1709</v>
    <v>CHF</v>
    <v>Liechtenstein, officially the Principality of Liechtenstein, is a German-speaking and doubly landlocked country and microstate located in the Alps between Austria and Switzerland. It is the sixth smallest nation worldwide. Liechtenstein is a ...</v>
    <v>1710</v>
    <v>1711</v>
    <v>1712</v>
    <v>1713</v>
    <v>1714</v>
    <v>1715</v>
    <v>1716</v>
    <v>1717</v>
    <v>1720</v>
    <v>1721</v>
    <v>1722</v>
    <v>Liechtenstein</v>
    <v>Oben am jungen Rhein</v>
    <v>1723</v>
    <v>Fürstentum Liechtenstein</v>
    <v>1724</v>
    <v>1733</v>
    <v>1074</v>
    <v>1734</v>
    <v>Liechtenstein</v>
    <v>1735</v>
    <v>mdp/vdpid/145</v>
  </rv>
  <rv s="1">
    <fb>17.3</fb>
    <v>25</v>
  </rv>
  <rv s="2">
    <v>46</v>
    <v>22</v>
    <v>296</v>
    <v>7</v>
    <v>0</v>
    <v>Image of Vaduz</v>
  </rv>
  <rv s="0">
    <v>805306368</v>
    <v>Petra Miescher (Mayor)</v>
    <v>1310a43c-6bff-3c59-34b9-c30d264856a3</v>
    <v>en-IN</v>
    <v>Generic</v>
  </rv>
  <rv s="3">
    <v>90</v>
  </rv>
  <rv s="4">
    <v>https://www.bing.com/search?q=vaduz&amp;form=skydnc</v>
    <v>Learn more on Bing</v>
  </rv>
  <rv s="1">
    <fb>5668</fb>
    <v>25</v>
  </rv>
  <rv s="43">
    <v>#VALUE!</v>
    <v>en-IN</v>
    <v>3bc0f2bb-c7b6-52ea-c739-789c5eddea7f</v>
    <v>536870912</v>
    <v>1</v>
    <v>298</v>
    <v>299</v>
    <v>Vaduz</v>
    <v>20</v>
    <v>21</v>
    <v>Map</v>
    <v>22</v>
    <v>109</v>
    <v>LI-11</v>
    <v>1737</v>
    <v>1703</v>
    <v>Vaduz is the capital of Liechtenstein and also the seat of the national parliament. The city, which is located along the Rhine River, has 5,696 residents. The most prominent landmark of Vaduz is Vaduz Castle, being perched atop a steep hill ...</v>
    <v>1738</v>
    <v>1740</v>
    <v>1741</v>
    <v>Vaduz</v>
    <v>1723</v>
    <v>1742</v>
    <v>Vaduz</v>
    <v>mdp/vdpid/7016112735171641345</v>
  </rv>
  <rv s="1">
    <fb>26.8</fb>
    <v>25</v>
  </rv>
  <rv s="0">
    <v>536870912</v>
    <v>Schaan</v>
    <v>b0c837a5-6e23-4469-fcff-8bb44eb6c2e3</v>
    <v>en-IN</v>
    <v>Map</v>
  </rv>
  <rv s="2">
    <v>47</v>
    <v>22</v>
    <v>300</v>
    <v>7</v>
    <v>0</v>
    <v>Image of Schaan</v>
  </rv>
  <rv s="4">
    <v>https://www.bing.com/search?q=gemeinde+schaan&amp;form=skydnc</v>
    <v>Learn more on Bing</v>
  </rv>
  <rv s="1">
    <fb>5998</fb>
    <v>25</v>
  </rv>
  <rv s="44">
    <v>#VALUE!</v>
    <v>en-IN</v>
    <v>3d6eba74-e923-9fdc-6caa-8f45e38b4434</v>
    <v>536870912</v>
    <v>1</v>
    <v>302</v>
    <v>303</v>
    <v>Schaan</v>
    <v>20</v>
    <v>21</v>
    <v>Map</v>
    <v>22</v>
    <v>109</v>
    <v>LI-07</v>
    <v>1744</v>
    <v>1745</v>
    <v>1703</v>
    <v>Schaan is the largest municipality of Liechtenstein by population. It is located to the north of Vaduz, the capital, in the central part of the country. As of 2019 it has a population of 6,039 making it the most populous administrative district ...</v>
    <v>1746</v>
    <v>1747</v>
    <v>Schaan</v>
    <v>1723</v>
    <v>1748</v>
    <v>Schaan</v>
    <v>mdp/vdpid/161499024</v>
  </rv>
  <rv s="2">
    <v>45</v>
    <v>22</v>
    <v>290</v>
    <v>3</v>
    <v>0</v>
    <v>Image of Liechtenstein</v>
  </rv>
  <rv s="8">
    <v>en-IN</v>
    <v>avyr6h</v>
    <v>268435456</v>
    <v>1</v>
    <v>Powered by Refinitiv</v>
    <v>42</v>
    <v>USD/NOK</v>
    <v>43</v>
    <v>304</v>
    <v>Finance</v>
    <v>45</v>
    <v>11.529</v>
    <v>9.7178000000000004</v>
    <v>3.3700000000000001E-2</v>
    <v>3.3789999999999996E-3</v>
    <v>NOK</v>
    <v>USD</v>
    <v>10.0113</v>
    <v>Currency Pair</v>
    <v>45957.217638888891</v>
    <v>9.9923000000000002</v>
    <v>US Dollar/Norwegian Krone FX Spot Rate</v>
    <v>9.9694000000000003</v>
    <v>9.9735999999999994</v>
    <v>10.007300000000001</v>
    <v>USDNOK</v>
    <v>USD/NOK</v>
  </rv>
  <rv s="9">
    <v>1751</v>
  </rv>
  <rv s="4">
    <v>https://www.bing.com/financeapi/forcetrigger?t=a256cw&amp;q=XNYS%3aV&amp;form=skydnc</v>
    <v>Learn more on Bing</v>
  </rv>
  <rv s="10">
    <v>en-IN</v>
    <v>a256cw</v>
    <v>268435456</v>
    <v>1</v>
    <v>Powered by Refinitiv</v>
    <v>46</v>
    <v>VISA INC. (XNYS:V)</v>
    <v>47</v>
    <v>48</v>
    <v>Finance</v>
    <v>49</v>
    <v>375.51</v>
    <v>281.35000000000002</v>
    <v>0.87509999999999999</v>
    <v>1.42</v>
    <v>3.57E-4</v>
    <v>4.1050000000000001E-3</v>
    <v>0.124</v>
    <v>USD</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31600</v>
    <v>New York Stock Exchange</v>
    <v>XNYS</v>
    <v>XNYS</v>
    <v>P.O. Box 8999, SAN FRANCISCO, CA, 94128-8999 US</v>
    <v>349.08</v>
    <v>Professional &amp; Commercial Services</v>
    <v>Stock</v>
    <v>45954.999741400003</v>
    <v>1753</v>
    <v>345.32</v>
    <v>665370900000</v>
    <v>VISA INC.</v>
    <v>VISA INC.</v>
    <v>348.2</v>
    <v>33.902799999999999</v>
    <v>345.96</v>
    <v>347.38</v>
    <v>347.50400000000002</v>
    <v>1926601000</v>
    <v>V</v>
    <v>VISA INC. (XNYS:V)</v>
    <v>3576694</v>
    <v>6215694</v>
    <v>2007</v>
  </rv>
  <rv s="9">
    <v>1754</v>
  </rv>
  <rv s="0">
    <v>536870912</v>
    <v>Lithuania</v>
    <v>51ff0e88-f474-0092-fafc-133eb18df4be</v>
    <v>en-IN</v>
    <v>Map</v>
  </rv>
  <rv s="1">
    <fb>0.47155260212694899</fb>
    <v>24</v>
  </rv>
  <rv s="1">
    <fb>65300</fb>
    <v>25</v>
  </rv>
  <rv s="1">
    <fb>34000</fb>
    <v>25</v>
  </rv>
  <rv s="1">
    <fb>370</fb>
    <v>27</v>
  </rv>
  <rv s="0">
    <v>536870912</v>
    <v>Vilnius</v>
    <v>636c6569-44ee-4651-a95f-fdc38f21ed76</v>
    <v>en-IN</v>
    <v>Map</v>
  </rv>
  <rv s="1">
    <fb>12962.844999999999</fb>
    <v>25</v>
  </rv>
  <rv s="1">
    <fb>118.382098321258</fb>
    <v>28</v>
  </rv>
  <rv s="1">
    <fb>2.33450937988024E-2</fb>
    <v>24</v>
  </rv>
  <rv s="1">
    <fb>3821.1451704373999</fb>
    <v>25</v>
  </rv>
  <rv s="1">
    <fb>1.63</fb>
    <v>26</v>
  </rv>
  <rv s="1">
    <fb>0.34832858656605403</fb>
    <v>24</v>
  </rv>
  <rv s="1">
    <fb>67.9937494705635</fb>
    <v>29</v>
  </rv>
  <rv s="1">
    <fb>54219315600.085403</fb>
    <v>31</v>
  </rv>
  <rv s="1">
    <fb>1.0387475000000002</fb>
    <v>24</v>
  </rv>
  <rv s="1">
    <fb>0.7241746</fb>
    <v>24</v>
  </rv>
  <rv s="2">
    <v>48</v>
    <v>22</v>
    <v>306</v>
    <v>7</v>
    <v>0</v>
    <v>Image of Lithuania</v>
  </rv>
  <rv s="0">
    <v>805306368</v>
    <v>Gitanas Nausėda (President)</v>
    <v>31a3df48-58cb-7e55-9149-1a72475eff13</v>
    <v>en-IN</v>
    <v>Generic</v>
  </rv>
  <rv s="0">
    <v>805306368</v>
    <v>Ingrida Šimonytė (Prime minister)</v>
    <v>ec4570a8-b476-d85e-a08e-4dbf313d9f2f</v>
    <v>en-IN</v>
    <v>Generic</v>
  </rv>
  <rv s="3">
    <v>91</v>
  </rv>
  <rv s="4">
    <v>https://www.bing.com/search?q=lithuania&amp;form=skydnc</v>
    <v>Learn more on Bing</v>
  </rv>
  <rv s="1">
    <fb>75.680487804878098</fb>
    <v>29</v>
  </rv>
  <rv s="1">
    <fb>8</fb>
    <v>29</v>
  </rv>
  <rv s="1">
    <fb>2.41</fb>
    <v>30</v>
  </rv>
  <rv s="3">
    <v>92</v>
  </rv>
  <rv s="1">
    <fb>0.32072368419999997</fb>
    <v>24</v>
  </rv>
  <rv s="1">
    <fb>6.3528000000000002</fb>
    <v>26</v>
  </rv>
  <rv s="1">
    <fb>2833000</fb>
    <v>25</v>
  </rv>
  <rv s="1">
    <fb>6.3E-2</fb>
    <v>24</v>
  </rv>
  <rv s="1">
    <fb>0.159</fb>
    <v>24</v>
  </rv>
  <rv s="1">
    <fb>0.61618000030517595</fb>
    <v>24</v>
  </rv>
  <rv s="0">
    <v>536870912</v>
    <v>Alytus County</v>
    <v>d3bf6669-1859-bf71-7783-a04b99b61e10</v>
    <v>en-IN</v>
    <v>Map</v>
  </rv>
  <rv s="0">
    <v>536870912</v>
    <v>Kaunas County</v>
    <v>7227a506-5263-125e-c8e6-55dbf9a424e1</v>
    <v>en-IN</v>
    <v>Map</v>
  </rv>
  <rv s="0">
    <v>536870912</v>
    <v>Klaipėda County</v>
    <v>fa25e6eb-eaf9-9d76-60aa-f31d31f67bd9</v>
    <v>en-IN</v>
    <v>Map</v>
  </rv>
  <rv s="0">
    <v>536870912</v>
    <v>Marijampolė County</v>
    <v>1f4b6e94-fbea-6340-831b-20969e53c74b</v>
    <v>en-IN</v>
    <v>Map</v>
  </rv>
  <rv s="0">
    <v>536870912</v>
    <v>Panevėžys County</v>
    <v>e4a8f632-ffa2-d3e1-0fa0-f962fd3a5f2c</v>
    <v>en-IN</v>
    <v>Map</v>
  </rv>
  <rv s="0">
    <v>536870912</v>
    <v>Šiauliai County</v>
    <v>1ee29192-80cd-ad3f-9eca-6cd98d29db16</v>
    <v>en-IN</v>
    <v>Map</v>
  </rv>
  <rv s="0">
    <v>536870912</v>
    <v>Tauragė County</v>
    <v>4c67498e-3bb1-6ad5-c8b2-e4e0b356c882</v>
    <v>en-IN</v>
    <v>Map</v>
  </rv>
  <rv s="0">
    <v>536870912</v>
    <v>Telšiai County</v>
    <v>6bb58e6f-53ac-99da-502a-fc76d7ec5d9d</v>
    <v>en-IN</v>
    <v>Map</v>
  </rv>
  <rv s="0">
    <v>536870912</v>
    <v>Utena County</v>
    <v>59d149a9-8e40-1500-c927-d85b5f9c916e</v>
    <v>en-IN</v>
    <v>Map</v>
  </rv>
  <rv s="0">
    <v>536870912</v>
    <v>Vilnius County</v>
    <v>e26dd8c8-06e8-2ba7-2447-03021b5c9d87</v>
    <v>en-IN</v>
    <v>Map</v>
  </rv>
  <rv s="3">
    <v>93</v>
  </rv>
  <rv s="1">
    <fb>0.1685608755171</fb>
    <v>24</v>
  </rv>
  <rv s="1">
    <fb>0.42599999999999999</fb>
    <v>24</v>
  </rv>
  <rv s="1">
    <fb>6.3520002365112294E-2</fb>
    <v>32</v>
  </rv>
  <rv s="1">
    <fb>1891013</fb>
    <v>25</v>
  </rv>
  <rv s="37">
    <v>#VALUE!</v>
    <v>en-IN</v>
    <v>51ff0e88-f474-0092-fafc-133eb18df4be</v>
    <v>536870912</v>
    <v>1</v>
    <v>309</v>
    <v>242</v>
    <v>Lithuania</v>
    <v>20</v>
    <v>21</v>
    <v>Map</v>
    <v>22</v>
    <v>310</v>
    <v>LT</v>
    <v>1757</v>
    <v>1758</v>
    <v>1759</v>
    <v>1281</v>
    <v>1760</v>
    <v>1761</v>
    <v>1762</v>
    <v>1763</v>
    <v>1764</v>
    <v>EUR</v>
    <v>Lithuania, officially the Republic of Lithuania, is a country in the Baltic region of Europe. It is one of three Baltic states and lies on the eastern shore of the Baltic Sea. It borders Latvia to the north, Belarus to the east and south, Poland ...</v>
    <v>1765</v>
    <v>1766</v>
    <v>1767</v>
    <v>1768</v>
    <v>1291</v>
    <v>1769</v>
    <v>1770</v>
    <v>1771</v>
    <v>1772</v>
    <v>1296</v>
    <v>1761</v>
    <v>1775</v>
    <v>1776</v>
    <v>1777</v>
    <v>1778</v>
    <v>1779</v>
    <v>Lithuania</v>
    <v>Tautiška giesmė</v>
    <v>1780</v>
    <v>Lietuvos Respublika</v>
    <v>1781</v>
    <v>1782</v>
    <v>1783</v>
    <v>1588</v>
    <v>911</v>
    <v>1021</v>
    <v>649</v>
    <v>1784</v>
    <v>1024</v>
    <v>1785</v>
    <v>1786</v>
    <v>1797</v>
    <v>1798</v>
    <v>846</v>
    <v>1799</v>
    <v>1800</v>
    <v>Lithuania</v>
    <v>1801</v>
    <v>mdp/vdpid/141</v>
  </rv>
  <rv s="1">
    <fb>401</fb>
    <v>25</v>
  </rv>
  <rv s="2">
    <v>49</v>
    <v>22</v>
    <v>311</v>
    <v>7</v>
    <v>0</v>
    <v>Image of Vilnius</v>
  </rv>
  <rv s="1">
    <fb>54.687222222222204</fb>
    <v>37</v>
  </rv>
  <rv s="0">
    <v>805306368</v>
    <v>Valdas Benkunskas (Mayor)</v>
    <v>95820e10-6778-e816-6ec4-c8f3f2a2d68d</v>
    <v>en-IN</v>
    <v>Generic</v>
  </rv>
  <rv s="3">
    <v>94</v>
  </rv>
  <rv s="4">
    <v>https://www.bing.com/search?q=vilnius&amp;form=skydnc</v>
    <v>Learn more on Bing</v>
  </rv>
  <rv s="1">
    <fb>25.28</fb>
    <v>37</v>
  </rv>
  <rv s="1">
    <fb>581475</fb>
    <v>25</v>
  </rv>
  <rv s="14">
    <v>#VALUE!</v>
    <v>en-IN</v>
    <v>636c6569-44ee-4651-a95f-fdc38f21ed76</v>
    <v>536870912</v>
    <v>1</v>
    <v>312</v>
    <v>82</v>
    <v>Vilnius</v>
    <v>20</v>
    <v>21</v>
    <v>Map</v>
    <v>22</v>
    <v>235</v>
    <v>1796</v>
    <v>1803</v>
    <v>916</v>
    <v>Vilnius is the capital and largest city of Lithuania. As of July 2023, Vilnius' estimated population was 593,436. The Vilnius urban area, extending beyond the city limits, had an estimated population of 718,507 in 2020. By November 2022, there ...</v>
    <v>1804</v>
    <v>1805</v>
    <v>1807</v>
    <v>1808</v>
    <v>1809</v>
    <v>Vilnius</v>
    <v>1810</v>
    <v>Vilnius</v>
    <v>mdp/vdpid/7044099169807499265</v>
  </rv>
  <rv s="2">
    <v>48</v>
    <v>22</v>
    <v>306</v>
    <v>3</v>
    <v>0</v>
    <v>Image of Lithuania</v>
  </rv>
  <rv s="8">
    <v>en-IN</v>
    <v>avnmgh</v>
    <v>268435456</v>
    <v>1</v>
    <v>Powered by Refinitiv</v>
    <v>42</v>
    <v>NOK/USD</v>
    <v>43</v>
    <v>62</v>
    <v>Finance</v>
    <v>45</v>
    <v>0.1027</v>
    <v>8.6319999999999994E-2</v>
    <v>3.6999999999999999E-4</v>
    <v>3.7180000000000004E-3</v>
    <v>USD</v>
    <v>NOK</v>
    <v>0.10009999999999999</v>
    <v>Currency Pair</v>
    <v>45957.217719907407</v>
    <v>9.9890000000000007E-2</v>
    <v>Norwegian Krone/US Dollar FX Cross Rate</v>
    <v>9.9500000000000005E-2</v>
    <v>9.9519999999999997E-2</v>
    <v>9.9890000000000007E-2</v>
    <v>NOKUSD</v>
    <v>NOK/USD</v>
  </rv>
  <rv s="9">
    <v>1813</v>
  </rv>
  <rv s="4">
    <v>https://www.bing.com/financeapi/forcetrigger?t=a1ook2&amp;q=XNYS%3aBMY&amp;form=skydnc</v>
    <v>Learn more on Bing</v>
  </rv>
  <rv s="10">
    <v>en-IN</v>
    <v>a1ook2</v>
    <v>268435456</v>
    <v>1</v>
    <v>Powered by Refinitiv</v>
    <v>46</v>
    <v>BRISTOL-MYERS SQUIBB COMPANY (XNYS:BMY)</v>
    <v>47</v>
    <v>48</v>
    <v>Finance</v>
    <v>49</v>
    <v>63.33</v>
    <v>42.96</v>
    <v>0.33979999999999999</v>
    <v>0</v>
    <v>-1.1409999999999999E-3</v>
    <v>0</v>
    <v>-0.05</v>
    <v>USD</v>
    <v>Bristol-Myers Squibb Company is a global biopharmaceutical company. It is engaged in the discovery, development and delivery of transformational medicines for patients facing serious diseases in areas: oncology, hematology, immunology, cardiovascular, neuroscience and other areas. Its growth portfolio includes Opdivo (nivolumab), Opdivo Qvantig (nivolumab and hyaluronidase-nvhy), Yervoy (ipilimumab), Reblozyl (luspatercept-aamt), Opdualag (nivolumab and relatlimab-rmbw), Breyanzi (lisocabtagene maraleucel), Camzyos (mavacamten), Zeposia (ozanimod), Abecma (idecabtagene vicleucel), and Sotyktu (deucravacitinib). Its other growth products include Onureg, Inrebic, and Empliciti. Its legacy portfolio includes Eliquis (apixaban), Revlimid (lenalidomide), Pomalyst/Imnovid (pomalidomide), Sprycel (dasatinib), and Abraxane (paclitaxel albumin-bound particles for injectable suspension). Opdivo (nivolumab) is a fully human monoclonal antibody that binds to the PD-1 on T and NKT cells.</v>
    <v>34100</v>
    <v>New York Stock Exchange</v>
    <v>XNYS</v>
    <v>XNYS</v>
    <v>Route 206 And Province Line Road, PRINCETON, NJ, 08543 US</v>
    <v>43.935000000000002</v>
    <v>Pharmaceuticals</v>
    <v>Stock</v>
    <v>45954.999879385934</v>
    <v>1815</v>
    <v>43.575000000000003</v>
    <v>90353000000</v>
    <v>BRISTOL-MYERS SQUIBB COMPANY</v>
    <v>BRISTOL-MYERS SQUIBB COMPANY</v>
    <v>43.93</v>
    <v>17.7057</v>
    <v>43.83</v>
    <v>43.83</v>
    <v>43.78</v>
    <v>2035436000</v>
    <v>BMY</v>
    <v>BRISTOL-MYERS SQUIBB COMPANY (XNYS:BMY)</v>
    <v>10105883</v>
    <v>17998891</v>
    <v>1933</v>
  </rv>
  <rv s="9">
    <v>1816</v>
  </rv>
  <rv s="0">
    <v>536870912</v>
    <v>Luxembourg</v>
    <v>18da5ef5-2f6b-6dda-3140-08391acd669a</v>
    <v>en-IN</v>
    <v>Map</v>
  </rv>
  <rv s="1">
    <fb>0.53711935914593001</fb>
    <v>24</v>
  </rv>
  <rv s="1">
    <fb>2586.36</fb>
    <v>25</v>
  </rv>
  <rv s="1">
    <fb>10.3</fb>
    <v>26</v>
  </rv>
  <rv s="1">
    <fb>352</fb>
    <v>27</v>
  </rv>
  <rv s="0">
    <v>536870912</v>
    <v>Luxembourg City</v>
    <v>387ae05a-dd15-f01c-07b2-097158a060ba</v>
    <v>en-IN</v>
    <v>Map</v>
  </rv>
  <rv s="1">
    <fb>8987.8169999999991</fb>
    <v>25</v>
  </rv>
  <rv s="1">
    <fb>115.087815087815</fb>
    <v>28</v>
  </rv>
  <rv s="1">
    <fb>1.7433207565384301E-2</fb>
    <v>24</v>
  </rv>
  <rv s="1">
    <fb>13914.6784488756</fb>
    <v>25</v>
  </rv>
  <rv s="1">
    <fb>1.37</fb>
    <v>26</v>
  </rv>
  <rv s="1">
    <fb>0.35679011089811602</fb>
    <v>24</v>
  </rv>
  <rv s="1">
    <fb>80.562295207665002</fb>
    <v>29</v>
  </rv>
  <rv s="1">
    <fb>1.19</fb>
    <v>30</v>
  </rv>
  <rv s="1">
    <fb>71104919108.141098</fb>
    <v>31</v>
  </rv>
  <rv s="1">
    <fb>1.0228595</fb>
    <v>24</v>
  </rv>
  <rv s="1">
    <fb>0.19151769999999999</fb>
    <v>24</v>
  </rv>
  <rv s="2">
    <v>50</v>
    <v>22</v>
    <v>314</v>
    <v>7</v>
    <v>0</v>
    <v>Image of Luxembourg</v>
  </rv>
  <rv s="1">
    <fb>1.9</fb>
    <v>29</v>
  </rv>
  <rv s="0">
    <v>805306368</v>
    <v>Xavier Bettel (Prime minister)</v>
    <v>d991448c-bb7b-59d9-24b6-06461041bb47</v>
    <v>en-IN</v>
    <v>Generic</v>
  </rv>
  <rv s="3">
    <v>95</v>
  </rv>
  <rv s="4">
    <v>https://www.bing.com/search?q=luxembourg&amp;form=skydnc</v>
    <v>Learn more on Bing</v>
  </rv>
  <rv s="1">
    <fb>82.095121951219497</fb>
    <v>29</v>
  </rv>
  <rv s="1">
    <fb>44233610000</fb>
    <v>31</v>
  </rv>
  <rv s="1">
    <fb>13.05</fb>
    <v>30</v>
  </rv>
  <rv s="3">
    <v>96</v>
  </rv>
  <rv s="1">
    <fb>0.1064453761</fb>
    <v>24</v>
  </rv>
  <rv s="1">
    <fb>3.0089999999999999</fb>
    <v>26</v>
  </rv>
  <rv s="1">
    <fb>640064</fb>
    <v>25</v>
  </rv>
  <rv s="1">
    <fb>0.23300000000000001</fb>
    <v>24</v>
  </rv>
  <rv s="1">
    <fb>0.25800000000000001</fb>
    <v>24</v>
  </rv>
  <rv s="1">
    <fb>0.41399999999999998</fb>
    <v>24</v>
  </rv>
  <rv s="1">
    <fb>6.5000000000000002E-2</fb>
    <v>24</v>
  </rv>
  <rv s="1">
    <fb>0.11900000000000001</fb>
    <v>24</v>
  </rv>
  <rv s="1">
    <fb>0.16800000000000001</fb>
    <v>24</v>
  </rv>
  <rv s="1">
    <fb>0.59326999664306601</fb>
    <v>24</v>
  </rv>
  <rv s="0">
    <v>536870912</v>
    <v>Canton of Capellen</v>
    <v>bd446784-089a-4387-91e0-745e2d9aa081</v>
    <v>en-IN</v>
    <v>Map</v>
  </rv>
  <rv s="0">
    <v>536870912</v>
    <v>Canton of Clervaux</v>
    <v>1b7004bc-ab3a-45fd-a70a-20e7f89eb062</v>
    <v>en-IN</v>
    <v>Map</v>
  </rv>
  <rv s="0">
    <v>536870912</v>
    <v>Canton of Diekirch</v>
    <v>b5a83e53-cb8d-466d-a545-177bc8ef037b</v>
    <v>en-IN</v>
    <v>Map</v>
  </rv>
  <rv s="0">
    <v>536870912</v>
    <v>Canton of Echternach</v>
    <v>e3be1914-9495-4f58-8005-d96a2f741133</v>
    <v>en-IN</v>
    <v>Map</v>
  </rv>
  <rv s="0">
    <v>536870912</v>
    <v>Canton of Esch-sur-Alzette</v>
    <v>1e331e0a-74b6-4405-98e3-289db1a9f97e</v>
    <v>en-IN</v>
    <v>Map</v>
  </rv>
  <rv s="0">
    <v>536870912</v>
    <v>Canton of Grevenmacher</v>
    <v>9b31192b-c089-0a78-80b9-4ef1f9c3e9aa</v>
    <v>en-IN</v>
    <v>Map</v>
  </rv>
  <rv s="0">
    <v>536870912</v>
    <v>Canton of Luxembourg</v>
    <v>171f2751-0da0-4a38-a2c7-d94a479c5c2a</v>
    <v>en-IN</v>
    <v>Map</v>
  </rv>
  <rv s="0">
    <v>536870912</v>
    <v>Canton of Mersch</v>
    <v>16f03108-a662-466f-a1a5-3881627bde57</v>
    <v>en-IN</v>
    <v>Map</v>
  </rv>
  <rv s="0">
    <v>536870912</v>
    <v>Canton of Redange</v>
    <v>889729cf-6ce8-4240-834f-7c4f54f840b5</v>
    <v>en-IN</v>
    <v>Map</v>
  </rv>
  <rv s="0">
    <v>536870912</v>
    <v>Canton of Remich</v>
    <v>741c0fb0-658a-41ee-b08c-8fef24f0c950</v>
    <v>en-IN</v>
    <v>Map</v>
  </rv>
  <rv s="0">
    <v>536870912</v>
    <v>Canton of Vianden</v>
    <v>b83efdea-52ca-40bc-8dab-01bd4791b97f</v>
    <v>en-IN</v>
    <v>Map</v>
  </rv>
  <rv s="0">
    <v>536870912</v>
    <v>Canton of Wiltz</v>
    <v>c2159e75-2a64-d745-4dcf-897d79437de3</v>
    <v>en-IN</v>
    <v>Map</v>
  </rv>
  <rv s="3">
    <v>97</v>
  </rv>
  <rv s="1">
    <fb>0.26504268340465897</fb>
    <v>24</v>
  </rv>
  <rv s="1">
    <fb>0.20399999999999999</fb>
    <v>24</v>
  </rv>
  <rv s="1">
    <fb>5.3629999160766599E-2</fb>
    <v>32</v>
  </rv>
  <rv s="1">
    <fb>565488</fb>
    <v>25</v>
  </rv>
  <rv s="5">
    <v>#VALUE!</v>
    <v>en-IN</v>
    <v>18da5ef5-2f6b-6dda-3140-08391acd669a</v>
    <v>536870912</v>
    <v>1</v>
    <v>317</v>
    <v>18</v>
    <v>Luxembourg</v>
    <v>20</v>
    <v>21</v>
    <v>Map</v>
    <v>22</v>
    <v>318</v>
    <v>LU</v>
    <v>1819</v>
    <v>1820</v>
    <v>1494</v>
    <v>1821</v>
    <v>1822</v>
    <v>1823</v>
    <v>1824</v>
    <v>1825</v>
    <v>1826</v>
    <v>EUR</v>
    <v>Luxembourg, officially the Grand Duchy of Luxembourg, is a small landlocked country in Western Europe. It is bordered by Belgium to the west and north, Germany to the east, and France to the south. Its capital and most populous city, Luxembourg, ...</v>
    <v>1827</v>
    <v>1828</v>
    <v>1829</v>
    <v>1830</v>
    <v>1831</v>
    <v>1832</v>
    <v>1833</v>
    <v>1834</v>
    <v>1835</v>
    <v>1836</v>
    <v>1823</v>
    <v>1838</v>
    <v>1839</v>
    <v>1840</v>
    <v>1841</v>
    <v>403</v>
    <v>1842</v>
    <v>Luxembourg</v>
    <v>Ons Heemecht</v>
    <v>1843</v>
    <v>Grand-Duché de Luxembourg</v>
    <v>1844</v>
    <v>1845</v>
    <v>1846</v>
    <v>1847</v>
    <v>1848</v>
    <v>1849</v>
    <v>966</v>
    <v>1850</v>
    <v>1851</v>
    <v>1852</v>
    <v>1853</v>
    <v>1866</v>
    <v>1867</v>
    <v>1074</v>
    <v>1868</v>
    <v>1869</v>
    <v>Luxembourg</v>
    <v>1870</v>
    <v>mdp/vdpid/147</v>
  </rv>
  <rv s="1">
    <fb>51.46</fb>
    <v>25</v>
  </rv>
  <rv s="2">
    <v>51</v>
    <v>22</v>
    <v>319</v>
    <v>7</v>
    <v>0</v>
    <v>Image of Luxembourg City</v>
  </rv>
  <rv s="1">
    <fb>49.610555555555997</fb>
    <v>37</v>
  </rv>
  <rv s="0">
    <v>805306368</v>
    <v>Lydie Polfer (Mayor)</v>
    <v>450611d6-dd7c-e51c-328a-98d818614afa</v>
    <v>en-IN</v>
    <v>Generic</v>
  </rv>
  <rv s="3">
    <v>98</v>
  </rv>
  <rv s="1">
    <fb>6.1327777777778003</fb>
    <v>37</v>
  </rv>
  <rv s="1">
    <fb>132780</fb>
    <v>25</v>
  </rv>
  <rv s="24">
    <v>#VALUE!</v>
    <v>en-IN</v>
    <v>387ae05a-dd15-f01c-07b2-097158a060ba</v>
    <v>536870912</v>
    <v>1</v>
    <v>320</v>
    <v>152</v>
    <v>Luxembourg City</v>
    <v>20</v>
    <v>21</v>
    <v>Map</v>
    <v>22</v>
    <v>235</v>
    <v>1860</v>
    <v>1872</v>
    <v>1818</v>
    <v>Luxembourg, also known as Luxembourg City, is the capital city of Luxembourg and the country's most populous commune. Standing at the confluence of the Alzette and Pétrusse rivers in southern Luxembourg, the city lies at the heart of Western ...</v>
    <v>1873</v>
    <v>1874</v>
    <v>1876</v>
    <v>1839</v>
    <v>1877</v>
    <v>Luxembourg City</v>
    <v>1878</v>
    <v>1074</v>
    <v>Luxembourg City</v>
    <v>mdp/vdpid/7014441827436593153</v>
  </rv>
  <rv s="2">
    <v>50</v>
    <v>22</v>
    <v>314</v>
    <v>3</v>
    <v>0</v>
    <v>Image of Luxembourg</v>
  </rv>
  <rv s="8">
    <v>en-IN</v>
    <v>avymr7</v>
    <v>268435456</v>
    <v>1</v>
    <v>Powered by Refinitiv</v>
    <v>42</v>
    <v>USD/DKK</v>
    <v>43</v>
    <v>321</v>
    <v>Finance</v>
    <v>45</v>
    <v>7.3297999999999996</v>
    <v>6.2624000000000004</v>
    <v>2.5000000000000001E-3</v>
    <v>3.8920000000000003E-4</v>
    <v>DKK</v>
    <v>USD</v>
    <v>6.4272999999999998</v>
    <v>Currency Pair</v>
    <v>45957.217731481483</v>
    <v>6.4127999999999998</v>
    <v>US Dollar/Danish Krone FX Spot Rate</v>
    <v>6.4237000000000002</v>
    <v>6.4233000000000002</v>
    <v>6.4257999999999997</v>
    <v>USDDKK</v>
    <v>USD/DKK</v>
  </rv>
  <rv s="9">
    <v>1881</v>
  </rv>
  <rv s="4">
    <v>https://www.bing.com/financeapi/forcetrigger?t=a1x8w7&amp;q=XNYS%3aMA&amp;form=skydnc</v>
    <v>Learn more on Bing</v>
  </rv>
  <rv s="10">
    <v>en-IN</v>
    <v>a1x8w7</v>
    <v>268435456</v>
    <v>1</v>
    <v>Powered by Refinitiv</v>
    <v>46</v>
    <v>MASTERCARD INCORPORATED. (XNYS:MA)</v>
    <v>47</v>
    <v>48</v>
    <v>Finance</v>
    <v>49</v>
    <v>601.77</v>
    <v>465.59</v>
    <v>0.92759999999999998</v>
    <v>-0.1</v>
    <v>2.493E-3</v>
    <v>-1.7430000000000001E-4</v>
    <v>1.43</v>
    <v>USD</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New York Stock Exchange</v>
    <v>XNYS</v>
    <v>XNYS</v>
    <v>2000 Purchase St, PURCHASE, NY, 10577 US</v>
    <v>580.82000000000005</v>
    <v>Software &amp; IT Services</v>
    <v>Stock</v>
    <v>45954.997747291403</v>
    <v>1883</v>
    <v>573.08000000000004</v>
    <v>516516200000</v>
    <v>MASTERCARD INCORPORATED.</v>
    <v>MASTERCARD INCORPORATED.</v>
    <v>577.24</v>
    <v>38.6877</v>
    <v>573.77</v>
    <v>573.66999999999996</v>
    <v>575.1</v>
    <v>904011800</v>
    <v>MA</v>
    <v>MASTERCARD INCORPORATED. (XNYS:MA)</v>
    <v>1839794</v>
    <v>2791056</v>
    <v>2001</v>
  </rv>
  <rv s="9">
    <v>1884</v>
  </rv>
  <rv s="0">
    <v>536870912</v>
    <v>Madagascar</v>
    <v>0c191888-e860-e654-dadd-811644d3a15d</v>
    <v>en-IN</v>
    <v>Map</v>
  </rv>
  <rv s="1">
    <fb>0.71184255757992398</fb>
    <v>24</v>
  </rv>
  <rv s="1">
    <fb>587295</fb>
    <v>25</v>
  </rv>
  <rv s="1">
    <fb>22000</fb>
    <v>25</v>
  </rv>
  <rv s="1">
    <fb>32.656999999999996</fb>
    <v>26</v>
  </rv>
  <rv s="1">
    <fb>261</fb>
    <v>27</v>
  </rv>
  <rv s="0">
    <v>536870912</v>
    <v>Antananarivo</v>
    <v>015e5356-1976-ff36-b4fa-949440dd65d5</v>
    <v>en-IN</v>
    <v>Map</v>
  </rv>
  <rv s="1">
    <fb>3905.355</fb>
    <v>25</v>
  </rv>
  <rv s="1">
    <fb>184.32973641733099</fb>
    <v>28</v>
  </rv>
  <rv s="1">
    <fb>5.6253057395435402E-2</fb>
    <v>24</v>
  </rv>
  <rv s="1">
    <fb>4.077</fb>
    <v>26</v>
  </rv>
  <rv s="1">
    <fb>0.21411137848057799</fb>
    <v>24</v>
  </rv>
  <rv s="1">
    <fb>14083906356.618</fb>
    <v>31</v>
  </rv>
  <rv s="1">
    <fb>1.4253427999999999</fb>
    <v>24</v>
  </rv>
  <rv s="1">
    <fb>5.3504899999999994E-2</fb>
    <v>24</v>
  </rv>
  <rv s="2">
    <v>52</v>
    <v>22</v>
    <v>323</v>
    <v>7</v>
    <v>0</v>
    <v>Image of Madagascar</v>
  </rv>
  <rv s="1">
    <fb>38.200000000000003</fb>
    <v>29</v>
  </rv>
  <rv s="0">
    <v>805306368</v>
    <v>Christian Ntsay (Prime minister)</v>
    <v>14d5c0ac-1a19-36a2-52dc-1855e475b986</v>
    <v>en-IN</v>
    <v>Generic</v>
  </rv>
  <rv s="3">
    <v>99</v>
  </rv>
  <rv s="4">
    <v>https://www.bing.com/search?q=madagascar&amp;form=skydnc</v>
    <v>Learn more on Bing</v>
  </rv>
  <rv s="1">
    <fb>66.680999999999997</fb>
    <v>29</v>
  </rv>
  <rv s="1">
    <fb>335</fb>
    <v>29</v>
  </rv>
  <rv s="1">
    <fb>0.21</fb>
    <v>30</v>
  </rv>
  <rv s="3">
    <v>100</v>
  </rv>
  <rv s="1">
    <fb>0.21660046290000001</fb>
    <v>24</v>
  </rv>
  <rv s="1">
    <fb>0.1812</fb>
    <v>26</v>
  </rv>
  <rv s="1">
    <fb>29611714</fb>
    <v>25</v>
  </rv>
  <rv s="1">
    <fb>0.20699999999999999</fb>
    <v>24</v>
  </rv>
  <rv s="1">
    <fb>0.33500000000000002</fb>
    <v>24</v>
  </rv>
  <rv s="1">
    <fb>0.49399999999999999</fb>
    <v>24</v>
  </rv>
  <rv s="1">
    <fb>2.2000000000000002E-2</fb>
    <v>24</v>
  </rv>
  <rv s="1">
    <fb>5.7000000000000002E-2</fb>
    <v>24</v>
  </rv>
  <rv s="1">
    <fb>0.1</fb>
    <v>24</v>
  </rv>
  <rv s="1">
    <fb>0.14099999999999999</fb>
    <v>24</v>
  </rv>
  <rv s="1">
    <fb>0.86126998901367202</fb>
    <v>24</v>
  </rv>
  <rv s="0">
    <v>536870912</v>
    <v>Antananarivo Province</v>
    <v>774a3ee9-5787-6ee7-6e63-7d86a1dfad3f</v>
    <v>en-IN</v>
    <v>Map</v>
  </rv>
  <rv s="0">
    <v>536870912</v>
    <v>Antsiranana Province</v>
    <v>44173606-a566-f68b-0721-d4fc912b69f0</v>
    <v>en-IN</v>
    <v>Map</v>
  </rv>
  <rv s="0">
    <v>536870912</v>
    <v>Fianarantsoa Province</v>
    <v>ef5ed46a-3d90-24e6-f03f-1328f7a8e283</v>
    <v>en-IN</v>
    <v>Map</v>
  </rv>
  <rv s="0">
    <v>536870912</v>
    <v>Mahajanga Province</v>
    <v>89db80b9-c4d6-de79-f49c-1ed17577f6e5</v>
    <v>en-IN</v>
    <v>Map</v>
  </rv>
  <rv s="0">
    <v>536870912</v>
    <v>Toamasina Province</v>
    <v>5ec8ab51-8059-2832-127d-24185cf6dbc1</v>
    <v>en-IN</v>
    <v>Map</v>
  </rv>
  <rv s="0">
    <v>536870912</v>
    <v>Toliara Province</v>
    <v>379e6f2e-26ba-3c7e-efc5-890c18372229</v>
    <v>en-IN</v>
    <v>Map</v>
  </rv>
  <rv s="3">
    <v>101</v>
  </rv>
  <rv s="1">
    <fb>0.102158473066606</fb>
    <v>24</v>
  </rv>
  <rv s="1">
    <fb>0.38299999999999995</fb>
    <v>24</v>
  </rv>
  <rv s="1">
    <fb>1.75800001621246E-2</fb>
    <v>32</v>
  </rv>
  <rv s="1">
    <fb>10210849</fb>
    <v>25</v>
  </rv>
  <rv s="36">
    <v>#VALUE!</v>
    <v>en-IN</v>
    <v>0c191888-e860-e654-dadd-811644d3a15d</v>
    <v>536870912</v>
    <v>1</v>
    <v>326</v>
    <v>231</v>
    <v>Madagascar</v>
    <v>20</v>
    <v>21</v>
    <v>Map</v>
    <v>22</v>
    <v>327</v>
    <v>MG</v>
    <v>1887</v>
    <v>1888</v>
    <v>1889</v>
    <v>1890</v>
    <v>1891</v>
    <v>1892</v>
    <v>1893</v>
    <v>1894</v>
    <v>1895</v>
    <v>MGA</v>
    <v>Madagascar, officially the Republic of Madagascar, is an island country lying off the southeastern coast of Africa. It is the world's fourth largest island, the second-largest island country and the 44th largest country in the world. Its capital ...</v>
    <v>1896</v>
    <v>1897</v>
    <v>629</v>
    <v>1898</v>
    <v>1899</v>
    <v>1900</v>
    <v>1901</v>
    <v>1902</v>
    <v>1892</v>
    <v>1904</v>
    <v>1905</v>
    <v>1906</v>
    <v>1907</v>
    <v>1908</v>
    <v>Madagascar</v>
    <v>Ry Tanindrazanay malala ô!</v>
    <v>1909</v>
    <v>Madagascar</v>
    <v>1910</v>
    <v>1911</v>
    <v>1912</v>
    <v>1913</v>
    <v>1914</v>
    <v>1915</v>
    <v>1916</v>
    <v>1917</v>
    <v>1918</v>
    <v>1919</v>
    <v>1920</v>
    <v>1927</v>
    <v>1928</v>
    <v>1929</v>
    <v>1930</v>
    <v>Madagascar</v>
    <v>1931</v>
    <v>mdp/vdpid/149</v>
  </rv>
  <rv s="1">
    <fb>88</fb>
    <v>25</v>
  </rv>
  <rv s="2">
    <v>53</v>
    <v>22</v>
    <v>329</v>
    <v>7</v>
    <v>0</v>
    <v>Image of Antananarivo</v>
  </rv>
  <rv s="1">
    <fb>-18.938611111111001</fb>
    <v>37</v>
  </rv>
  <rv s="3">
    <v>102</v>
  </rv>
  <rv s="4">
    <v>https://www.bing.com/search?q=antananarivo&amp;form=skydnc</v>
    <v>Learn more on Bing</v>
  </rv>
  <rv s="1">
    <fb>47.521388888889</fb>
    <v>37</v>
  </rv>
  <rv s="1">
    <fb>1275207</fb>
    <v>25</v>
  </rv>
  <rv s="22">
    <v>#VALUE!</v>
    <v>en-IN</v>
    <v>015e5356-1976-ff36-b4fa-949440dd65d5</v>
    <v>536870912</v>
    <v>1</v>
    <v>330</v>
    <v>131</v>
    <v>Antananarivo</v>
    <v>20</v>
    <v>21</v>
    <v>Map</v>
    <v>22</v>
    <v>41</v>
    <v>1933</v>
    <v>1886</v>
    <v>Antananarivo, also known by its colonial shorthand form Tana, is the capital and largest city of Madagascar. The administrative area of the city, known as Antananarivo-Renivohitra, is the capital of Analamanga region. The city sits at 1,280 m ...</v>
    <v>1934</v>
    <v>1935</v>
    <v>1936</v>
    <v>1937</v>
    <v>1938</v>
    <v>Antananarivo</v>
    <v>1939</v>
    <v>Antananarivo</v>
    <v>mdp/vdpid/8237573476349640705</v>
  </rv>
  <rv s="2">
    <v>52</v>
    <v>22</v>
    <v>323</v>
    <v>3</v>
    <v>0</v>
    <v>Image of Madagascar</v>
  </rv>
  <rv s="8">
    <v>en-IN</v>
    <v>av79ec</v>
    <v>268435456</v>
    <v>1</v>
    <v>Powered by Refinitiv</v>
    <v>42</v>
    <v>DKK/USD</v>
    <v>43</v>
    <v>62</v>
    <v>Finance</v>
    <v>45</v>
    <v>0.15970000000000001</v>
    <v>0.13639999999999999</v>
    <v>-1E-4</v>
    <v>-6.4229999999999995E-4</v>
    <v>USD</v>
    <v>DKK</v>
    <v>0.15590000000000001</v>
    <v>Currency Pair</v>
    <v>45957.21770833333</v>
    <v>0.15559999999999999</v>
    <v>Danish Krone/US Dollar FX Cross Rate</v>
    <v>0.15559999999999999</v>
    <v>0.15570000000000001</v>
    <v>0.15559999999999999</v>
    <v>DKKUSD</v>
    <v>DKK/USD</v>
  </rv>
  <rv s="9">
    <v>1942</v>
  </rv>
  <rv s="4">
    <v>https://www.bing.com/financeapi/forcetrigger?t=a1qlz2&amp;q=XNYS%3aCVX&amp;form=skydnc</v>
    <v>Learn more on Bing</v>
  </rv>
  <rv s="10">
    <v>en-IN</v>
    <v>a1qlz2</v>
    <v>268435456</v>
    <v>1</v>
    <v>Powered by Refinitiv</v>
    <v>46</v>
    <v>CHEVRON CORPORATION (XNYS:CVX)</v>
    <v>47</v>
    <v>48</v>
    <v>Finance</v>
    <v>49</v>
    <v>168.96</v>
    <v>132.04</v>
    <v>0.80759999999999998</v>
    <v>-1</v>
    <v>1.2210000000000001E-3</v>
    <v>-6.3870000000000003E-3</v>
    <v>0.19</v>
    <v>USD</v>
    <v>Chevron Corporation is an integrated energy company. The Company produces crude oil and natural gas; manufactures transportation fuels, lubricants, petrochemicals and additives; and develops technologies that enhance its business and industry. The Company’s segments include Upstream and Downstream. Upstream operations consist primarily of exploring for, developing, producing and transporting crude oil and natural gas; liquefaction, transportation and regasification associated with LNG; transporting crude oil by major international oil export pipelines; processing, transporting, storage and marketing of natural gas; carbon capture and storage; and a gas-to-liquids plant. Downstream operations consist primarily of the refining of crude oil into petroleum products; marketing crude oil, refined products, and lubricants; manufacturing and marketing of renewable fuels, and transporting of crude oil and refined products by pipeline, marine vessel, motor equipment and rail car.</v>
    <v>45298</v>
    <v>New York Stock Exchange</v>
    <v>XNYS</v>
    <v>XNYS</v>
    <v>1400 SMITH STREET, HOUSTON, TX, 77002 US</v>
    <v>157.62899999999999</v>
    <v>Oil &amp; Gas</v>
    <v>Stock</v>
    <v>45954.995963193753</v>
    <v>1944</v>
    <v>155.42699999999999</v>
    <v>318513100000</v>
    <v>CHEVRON CORPORATION</v>
    <v>CHEVRON CORPORATION</v>
    <v>157.41499999999999</v>
    <v>20.081499999999998</v>
    <v>156.56</v>
    <v>155.56</v>
    <v>155.75</v>
    <v>2047394000</v>
    <v>CVX</v>
    <v>CHEVRON CORPORATION (XNYS:CVX)</v>
    <v>4979941</v>
    <v>7015912</v>
    <v>1926</v>
  </rv>
  <rv s="9">
    <v>1945</v>
  </rv>
  <rv s="0">
    <v>536870912</v>
    <v>Malawi</v>
    <v>ea88d001-8d7b-94df-0326-28dd7c25ee20</v>
    <v>en-IN</v>
    <v>Map</v>
  </rv>
  <rv s="1">
    <fb>0.61412812897751401</fb>
    <v>24</v>
  </rv>
  <rv s="1">
    <fb>118484</fb>
    <v>25</v>
  </rv>
  <rv s="1">
    <fb>15000</fb>
    <v>25</v>
  </rv>
  <rv s="1">
    <fb>34.118000000000002</fb>
    <v>26</v>
  </rv>
  <rv s="1">
    <fb>265</fb>
    <v>27</v>
  </rv>
  <rv s="0">
    <v>536870912</v>
    <v>Lilongwe</v>
    <v>8ee8ebd1-3df0-a3b5-3d70-d8e0924b7ca7</v>
    <v>en-IN</v>
    <v>Map</v>
  </rv>
  <rv s="1">
    <fb>1298.1179999999999</fb>
    <v>25</v>
  </rv>
  <rv s="1">
    <fb>418.344325525805</fb>
    <v>28</v>
  </rv>
  <rv s="1">
    <fb>9.3708360560567208E-2</fb>
    <v>24</v>
  </rv>
  <rv s="1">
    <fb>4.2089999999999996</fb>
    <v>26</v>
  </rv>
  <rv s="1">
    <fb>0.33188375053033503</fb>
    <v>24</v>
  </rv>
  <rv s="1">
    <fb>1.1499999999999999</fb>
    <v>30</v>
  </rv>
  <rv s="1">
    <fb>7666704427.0091496</fb>
    <v>31</v>
  </rv>
  <rv s="1">
    <fb>1.4245782</fb>
    <v>24</v>
  </rv>
  <rv s="1">
    <fb>8.2387999999999992E-3</fb>
    <v>24</v>
  </rv>
  <rv s="2">
    <v>54</v>
    <v>22</v>
    <v>332</v>
    <v>7</v>
    <v>0</v>
    <v>Image of Malawi</v>
  </rv>
  <rv s="1">
    <fb>35.299999999999997</fb>
    <v>29</v>
  </rv>
  <rv s="0">
    <v>805306368</v>
    <v>Lazarus Chakwera (President)</v>
    <v>2b4828a1-f25e-45e7-bf10-4254523d3be3</v>
    <v>en-IN</v>
    <v>Generic</v>
  </rv>
  <rv s="0">
    <v>805306368</v>
    <v>Saulos Chilima (Vice president)</v>
    <v>bc64f388-411a-60df-c616-17ecdbdac80b</v>
    <v>en-IN</v>
    <v>Generic</v>
  </rv>
  <rv s="0">
    <v>805306368</v>
    <v>Catherine Gotani Hara (Speaker)</v>
    <v>c82e6d66-5ae1-9d19-d56a-2d0e43d47b7e</v>
    <v>en-IN</v>
    <v>Generic</v>
  </rv>
  <rv s="0">
    <v>805306368</v>
    <v>Rizine Mzikamanda (Chief justice)</v>
    <v>1a5d8e52-6806-3541-454f-2de01bcc12f6</v>
    <v>en-IN</v>
    <v>Generic</v>
  </rv>
  <rv s="3">
    <v>103</v>
  </rv>
  <rv s="4">
    <v>https://www.bing.com/search?q=malawi&amp;form=skydnc</v>
    <v>Learn more on Bing</v>
  </rv>
  <rv s="1">
    <fb>63.798000000000002</fb>
    <v>29</v>
  </rv>
  <rv s="1">
    <fb>349</fb>
    <v>29</v>
  </rv>
  <rv s="1">
    <fb>0.12</fb>
    <v>30</v>
  </rv>
  <rv s="3">
    <v>104</v>
  </rv>
  <rv s="1">
    <fb>0.10981896049999999</fb>
    <v>24</v>
  </rv>
  <rv s="1">
    <fb>3.5799999999999998E-2</fb>
    <v>26</v>
  </rv>
  <rv s="1">
    <fb>20405317</fb>
    <v>25</v>
  </rv>
  <rv s="1">
    <fb>0.188</fb>
    <v>24</v>
  </rv>
  <rv s="1">
    <fb>0.51700000000000002</fb>
    <v>24</v>
  </rv>
  <rv s="1">
    <fb>6.4000000000000001E-2</fb>
    <v>24</v>
  </rv>
  <rv s="1">
    <fb>0.13300000000000001</fb>
    <v>24</v>
  </rv>
  <rv s="1">
    <fb>0.76718002319335898</fb>
    <v>24</v>
  </rv>
  <rv s="1">
    <fb>0.17253667002529302</fb>
    <v>24</v>
  </rv>
  <rv s="1">
    <fb>0.34499999999999997</fb>
    <v>24</v>
  </rv>
  <rv s="1">
    <fb>5.6529998779296903E-2</fb>
    <v>32</v>
  </rv>
  <rv s="1">
    <fb>3199301</fb>
    <v>25</v>
  </rv>
  <rv s="45">
    <v>#VALUE!</v>
    <v>en-IN</v>
    <v>ea88d001-8d7b-94df-0326-28dd7c25ee20</v>
    <v>536870912</v>
    <v>1</v>
    <v>335</v>
    <v>336</v>
    <v>Malawi</v>
    <v>20</v>
    <v>21</v>
    <v>Map</v>
    <v>22</v>
    <v>337</v>
    <v>MW</v>
    <v>1948</v>
    <v>1949</v>
    <v>1950</v>
    <v>1951</v>
    <v>1952</v>
    <v>1953</v>
    <v>1954</v>
    <v>1955</v>
    <v>1956</v>
    <v>MWK</v>
    <v>Malawi, officially the Republic of Malawi and formerly known as Nyasaland, is a landlocked country in Southeastern Africa. It is bordered by Zambia to the west, Tanzania to the north and northeast, and Mozambique to the east, south and ...</v>
    <v>1957</v>
    <v>1958</v>
    <v>1959</v>
    <v>1960</v>
    <v>1961</v>
    <v>1962</v>
    <v>1963</v>
    <v>1964</v>
    <v>1953</v>
    <v>1969</v>
    <v>1970</v>
    <v>1971</v>
    <v>1972</v>
    <v>1973</v>
    <v>Malawi</v>
    <v>Mlungu dalitsani Malaŵi</v>
    <v>1974</v>
    <v>Malawi</v>
    <v>1975</v>
    <v>1976</v>
    <v>1977</v>
    <v>1978</v>
    <v>1408</v>
    <v>1979</v>
    <v>1022</v>
    <v>1980</v>
    <v>890</v>
    <v>1981</v>
    <v>1982</v>
    <v>1983</v>
    <v>1984</v>
    <v>1985</v>
    <v>Malawi</v>
    <v>1986</v>
    <v>mdp/vdpid/156</v>
  </rv>
  <rv s="0">
    <v>536870912</v>
    <v>Lilongwe District</v>
    <v>3b047900-bd42-62a8-0f08-596786ad2883</v>
    <v>en-IN</v>
    <v>Map</v>
  </rv>
  <rv s="1">
    <fb>727.79</fb>
    <v>25</v>
  </rv>
  <rv s="2">
    <v>55</v>
    <v>22</v>
    <v>338</v>
    <v>7</v>
    <v>0</v>
    <v>Image of Lilongwe</v>
  </rv>
  <rv s="1">
    <fb>-13.983333333333</fb>
    <v>37</v>
  </rv>
  <rv s="0">
    <v>805306368</v>
    <v>Juliana Kaduya (Mayor)</v>
    <v>7a409344-59e7-50a5-d3ab-00f55b66d732</v>
    <v>en-IN</v>
    <v>Generic</v>
  </rv>
  <rv s="3">
    <v>105</v>
  </rv>
  <rv s="4">
    <v>https://www.bing.com/search?q=lilongwe&amp;form=skydnc</v>
    <v>Learn more on Bing</v>
  </rv>
  <rv s="1">
    <fb>33.783333333332997</fb>
    <v>37</v>
  </rv>
  <rv s="1">
    <fb>989318</fb>
    <v>25</v>
  </rv>
  <rv s="46">
    <v>#VALUE!</v>
    <v>en-IN</v>
    <v>8ee8ebd1-3df0-a3b5-3d70-d8e0924b7ca7</v>
    <v>536870912</v>
    <v>1</v>
    <v>339</v>
    <v>340</v>
    <v>Lilongwe</v>
    <v>20</v>
    <v>21</v>
    <v>Map</v>
    <v>22</v>
    <v>41</v>
    <v>1988</v>
    <v>1989</v>
    <v>1947</v>
    <v>Lilongwe is the capital and most populated city of the African country of Malawi. It has a population of 989,318 as of the 2018 Census, up from a population of 674,448 in 2008. In 2020 that figure was 1,122,000. The city is located in the ...</v>
    <v>1990</v>
    <v>1991</v>
    <v>1993</v>
    <v>1994</v>
    <v>1995</v>
    <v>Lilongwe</v>
    <v>1996</v>
    <v>Lilongwe</v>
    <v>mdp/vdpid/8133871835440742401</v>
  </rv>
  <rv s="2">
    <v>54</v>
    <v>22</v>
    <v>332</v>
    <v>3</v>
    <v>0</v>
    <v>Image of Malawi</v>
  </rv>
  <rv s="4">
    <v>http://en.wikipedia.org/wiki/Qualcomm</v>
    <v>Wikipedia</v>
  </rv>
  <rv s="16">
    <v>460</v>
    <v>1999</v>
  </rv>
  <rv s="17">
    <v>99</v>
    <v>https://www.bing.com/th?id=AMMS_2b1c176dae370ecc0d55a1517537f595&amp;qlt=95</v>
    <v>2000</v>
    <v>0</v>
    <v>https://www.bing.com/images/search?form=xlimg&amp;q=qualcomm</v>
    <v>Image of QUALCOMM INCORPORATED</v>
  </rv>
  <rv s="4">
    <v>https://www.bing.com/financeapi/forcetrigger?t=a21k2w&amp;q=XNAS%3aQCOM&amp;form=skydnc</v>
    <v>Learn more on Bing</v>
  </rv>
  <rv s="18">
    <v>en-IN</v>
    <v>a21k2w</v>
    <v>268435456</v>
    <v>1</v>
    <v>Powered by Refinitiv</v>
    <v>95</v>
    <v>QUALCOMM INCORPORATED (XNAS:QCOM)</v>
    <v>97</v>
    <v>98</v>
    <v>Finance</v>
    <v>49</v>
    <v>182.1</v>
    <v>120.8019</v>
    <v>1.2559</v>
    <v>-1.0900000000000001</v>
    <v>9.4709999999999998E-4</v>
    <v>-6.411E-3</v>
    <v>0.16</v>
    <v>USD</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49000</v>
    <v>Nasdaq Stock Market</v>
    <v>XNAS</v>
    <v>XNAS</v>
    <v>5775 Morehouse Drive, SAN DIEGO, CA, 92121 US</v>
    <v>172.42</v>
    <v>2001</v>
    <v>Semiconductors &amp; Semiconductor Equipment</v>
    <v>Stock</v>
    <v>45954.998765022654</v>
    <v>2002</v>
    <v>168.47</v>
    <v>182439200000</v>
    <v>QUALCOMM INCORPORATED</v>
    <v>QUALCOMM INCORPORATED</v>
    <v>171.69</v>
    <v>16.304300000000001</v>
    <v>170.03</v>
    <v>168.94</v>
    <v>169.1</v>
    <v>1077800000</v>
    <v>QCOM</v>
    <v>QUALCOMM INCORPORATED (XNAS:QCOM)</v>
    <v>6255987</v>
    <v>7858908</v>
    <v>1991</v>
  </rv>
  <rv s="9">
    <v>2003</v>
  </rv>
  <rv s="0">
    <v>536870912</v>
    <v>Malaysia</v>
    <v>b3abad47-1313-e000-0d95-f77f69e2fcdd</v>
    <v>en-IN</v>
    <v>Map</v>
  </rv>
  <rv s="1">
    <fb>0.262577994217014</fb>
    <v>24</v>
  </rv>
  <rv s="1">
    <fb>330803</fb>
    <v>25</v>
  </rv>
  <rv s="1">
    <fb>136000</fb>
    <v>25</v>
  </rv>
  <rv s="1">
    <fb>16.751999999999999</fb>
    <v>26</v>
  </rv>
  <rv s="1">
    <fb>60</fb>
    <v>27</v>
  </rv>
  <rv s="0">
    <v>536870912</v>
    <v>Kuala Lumpur</v>
    <v>22f00b26-6726-bd5c-180f-3ff38ae380f3</v>
    <v>en-IN</v>
    <v>Map</v>
  </rv>
  <rv s="1">
    <fb>248288.90299999999</fb>
    <v>25</v>
  </rv>
  <rv s="1">
    <fb>121.463089485086</fb>
    <v>28</v>
  </rv>
  <rv s="1">
    <fb>6.6289186576437599E-3</fb>
    <v>24</v>
  </rv>
  <rv s="1">
    <fb>4651.9587341816004</fb>
    <v>25</v>
  </rv>
  <rv s="1">
    <fb>2.0009999999999999</fb>
    <v>26</v>
  </rv>
  <rv s="1">
    <fb>0.67597623554253505</fb>
    <v>24</v>
  </rv>
  <rv s="1">
    <fb>96.628198897808105</fb>
    <v>29</v>
  </rv>
  <rv s="1">
    <fb>0.45</fb>
    <v>30</v>
  </rv>
  <rv s="1">
    <fb>364701517787.84399</fb>
    <v>31</v>
  </rv>
  <rv s="1">
    <fb>1.052916</fb>
    <v>24</v>
  </rv>
  <rv s="1">
    <fb>0.45125390000000004</fb>
    <v>24</v>
  </rv>
  <rv s="2">
    <v>56</v>
    <v>22</v>
    <v>342</v>
    <v>7</v>
    <v>0</v>
    <v>Image of Malaysia</v>
  </rv>
  <rv s="0">
    <v>805306368</v>
    <v>Abdullah of Pahang (Monarch)</v>
    <v>6a422b48-a7d4-e27a-b096-ef9fbb32091f</v>
    <v>en-IN</v>
    <v>Generic</v>
  </rv>
  <rv s="0">
    <v>805306368</v>
    <v>Anwar Ibrahim (Prime minister)</v>
    <v>f9e60a62-71ef-3f6b-17a3-8c09746c314e</v>
    <v>en-IN</v>
    <v>Generic</v>
  </rv>
  <rv s="0">
    <v>805306368</v>
    <v>Tengku Maimun Tuan Mat (Chief justice)</v>
    <v>8e31488f-7ea5-088d-7464-18cb11f0e5e1</v>
    <v>en-IN</v>
    <v>Generic</v>
  </rv>
  <rv s="3">
    <v>106</v>
  </rv>
  <rv s="4">
    <v>https://www.bing.com/search?q=malaysia&amp;form=skydnc</v>
    <v>Learn more on Bing</v>
  </rv>
  <rv s="1">
    <fb>75.997</fb>
    <v>29</v>
  </rv>
  <rv s="1">
    <fb>403957380000</fb>
    <v>31</v>
  </rv>
  <rv s="3">
    <v>107</v>
  </rv>
  <rv s="1">
    <fb>0.36668219639999999</fb>
    <v>24</v>
  </rv>
  <rv s="1">
    <fb>1.5132000000000001</fb>
    <v>26</v>
  </rv>
  <rv s="1">
    <fb>33938221</fb>
    <v>25</v>
  </rv>
  <rv s="1">
    <fb>5.7999999999999996E-2</fb>
    <v>24</v>
  </rv>
  <rv s="1">
    <fb>0.10099999999999999</fb>
    <v>24</v>
  </rv>
  <rv s="1">
    <fb>0.64289001464843809</fb>
    <v>24</v>
  </rv>
  <rv s="0">
    <v>536870912</v>
    <v>Johor</v>
    <v>592580f7-38da-e7c1-18ba-b603c80b3d69</v>
    <v>en-IN</v>
    <v>Map</v>
  </rv>
  <rv s="0">
    <v>536870912</v>
    <v>Kedah</v>
    <v>1ad802ca-b889-4b0f-9d8c-d335fad09909</v>
    <v>en-IN</v>
    <v>Map</v>
  </rv>
  <rv s="0">
    <v>536870912</v>
    <v>Kelantan</v>
    <v>4ce27f56-2eb0-d77a-ba8c-f8a03a225785</v>
    <v>en-IN</v>
    <v>Map</v>
  </rv>
  <rv s="0">
    <v>536870912</v>
    <v>Malacca</v>
    <v>44a9355d-c135-72b5-fc60-4291a89e003e</v>
    <v>en-IN</v>
    <v>Map</v>
  </rv>
  <rv s="0">
    <v>536870912</v>
    <v>Negeri Sembilan</v>
    <v>db3e30e6-d597-cb37-b5d7-d3dd4e8b5d00</v>
    <v>en-IN</v>
    <v>Map</v>
  </rv>
  <rv s="0">
    <v>536870912</v>
    <v>Pahang</v>
    <v>829da6d6-c70a-85d9-8d5d-b70db574854d</v>
    <v>en-IN</v>
    <v>Map</v>
  </rv>
  <rv s="0">
    <v>536870912</v>
    <v>Perak</v>
    <v>6ca4b1a2-6a13-0976-d0f4-e53c93091316</v>
    <v>en-IN</v>
    <v>Map</v>
  </rv>
  <rv s="0">
    <v>536870912</v>
    <v>Perlis</v>
    <v>671c3535-7aad-076b-5860-99706390b32b</v>
    <v>en-IN</v>
    <v>Map</v>
  </rv>
  <rv s="0">
    <v>536870912</v>
    <v>Penang</v>
    <v>bf464054-864b-9148-4d71-cc74f94e1588</v>
    <v>en-IN</v>
    <v>Map</v>
  </rv>
  <rv s="0">
    <v>536870912</v>
    <v>Sabah</v>
    <v>6441d726-276d-e074-b446-2e6612c2e9e2</v>
    <v>en-IN</v>
    <v>Map</v>
  </rv>
  <rv s="0">
    <v>536870912</v>
    <v>Sarawak</v>
    <v>dce6889b-8572-6739-b867-e448e9f0fc11</v>
    <v>en-IN</v>
    <v>Map</v>
  </rv>
  <rv s="0">
    <v>536870912</v>
    <v>Selangor</v>
    <v>c58b8d2f-8526-6b7e-ae27-d302d98eb422</v>
    <v>en-IN</v>
    <v>Map</v>
  </rv>
  <rv s="0">
    <v>536870912</v>
    <v>Terengganu</v>
    <v>4c426c92-33a4-e12c-382a-d84a8509dfa2</v>
    <v>en-IN</v>
    <v>Map</v>
  </rv>
  <rv s="0">
    <v>536870912</v>
    <v>Labuan</v>
    <v>c205ca77-748f-befb-6130-2a7a0eb87dbc</v>
    <v>en-IN</v>
    <v>Map</v>
  </rv>
  <rv s="0">
    <v>536870912</v>
    <v>Putrajaya</v>
    <v>703ccf1a-052c-03ee-0599-1ef25799d8dc</v>
    <v>en-IN</v>
    <v>Map</v>
  </rv>
  <rv s="3">
    <v>108</v>
  </rv>
  <rv s="1">
    <fb>0.12029692391138701</fb>
    <v>24</v>
  </rv>
  <rv s="1">
    <fb>0.38700000000000001</fb>
    <v>24</v>
  </rv>
  <rv s="1">
    <fb>3.32399988174438E-2</fb>
    <v>32</v>
  </rv>
  <rv s="1">
    <fb>24475766</fb>
    <v>25</v>
  </rv>
  <rv s="19">
    <v>#VALUE!</v>
    <v>en-IN</v>
    <v>b3abad47-1313-e000-0d95-f77f69e2fcdd</v>
    <v>536870912</v>
    <v>1</v>
    <v>345</v>
    <v>105</v>
    <v>Malaysia</v>
    <v>20</v>
    <v>21</v>
    <v>Map</v>
    <v>22</v>
    <v>346</v>
    <v>MY</v>
    <v>2006</v>
    <v>2007</v>
    <v>2008</v>
    <v>2009</v>
    <v>2010</v>
    <v>2011</v>
    <v>2012</v>
    <v>2013</v>
    <v>2014</v>
    <v>MYR</v>
    <v>Malaysia is a country in Southeast Asia. The federal constitutional monarchy consists of 13 states and three federal territories, separated by the South China Sea into two regions: Peninsular Malaysia and Borneo's East Malaysia. Peninsular ...</v>
    <v>2015</v>
    <v>2016</v>
    <v>2017</v>
    <v>2018</v>
    <v>2019</v>
    <v>2020</v>
    <v>2021</v>
    <v>2022</v>
    <v>2023</v>
    <v>1101</v>
    <v>2011</v>
    <v>2027</v>
    <v>2028</v>
    <v>2029</v>
    <v>2030</v>
    <v>1452</v>
    <v>1213</v>
    <v>Malaysia</v>
    <v>Negaraku</v>
    <v>2031</v>
    <v>Malaysia</v>
    <v>2032</v>
    <v>2033</v>
    <v>2034</v>
    <v>409</v>
    <v>236</v>
    <v>237</v>
    <v>238</v>
    <v>2035</v>
    <v>2036</v>
    <v>241</v>
    <v>2037</v>
    <v>2053</v>
    <v>2054</v>
    <v>2055</v>
    <v>2056</v>
    <v>Malaysia</v>
    <v>2057</v>
    <v>mdp/vdpid/167</v>
  </rv>
  <rv s="1">
    <fb>243.65</fb>
    <v>25</v>
  </rv>
  <rv s="2">
    <v>57</v>
    <v>22</v>
    <v>347</v>
    <v>7</v>
    <v>0</v>
    <v>Image of Kuala Lumpur</v>
  </rv>
  <rv s="0">
    <v>805306368</v>
    <v>Kamarulzaman Mat Salleh (Mayor)</v>
    <v>bd564dda-135e-4a78-6dd2-67da491d4ae0</v>
    <v>en-IN</v>
    <v>Generic</v>
  </rv>
  <rv s="3">
    <v>109</v>
  </rv>
  <rv s="4">
    <v>https://www.bing.com/search?q=kuala+lumpur&amp;form=skydnc</v>
    <v>Learn more on Bing</v>
  </rv>
  <rv s="3">
    <v>110</v>
  </rv>
  <rv s="1">
    <fb>1982100</fb>
    <v>25</v>
  </rv>
  <rv s="43">
    <v>#VALUE!</v>
    <v>en-IN</v>
    <v>22f00b26-6726-bd5c-180f-3ff38ae380f3</v>
    <v>536870912</v>
    <v>1</v>
    <v>349</v>
    <v>299</v>
    <v>Kuala Lumpur</v>
    <v>20</v>
    <v>21</v>
    <v>Map</v>
    <v>22</v>
    <v>189</v>
    <v>MY-14</v>
    <v>2059</v>
    <v>2005</v>
    <v>Kuala Lumpur, officially the Federal Territory of Kuala Lumpur and colloquially referred to as KL, is a federal territory and the capital city of Malaysia. It is one of the fastest-growing cities in Asia and the largest city in Malaysia, ...</v>
    <v>2060</v>
    <v>2062</v>
    <v>2063</v>
    <v>Kuala Lumpur</v>
    <v>2064</v>
    <v>2065</v>
    <v>Kuala Lumpur</v>
    <v>mdp/vdpid/7886181754984202244</v>
  </rv>
  <rv s="2">
    <v>56</v>
    <v>22</v>
    <v>342</v>
    <v>3</v>
    <v>0</v>
    <v>Image of Malaysia</v>
  </rv>
  <rv s="4">
    <v>https://www.bing.com/financeapi/forcetrigger?t=ajmhrw&amp;q=XKRX%3a000270&amp;form=skydnc</v>
    <v>Learn more on Bing</v>
  </rv>
  <rv s="31">
    <v>en-IN</v>
    <v>ajmhrw</v>
    <v>268435456</v>
    <v>1</v>
    <v>Powered by Refinitiv</v>
    <v>199</v>
    <v>KIA CORPORATION (XKRX:000270)</v>
    <v>47</v>
    <v>350</v>
    <v>Finance</v>
    <v>351</v>
    <v>119800</v>
    <v>81300</v>
    <v>0.76770000000000005</v>
    <v>100</v>
    <v>8.7029999999999996E-4</v>
    <v>KRW</v>
    <v>Kia Corp, formerly Kia Motors Corp, is a Korea-based company principally engaged in the manufacturing and distribution of automobiles. The Company's products include passenger vehicles, recreational vehicles (RVs), taxi, bus, commercial vehicles as well as hybrid vehicles under the brand names of K3, K5, K7, K9, Soul, Sedona, Sorento, Sportage and others. In addition, the Company also engaged in the manufacturing of automobile components, as well as prevision of rental and maintenance services. The Company sells its products in domestic and overseas market such as North America, Europe and other Asian countries.</v>
    <v>51357</v>
    <v>Korea Stock Exchange</v>
    <v>XKRX</v>
    <v>XKRX</v>
    <v>12, Heolleung-ro, Seocho-gu, SEOUL, SEOUL, 06797 KR</v>
    <v>117500</v>
    <v>Automobiles &amp; Auto Parts</v>
    <v>Stock</v>
    <v>45957.203897198437</v>
    <v>2068</v>
    <v>114800</v>
    <v>46506510000000</v>
    <v>KIA CORPORATION</v>
    <v>KIA CORPORATION</v>
    <v>115400</v>
    <v>5.2023000000000001</v>
    <v>114900</v>
    <v>115000</v>
    <v>393789300</v>
    <v>000270</v>
    <v>KIA CORPORATION (XKRX:000270)</v>
    <v>588298</v>
    <v>1214480</v>
    <v>1944</v>
  </rv>
  <rv s="9">
    <v>2069</v>
  </rv>
  <rv s="0">
    <v>536870912</v>
    <v>Maldives</v>
    <v>a47c2484-27b2-60d1-e810-f71acf7773f2</v>
    <v>en-IN</v>
    <v>Map</v>
  </rv>
  <rv s="1">
    <fb>0.263333336512248</fb>
    <v>24</v>
  </rv>
  <rv s="1">
    <fb>298</fb>
    <v>25</v>
  </rv>
  <rv s="1">
    <fb>5000</fb>
    <v>25</v>
  </rv>
  <rv s="1">
    <fb>14.199</fb>
    <v>26</v>
  </rv>
  <rv s="1">
    <fb>960</fb>
    <v>27</v>
  </rv>
  <rv s="0">
    <v>536870912</v>
    <v>Malé</v>
    <v>8e679ccb-a0ba-c3fc-88e7-d8c9892b6366</v>
    <v>en-IN</v>
    <v>Map</v>
  </rv>
  <rv s="1">
    <fb>1444.798</fb>
    <v>25</v>
  </rv>
  <rv s="1">
    <fb>99.704026856120294</fb>
    <v>28</v>
  </rv>
  <rv s="1">
    <fb>2.2002973106540801E-3</fb>
    <v>24</v>
  </rv>
  <rv s="1">
    <fb>1.87</fb>
    <v>26</v>
  </rv>
  <rv s="1">
    <fb>3.3333333333333298E-2</fb>
    <v>24</v>
  </rv>
  <rv s="1">
    <fb>1.63</fb>
    <v>30</v>
  </rv>
  <rv s="1">
    <fb>5729248472.2402802</fb>
    <v>31</v>
  </rv>
  <rv s="1">
    <fb>0.97109800000000002</fb>
    <v>24</v>
  </rv>
  <rv s="1">
    <fb>0.31223590000000001</fb>
    <v>24</v>
  </rv>
  <rv s="2">
    <v>58</v>
    <v>22</v>
    <v>353</v>
    <v>7</v>
    <v>0</v>
    <v>Image of Maldives</v>
  </rv>
  <rv s="1">
    <fb>7.4</fb>
    <v>29</v>
  </rv>
  <rv s="0">
    <v>805306368</v>
    <v>Ibrahim Mohamed Solih (President)</v>
    <v>f32a8c97-5047-a0bd-683a-7e19d7ec7dc7</v>
    <v>en-IN</v>
    <v>Generic</v>
  </rv>
  <rv s="0">
    <v>805306368</v>
    <v>Faisal Naseem (Vice president)</v>
    <v>c2712549-86d7-dad6-a79f-eb61d966ebcd</v>
    <v>en-IN</v>
    <v>Generic</v>
  </rv>
  <rv s="0">
    <v>805306368</v>
    <v>Ahmed Muthasim Adnan (Chief justice)</v>
    <v>30d1a91b-102d-9a61-9b29-f0e960a53632</v>
    <v>en-IN</v>
    <v>Generic</v>
  </rv>
  <rv s="3">
    <v>111</v>
  </rv>
  <rv s="4">
    <v>https://www.bing.com/search?q=maldives&amp;form=skydnc</v>
    <v>Learn more on Bing</v>
  </rv>
  <rv s="1">
    <fb>78.626999999999995</fb>
    <v>29</v>
  </rv>
  <rv s="1">
    <fb>53</fb>
    <v>29</v>
  </rv>
  <rv s="3">
    <v>112</v>
  </rv>
  <rv s="1">
    <fb>0.1635462211</fb>
    <v>24</v>
  </rv>
  <rv s="1">
    <fb>4.5627000000000004</fb>
    <v>26</v>
  </rv>
  <rv s="1">
    <fb>523787</fb>
    <v>25</v>
  </rv>
  <rv s="1">
    <fb>0.222</fb>
    <v>24</v>
  </rv>
  <rv s="1">
    <fb>0.252</fb>
    <v>24</v>
  </rv>
  <rv s="1">
    <fb>0.39799999999999996</fb>
    <v>24</v>
  </rv>
  <rv s="1">
    <fb>3.4000000000000002E-2</fb>
    <v>24</v>
  </rv>
  <rv s="1">
    <fb>8.3000000000000004E-2</fb>
    <v>24</v>
  </rv>
  <rv s="1">
    <fb>0.129</fb>
    <v>24</v>
  </rv>
  <rv s="1">
    <fb>0.69790000915527306</fb>
    <v>24</v>
  </rv>
  <rv s="0">
    <v>536870912</v>
    <v>Haa Alif Atoll</v>
    <v>e587c9a7-de71-ac9a-8b51-1ccb14336103</v>
    <v>en-IN</v>
    <v>Map</v>
  </rv>
  <rv s="0">
    <v>536870912</v>
    <v>Haa Dhaalu Atoll</v>
    <v>2639ad78-525a-a7fd-64aa-278cf29fe942</v>
    <v>en-IN</v>
    <v>Map</v>
  </rv>
  <rv s="0">
    <v>536870912</v>
    <v>Shaviyani Atoll</v>
    <v>055ea66e-3b47-6db2-72d6-ac6cd5d12e1a</v>
    <v>en-IN</v>
    <v>Map</v>
  </rv>
  <rv s="0">
    <v>536870912</v>
    <v>Noonu Atoll</v>
    <v>350d6475-a673-d90b-7d56-dd7a82114b0e</v>
    <v>en-IN</v>
    <v>Map</v>
  </rv>
  <rv s="0">
    <v>536870912</v>
    <v>Raa Atoll</v>
    <v>629efca5-ab3c-aac8-0a85-b56537c4388f</v>
    <v>en-IN</v>
    <v>Map</v>
  </rv>
  <rv s="0">
    <v>536870912</v>
    <v>Baa Atoll</v>
    <v>484c426b-22df-08ea-3681-9c0c568d8b57</v>
    <v>en-IN</v>
    <v>Map</v>
  </rv>
  <rv s="0">
    <v>536870912</v>
    <v>Lhaviyani Atoll</v>
    <v>8d502c15-79a8-cede-d5a3-08da355b4bd4</v>
    <v>en-IN</v>
    <v>Map</v>
  </rv>
  <rv s="0">
    <v>536870912</v>
    <v>Kaafu Atoll</v>
    <v>a06699e1-8b35-f6f4-19f1-7379c98a4436</v>
    <v>en-IN</v>
    <v>Map</v>
  </rv>
  <rv s="0">
    <v>536870912</v>
    <v>Alif Alif Atoll</v>
    <v>28c82795-f0bc-8e45-05fa-4ecfe15c1a25</v>
    <v>en-IN</v>
    <v>Map</v>
  </rv>
  <rv s="0">
    <v>536870912</v>
    <v>Alif Dhaal Atoll</v>
    <v>4a1f3cdf-c308-15c5-a6cf-bef7787f0b76</v>
    <v>en-IN</v>
    <v>Map</v>
  </rv>
  <rv s="0">
    <v>536870912</v>
    <v>Vaavu Atoll</v>
    <v>59fa5b7b-337a-d037-4975-641c372591c7</v>
    <v>en-IN</v>
    <v>Map</v>
  </rv>
  <rv s="0">
    <v>536870912</v>
    <v>Meemu Atoll</v>
    <v>5bde7f7e-9e6b-1df3-b2ca-9b81b128faf0</v>
    <v>en-IN</v>
    <v>Map</v>
  </rv>
  <rv s="0">
    <v>536870912</v>
    <v>Faafu Atoll</v>
    <v>f19e7c96-3dc3-88c5-85e9-79906b0f507a</v>
    <v>en-IN</v>
    <v>Map</v>
  </rv>
  <rv s="0">
    <v>536870912</v>
    <v>Dhaalu Atoll</v>
    <v>f2dcaf50-896c-bcc9-f58d-9015ac40bc34</v>
    <v>en-IN</v>
    <v>Map</v>
  </rv>
  <rv s="0">
    <v>536870912</v>
    <v>Laamu Atoll</v>
    <v>2a6758b5-1975-742d-1139-15cea9df3516</v>
    <v>en-IN</v>
    <v>Map</v>
  </rv>
  <rv s="0">
    <v>536870912</v>
    <v>Gaafu Alif Atoll</v>
    <v>91f3c087-420d-dddf-5817-6e6fdb6603fe</v>
    <v>en-IN</v>
    <v>Map</v>
  </rv>
  <rv s="0">
    <v>536870912</v>
    <v>Gaafu Dhaalu Atoll</v>
    <v>78043c36-b1ad-9de0-6037-2e5e6f7c05c1</v>
    <v>en-IN</v>
    <v>Map</v>
  </rv>
  <rv s="0">
    <v>536870912</v>
    <v>Gnaviyani Atoll</v>
    <v>1c06e8c6-0cd3-2575-9500-ce96ff80322d</v>
    <v>en-IN</v>
    <v>Map</v>
  </rv>
  <rv s="0">
    <v>536870912</v>
    <v>Addu Atoll</v>
    <v>b6b72c59-ef35-cdd1-4718-6d1c4f2d264d</v>
    <v>en-IN</v>
    <v>Map</v>
  </rv>
  <rv s="3">
    <v>113</v>
  </rv>
  <rv s="1">
    <fb>0.19463685334978698</fb>
    <v>24</v>
  </rv>
  <rv s="1">
    <fb>0.30199999999999999</fb>
    <v>24</v>
  </rv>
  <rv s="1">
    <fb>6.1380000114440898E-2</fb>
    <v>32</v>
  </rv>
  <rv s="1">
    <fb>213645</fb>
    <v>25</v>
  </rv>
  <rv s="47">
    <v>#VALUE!</v>
    <v>en-IN</v>
    <v>a47c2484-27b2-60d1-e810-f71acf7773f2</v>
    <v>536870912</v>
    <v>1</v>
    <v>356</v>
    <v>357</v>
    <v>Maldives</v>
    <v>20</v>
    <v>21</v>
    <v>Map</v>
    <v>22</v>
    <v>358</v>
    <v>MV</v>
    <v>2072</v>
    <v>2073</v>
    <v>2074</v>
    <v>2075</v>
    <v>2076</v>
    <v>2077</v>
    <v>2078</v>
    <v>2079</v>
    <v>2080</v>
    <v>MVR</v>
    <v>The Maldives, officially the Republic of Maldives, is an archipelagic state and country in South Asia, situated in the Indian Ocean. It lies southwest of Sri Lanka and India, about 750 kilometres from the Asian continent's mainland. The ...</v>
    <v>2081</v>
    <v>2082</v>
    <v>1004</v>
    <v>2083</v>
    <v>2084</v>
    <v>2085</v>
    <v>2086</v>
    <v>2087</v>
    <v>2088</v>
    <v>2077</v>
    <v>2092</v>
    <v>2093</v>
    <v>2094</v>
    <v>2095</v>
    <v>Maldives</v>
    <v>Gaumiii salaaam</v>
    <v>2096</v>
    <v>ދިވެހިރާއްޖޭގެ ޖުމުހޫރިއްޔާ</v>
    <v>2097</v>
    <v>2098</v>
    <v>2099</v>
    <v>2100</v>
    <v>2101</v>
    <v>2102</v>
    <v>2103</v>
    <v>2104</v>
    <v>2105</v>
    <v>571</v>
    <v>2106</v>
    <v>2126</v>
    <v>2127</v>
    <v>2128</v>
    <v>2129</v>
    <v>Maldives</v>
    <v>2130</v>
    <v>mdp/vdpid/165</v>
  </rv>
  <rv s="1">
    <fb>5.8</fb>
    <v>25</v>
  </rv>
  <rv s="2">
    <v>59</v>
    <v>22</v>
    <v>359</v>
    <v>7</v>
    <v>0</v>
    <v>Image of Malé</v>
  </rv>
  <rv s="0">
    <v>805306368</v>
    <v>Mohamed Muizzu (Mayor)</v>
    <v>a24ec8fc-72e6-350b-7f38-0d302c8c77b9</v>
    <v>en-IN</v>
    <v>Generic</v>
  </rv>
  <rv s="3">
    <v>114</v>
  </rv>
  <rv s="4">
    <v>https://www.bing.com/search?q=mal%c3%a9+maldives&amp;form=skydnc</v>
    <v>Learn more on Bing</v>
  </rv>
  <rv s="1">
    <fb>252768</fb>
    <v>25</v>
  </rv>
  <rv s="48">
    <v>#VALUE!</v>
    <v>en-IN</v>
    <v>8e679ccb-a0ba-c3fc-88e7-d8c9892b6366</v>
    <v>536870912</v>
    <v>1</v>
    <v>360</v>
    <v>361</v>
    <v>Malé</v>
    <v>20</v>
    <v>21</v>
    <v>Map</v>
    <v>22</v>
    <v>362</v>
    <v>2132</v>
    <v>2071</v>
    <v>Malé is the capital and most populous city of the Maldives. With a population of 252,768 including other districts and an area of 8.30 square kilometres, it is also one of the most densely populated cities in the world. The city is ...</v>
    <v>2133</v>
    <v>2135</v>
    <v>2136</v>
    <v>Malé</v>
    <v>2137</v>
    <v>Malé</v>
    <v>mdp/vdpid/7483021187337945089</v>
  </rv>
  <rv s="2">
    <v>58</v>
    <v>22</v>
    <v>353</v>
    <v>3</v>
    <v>0</v>
    <v>Image of Maldives</v>
  </rv>
  <rv s="8">
    <v>en-IN</v>
    <v>av92z2</v>
    <v>268435456</v>
    <v>1</v>
    <v>Powered by Refinitiv</v>
    <v>42</v>
    <v>EUR/GBP</v>
    <v>43</v>
    <v>110</v>
    <v>Finance</v>
    <v>45</v>
    <v>0.87629999999999997</v>
    <v>0.82189999999999996</v>
    <v>-4.0000000000000002E-4</v>
    <v>-4.5819999999999997E-4</v>
    <v>GBP</v>
    <v>EUR</v>
    <v>0.87350000000000005</v>
    <v>Currency Pair</v>
    <v>45957.217604166668</v>
    <v>0.87270000000000003</v>
    <v>Euro/UK Pound Sterling FX Cross Rate</v>
    <v>0.87290000000000001</v>
    <v>0.87290000000000001</v>
    <v>0.87250000000000005</v>
    <v>EURGBP</v>
    <v>EUR/GBP</v>
  </rv>
  <rv s="9">
    <v>2140</v>
  </rv>
  <rv s="4">
    <v>https://www.bing.com/financeapi/forcetrigger?t=a1tr1h&amp;q=XNYS%3aGE&amp;form=skydnc</v>
    <v>Learn more on Bing</v>
  </rv>
  <rv s="10">
    <v>en-IN</v>
    <v>a1tr1h</v>
    <v>268435456</v>
    <v>1</v>
    <v>Powered by Refinitiv</v>
    <v>46</v>
    <v>GENERAL ELECTRIC COMPANY (XNYS:GE)</v>
    <v>47</v>
    <v>48</v>
    <v>Finance</v>
    <v>49</v>
    <v>316.52999999999997</v>
    <v>159.36000000000001</v>
    <v>1.5708</v>
    <v>-2.52</v>
    <v>2.0399999999999997E-3</v>
    <v>-8.2249999999999997E-3</v>
    <v>0.62</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53000</v>
    <v>New York Stock Exchange</v>
    <v>XNYS</v>
    <v>XNYS</v>
    <v>1 Neumann Way, Evendale, OH, 45215 US</v>
    <v>310.3</v>
    <v>Aerospace &amp; Defense</v>
    <v>Stock</v>
    <v>45954.999659142966</v>
    <v>2142</v>
    <v>303.57</v>
    <v>314218500000</v>
    <v>GENERAL ELECTRIC COMPANY</v>
    <v>GENERAL ELECTRIC COMPANY</v>
    <v>309.19</v>
    <v>40.508000000000003</v>
    <v>306.39</v>
    <v>303.87</v>
    <v>304.49</v>
    <v>1054814000</v>
    <v>GE</v>
    <v>GENERAL ELECTRIC COMPANY (XNYS:GE)</v>
    <v>3586816</v>
    <v>3944304</v>
    <v>1892</v>
  </rv>
  <rv s="9">
    <v>2143</v>
  </rv>
  <rv s="0">
    <v>536870912</v>
    <v>Mali</v>
    <v>cb03b340-e63c-9100-b964-810a109c951b</v>
    <v>en-IN</v>
    <v>Map</v>
  </rv>
  <rv s="1">
    <fb>0.337660528278383</fb>
    <v>24</v>
  </rv>
  <rv s="1">
    <fb>1240192</fb>
    <v>25</v>
  </rv>
  <rv s="1">
    <fb>18000</fb>
    <v>25</v>
  </rv>
  <rv s="1">
    <fb>41.542999999999999</fb>
    <v>26</v>
  </rv>
  <rv s="1">
    <fb>223</fb>
    <v>27</v>
  </rv>
  <rv s="0">
    <v>536870912</v>
    <v>Bamako</v>
    <v>36570696-0722-c230-e02f-48363a1eb2c0</v>
    <v>en-IN</v>
    <v>Map</v>
  </rv>
  <rv s="1">
    <fb>3179.2890000000002</fb>
    <v>25</v>
  </rv>
  <rv s="1">
    <fb>108.726079750895</fb>
    <v>28</v>
  </rv>
  <rv s="1">
    <fb>-1.6582669484636801E-2</fb>
    <v>24</v>
  </rv>
  <rv s="1">
    <fb>5.8769999999999998</fb>
    <v>26</v>
  </rv>
  <rv s="1">
    <fb>3.79940828887304E-2</fb>
    <v>24</v>
  </rv>
  <rv s="1">
    <fb>1.1200000000000001</fb>
    <v>30</v>
  </rv>
  <rv s="1">
    <fb>17510141171.340302</fb>
    <v>31</v>
  </rv>
  <rv s="1">
    <fb>0.75600599999999996</fb>
    <v>24</v>
  </rv>
  <rv s="1">
    <fb>4.5168999999999994E-2</fb>
    <v>24</v>
  </rv>
  <rv s="2">
    <v>60</v>
    <v>22</v>
    <v>364</v>
    <v>7</v>
    <v>0</v>
    <v>Image of Mali</v>
  </rv>
  <rv s="1">
    <fb>62</fb>
    <v>29</v>
  </rv>
  <rv s="0">
    <v>805306368</v>
    <v>Assimi Goïta (President)</v>
    <v>342e173e-887f-3282-7adc-383a6ef45cd6</v>
    <v>en-IN</v>
    <v>Generic</v>
  </rv>
  <rv s="0">
    <v>805306368</v>
    <v>Choguel Kokalla Maïga (Prime minister)</v>
    <v>0d737343-3c89-ceb6-64bd-da14ba2a2d08</v>
    <v>en-IN</v>
    <v>Generic</v>
  </rv>
  <rv s="3">
    <v>115</v>
  </rv>
  <rv s="4">
    <v>https://www.bing.com/search?q=mali&amp;form=skydnc</v>
    <v>Learn more on Bing</v>
  </rv>
  <rv s="1">
    <fb>58.893000000000001</fb>
    <v>29</v>
  </rv>
  <rv s="1">
    <fb>562</fb>
    <v>29</v>
  </rv>
  <rv s="1">
    <fb>0.23</fb>
    <v>30</v>
  </rv>
  <rv s="3">
    <v>116</v>
  </rv>
  <rv s="1">
    <fb>0.46307496290000005</fb>
    <v>24</v>
  </rv>
  <rv s="1">
    <fb>0.12859999999999999</fb>
    <v>26</v>
  </rv>
  <rv s="1">
    <fb>22593590</fb>
    <v>25</v>
  </rv>
  <rv s="1">
    <fb>0.25700000000000001</fb>
    <v>24</v>
  </rv>
  <rv s="1">
    <fb>0.41299999999999998</fb>
    <v>24</v>
  </rv>
  <rv s="1">
    <fb>0.08</fb>
    <v>24</v>
  </rv>
  <rv s="1">
    <fb>0.16200000000000001</fb>
    <v>24</v>
  </rv>
  <rv s="1">
    <fb>0.7081300354003911</fb>
    <v>24</v>
  </rv>
  <rv s="0">
    <v>536870912</v>
    <v>Kayes Region</v>
    <v>1b608b9e-a98d-ad0a-dcee-094d4c484fbd</v>
    <v>en-IN</v>
    <v>Map</v>
  </rv>
  <rv s="0">
    <v>536870912</v>
    <v>Koulikoro Region</v>
    <v>2bd39bdd-3736-a93c-d0e4-054c2801fd79</v>
    <v>en-IN</v>
    <v>Map</v>
  </rv>
  <rv s="0">
    <v>536870912</v>
    <v>Sikasso Region</v>
    <v>2a095c2d-d3cc-f1a2-befa-11deec7e536f</v>
    <v>en-IN</v>
    <v>Map</v>
  </rv>
  <rv s="0">
    <v>536870912</v>
    <v>Ségou Region</v>
    <v>609fb603-8312-80f3-9c23-4f986fc53a3e</v>
    <v>en-IN</v>
    <v>Map</v>
  </rv>
  <rv s="0">
    <v>536870912</v>
    <v>Mopti Region</v>
    <v>62a291d5-a9c7-ad43-7309-bafc02a61a65</v>
    <v>en-IN</v>
    <v>Map</v>
  </rv>
  <rv s="0">
    <v>536870912</v>
    <v>Timbuktu Region</v>
    <v>13d3585e-174a-78f7-0dda-1916db122d33</v>
    <v>en-IN</v>
    <v>Map</v>
  </rv>
  <rv s="0">
    <v>536870912</v>
    <v>Gao Region</v>
    <v>625e3302-be1c-52fa-cc98-b124099e84fd</v>
    <v>en-IN</v>
    <v>Map</v>
  </rv>
  <rv s="0">
    <v>536870912</v>
    <v>Kidal Region</v>
    <v>0d1b7009-70ec-e5d6-1a13-ae2a57637be9</v>
    <v>en-IN</v>
    <v>Map</v>
  </rv>
  <rv s="3">
    <v>117</v>
  </rv>
  <rv s="1">
    <fb>0.116009205091107</fb>
    <v>24</v>
  </rv>
  <rv s="1">
    <fb>0.54500000000000004</fb>
    <v>24</v>
  </rv>
  <rv s="1">
    <fb>7.2239999771118196E-2</fb>
    <v>32</v>
  </rv>
  <rv s="1">
    <fb>8479688</fb>
    <v>25</v>
  </rv>
  <rv s="36">
    <v>#VALUE!</v>
    <v>en-IN</v>
    <v>cb03b340-e63c-9100-b964-810a109c951b</v>
    <v>536870912</v>
    <v>1</v>
    <v>367</v>
    <v>231</v>
    <v>Mali</v>
    <v>20</v>
    <v>21</v>
    <v>Map</v>
    <v>22</v>
    <v>368</v>
    <v>ML</v>
    <v>2146</v>
    <v>2147</v>
    <v>2148</v>
    <v>2149</v>
    <v>2150</v>
    <v>2151</v>
    <v>2152</v>
    <v>2153</v>
    <v>2154</v>
    <v>XOF</v>
    <v>Mali, officially the Republic of Mali, is a landlocked country in West Africa. Mali is the eighth-largest country in Africa, with an area of over 1,241,238 square kilometres. The country is bordered on the north by Algeria, on the east by Niger, ...</v>
    <v>2155</v>
    <v>2156</v>
    <v>2157</v>
    <v>2158</v>
    <v>2159</v>
    <v>2160</v>
    <v>2161</v>
    <v>2162</v>
    <v>2151</v>
    <v>2165</v>
    <v>2166</v>
    <v>2167</v>
    <v>2168</v>
    <v>2169</v>
    <v>Mali</v>
    <v>Le Mali</v>
    <v>2170</v>
    <v>Mali</v>
    <v>2171</v>
    <v>2172</v>
    <v>2173</v>
    <v>329</v>
    <v>2174</v>
    <v>2175</v>
    <v>37</v>
    <v>2176</v>
    <v>817</v>
    <v>2177</v>
    <v>2178</v>
    <v>2187</v>
    <v>2188</v>
    <v>2189</v>
    <v>2190</v>
    <v>Mali</v>
    <v>2191</v>
    <v>mdp/vdpid/157</v>
  </rv>
  <rv s="1">
    <fb>245</fb>
    <v>25</v>
  </rv>
  <rv s="2">
    <v>61</v>
    <v>22</v>
    <v>369</v>
    <v>7</v>
    <v>0</v>
    <v>Image of Bamako</v>
  </rv>
  <rv s="4">
    <v>https://www.bing.com/search?q=bamako&amp;form=skydnc</v>
    <v>Learn more on Bing</v>
  </rv>
  <rv s="1">
    <fb>1810366</fb>
    <v>25</v>
  </rv>
  <rv s="26">
    <v>#VALUE!</v>
    <v>en-IN</v>
    <v>36570696-0722-c230-e02f-48363a1eb2c0</v>
    <v>536870912</v>
    <v>1</v>
    <v>371</v>
    <v>166</v>
    <v>Bamako</v>
    <v>20</v>
    <v>21</v>
    <v>Map</v>
    <v>22</v>
    <v>132</v>
    <v>ML-BKO</v>
    <v>2193</v>
    <v>2145</v>
    <v>Bamako is the capital and largest city of Mali, with a 2022 population of 4,227,569. It is located on the Niger River, near the rapids that divide the upper and middle Niger valleys in the southwestern part of the country.</v>
    <v>2194</v>
    <v>2195</v>
    <v>Bamako</v>
    <v>2196</v>
    <v>Bamako</v>
    <v>mdp/vdpid/5744068845107150849</v>
  </rv>
  <rv s="2">
    <v>60</v>
    <v>22</v>
    <v>364</v>
    <v>3</v>
    <v>0</v>
    <v>Image of Mali</v>
  </rv>
  <rv s="8">
    <v>en-IN</v>
    <v>avycmw</v>
    <v>268435456</v>
    <v>1</v>
    <v>Powered by Refinitiv</v>
    <v>42</v>
    <v>GBP/EUR</v>
    <v>43</v>
    <v>83</v>
    <v>Finance</v>
    <v>45</v>
    <v>1.216</v>
    <v>1.1403000000000001</v>
    <v>4.0000000000000002E-4</v>
    <v>3.4939999999999998E-4</v>
    <v>EUR</v>
    <v>GBP</v>
    <v>1.1457999999999999</v>
    <v>Currency Pair</v>
    <v>45957.217731481483</v>
    <v>1.1448</v>
    <v>UK Pound Sterling/Euro FX Cross Rate</v>
    <v>1.1447000000000001</v>
    <v>1.1447000000000001</v>
    <v>1.1451</v>
    <v>GBPEUR</v>
    <v>GBP/EUR</v>
  </rv>
  <rv s="9">
    <v>2199</v>
  </rv>
  <rv s="4">
    <v>https://www.bing.com/financeapi/forcetrigger?t=a1mpqh&amp;q=XNYS%3aABBV&amp;form=skydnc</v>
    <v>Learn more on Bing</v>
  </rv>
  <rv s="10">
    <v>en-IN</v>
    <v>a1mpqh</v>
    <v>268435456</v>
    <v>1</v>
    <v>Powered by Refinitiv</v>
    <v>46</v>
    <v>ABBVIE INC. (XNYS:ABBV)</v>
    <v>47</v>
    <v>48</v>
    <v>Finance</v>
    <v>49</v>
    <v>244.81</v>
    <v>163.81</v>
    <v>0.49980000000000002</v>
    <v>-0.26</v>
    <v>8.7720000000000007E-4</v>
    <v>-1.139E-3</v>
    <v>0.2</v>
    <v>USD</v>
    <v>AbbVie Inc. is a global, diversified research-based biopharmaceutical company. It is engaged in research and development, manufacturing, commercialization and sale of medicines and therapies. Its product portfolio includes Immunology, Oncology, Aesthetics, Neuroscience, Eye Care and Other Key Products. Immunology products include rheumatology, dermatology and gastroenterology. Oncology products include Imbruvica, Venclexta/Venclyxto, Elahere and Epkinly. Aesthetics portfolio consists of facial injectables, plastics and regenerative medicine, body contouring, and skincare products. Its Neuroscience products include Botox Therapeutic, Vraylar, Duopa and Duodopa, Ubrelvy, and Qulipta. Eye Care products include Ozurdex, Lumigan/Ganfort, Alphagan/Combigan, Restasis, and other eye care. Other key products include Mavyret/Maviret, Creon, and Linzess/Constella. Its investigational candidate, bretisilocin, is for the treatment of patients with moderate-to-severe major depressive disorder (MDD).</v>
    <v>55000</v>
    <v>New York Stock Exchange</v>
    <v>XNYS</v>
    <v>XNYS</v>
    <v>1 N Waukegan Rd, NORTH CHICAGO, IL, 60064 US</v>
    <v>229.04</v>
    <v>Pharmaceuticals</v>
    <v>Stock</v>
    <v>45954.999537337499</v>
    <v>2201</v>
    <v>226.25</v>
    <v>403976500000</v>
    <v>ABBVIE INC.</v>
    <v>ABBVIE INC.</v>
    <v>228.78</v>
    <v>108.5005</v>
    <v>228.25</v>
    <v>227.99</v>
    <v>228.19</v>
    <v>1766558000</v>
    <v>ABBV</v>
    <v>ABBVIE INC. (XNYS:ABBV)</v>
    <v>3554688</v>
    <v>6447972</v>
    <v>2012</v>
  </rv>
  <rv s="9">
    <v>2202</v>
  </rv>
  <rv s="0">
    <v>536870912</v>
    <v>Malta</v>
    <v>00727e9c-b7f7-2e31-0220-f5b9e956de8d</v>
    <v>en-IN</v>
    <v>Map</v>
  </rv>
  <rv s="1">
    <fb>0.32437500357627796</fb>
    <v>24</v>
  </rv>
  <rv s="1">
    <fb>316</fb>
    <v>25</v>
  </rv>
  <rv s="1">
    <fb>9.1999999999999993</fb>
    <v>26</v>
  </rv>
  <rv s="1">
    <fb>356</fb>
    <v>27</v>
  </rv>
  <rv s="0">
    <v>536870912</v>
    <v>Valletta</v>
    <v>cdfd18b4-3655-378f-8de1-0c98e7c9461d</v>
    <v>en-IN</v>
    <v>Map</v>
  </rv>
  <rv s="1">
    <fb>1342.1220000000001</fb>
    <v>25</v>
  </rv>
  <rv s="1">
    <fb>113.452474124359</fb>
    <v>28</v>
  </rv>
  <rv s="1">
    <fb>1.6420600176894701E-2</fb>
    <v>24</v>
  </rv>
  <rv s="1">
    <fb>4924.54401944044</fb>
    <v>25</v>
  </rv>
  <rv s="1">
    <fb>1.23</fb>
    <v>26</v>
  </rv>
  <rv s="1">
    <fb>1.0937499813735501E-2</fb>
    <v>24</v>
  </rv>
  <rv s="1">
    <fb>97.788461662664503</fb>
    <v>29</v>
  </rv>
  <rv s="1">
    <fb>1.36</fb>
    <v>30</v>
  </rv>
  <rv s="1">
    <fb>14786156563.3046</fb>
    <v>31</v>
  </rv>
  <rv s="1">
    <fb>1.0499836999999999</fb>
    <v>24</v>
  </rv>
  <rv s="1">
    <fb>0.54259920000000006</fb>
    <v>24</v>
  </rv>
  <rv s="2">
    <v>62</v>
    <v>22</v>
    <v>373</v>
    <v>7</v>
    <v>0</v>
    <v>Image of Malta</v>
  </rv>
  <rv s="1">
    <fb>6.1</fb>
    <v>29</v>
  </rv>
  <rv s="0">
    <v>805306368</v>
    <v>George Vella (President)</v>
    <v>803a3054-6b56-b520-03e1-56d789c2e8cb</v>
    <v>en-IN</v>
    <v>Generic</v>
  </rv>
  <rv s="0">
    <v>805306368</v>
    <v>Robert Abela (Prime minister)</v>
    <v>8f70166f-3cb4-66b0-283f-e62b495e7b44</v>
    <v>en-IN</v>
    <v>Generic</v>
  </rv>
  <rv s="3">
    <v>118</v>
  </rv>
  <rv s="4">
    <v>https://www.bing.com/search?q=malta&amp;form=skydnc</v>
    <v>Learn more on Bing</v>
  </rv>
  <rv s="1">
    <fb>82.346341463414603</fb>
    <v>29</v>
  </rv>
  <rv s="1">
    <fb>5315940000</fb>
    <v>31</v>
  </rv>
  <rv s="1">
    <fb>6</fb>
    <v>29</v>
  </rv>
  <rv s="1">
    <fb>5.07</fb>
    <v>30</v>
  </rv>
  <rv s="3">
    <v>119</v>
  </rv>
  <rv s="1">
    <fb>0.37102727109999994</fb>
    <v>24</v>
  </rv>
  <rv s="1">
    <fb>2.8597999999999999</fb>
    <v>26</v>
  </rv>
  <rv s="1">
    <fb>523417</fb>
    <v>25</v>
  </rv>
  <rv s="1">
    <fb>0.38</fb>
    <v>24</v>
  </rv>
  <rv s="1">
    <fb>8.5000000000000006E-2</fb>
    <v>24</v>
  </rv>
  <rv s="1">
    <fb>0.13400000000000001</fb>
    <v>24</v>
  </rv>
  <rv s="1">
    <fb>0.17600000000000002</fb>
    <v>24</v>
  </rv>
  <rv s="1">
    <fb>0.56527000427246099</fb>
    <v>24</v>
  </rv>
  <rv s="1">
    <fb>0.26228254141502799</fb>
    <v>24</v>
  </rv>
  <rv s="1">
    <fb>0.44</fb>
    <v>24</v>
  </rv>
  <rv s="1">
    <fb>3.4730000495910601E-2</fb>
    <v>32</v>
  </rv>
  <rv s="1">
    <fb>475902</fb>
    <v>25</v>
  </rv>
  <rv s="49">
    <v>#VALUE!</v>
    <v>en-IN</v>
    <v>00727e9c-b7f7-2e31-0220-f5b9e956de8d</v>
    <v>536870912</v>
    <v>1</v>
    <v>376</v>
    <v>377</v>
    <v>Malta</v>
    <v>20</v>
    <v>21</v>
    <v>Map</v>
    <v>22</v>
    <v>378</v>
    <v>MT</v>
    <v>2205</v>
    <v>2206</v>
    <v>1494</v>
    <v>2207</v>
    <v>2208</v>
    <v>2209</v>
    <v>2210</v>
    <v>2211</v>
    <v>2212</v>
    <v>EUR</v>
    <v>Malta, officially the Republic of Malta, is an island country in Southern Europe, located in the Mediterranean Sea. It consists of an archipelago between Italy and Libya. It lies 80 km south of Sicily, 284 km east of Tunisia, and 333 km north of ...</v>
    <v>2213</v>
    <v>2214</v>
    <v>2215</v>
    <v>2216</v>
    <v>2217</v>
    <v>2218</v>
    <v>2219</v>
    <v>2220</v>
    <v>2221</v>
    <v>2222</v>
    <v>2225</v>
    <v>2226</v>
    <v>2227</v>
    <v>2228</v>
    <v>2229</v>
    <v>2230</v>
    <v>Malta</v>
    <v>L-Innu Malti</v>
    <v>2231</v>
    <v>Maltská republika</v>
    <v>2232</v>
    <v>2233</v>
    <v>2234</v>
    <v>329</v>
    <v>1847</v>
    <v>2235</v>
    <v>2103</v>
    <v>2236</v>
    <v>2237</v>
    <v>2238</v>
    <v>2239</v>
    <v>2240</v>
    <v>1074</v>
    <v>2241</v>
    <v>2242</v>
    <v>Malta</v>
    <v>2243</v>
    <v>mdp/vdpid/163</v>
  </rv>
  <rv s="1">
    <fb>0.8</fb>
    <v>25</v>
  </rv>
  <rv s="2">
    <v>63</v>
    <v>22</v>
    <v>380</v>
    <v>7</v>
    <v>0</v>
    <v>Image of Valletta</v>
  </rv>
  <rv s="1">
    <fb>35.897777777778003</fb>
    <v>37</v>
  </rv>
  <rv s="0">
    <v>805306368</v>
    <v>Alfred Zammit (Mayor)</v>
    <v>f407e550-7e83-2e75-41e4-5555518dea51</v>
    <v>en-IN</v>
    <v>Generic</v>
  </rv>
  <rv s="3">
    <v>120</v>
  </rv>
  <rv s="4">
    <v>https://www.bing.com/search?q=valletta&amp;form=skydnc</v>
    <v>Learn more on Bing</v>
  </rv>
  <rv s="1">
    <fb>14.512499999999999</fb>
    <v>37</v>
  </rv>
  <rv s="1">
    <fb>6444</fb>
    <v>25</v>
  </rv>
  <rv s="22">
    <v>#VALUE!</v>
    <v>en-IN</v>
    <v>cdfd18b4-3655-378f-8de1-0c98e7c9461d</v>
    <v>536870912</v>
    <v>1</v>
    <v>381</v>
    <v>131</v>
    <v>Valletta</v>
    <v>20</v>
    <v>21</v>
    <v>Map</v>
    <v>22</v>
    <v>382</v>
    <v>2245</v>
    <v>2204</v>
    <v>Valletta is an administrative unit and the capital of Malta. Located on the main island, between Marsamxett Harbour to the west and the Grand Harbour to the east, its population within administrative limits in 2014 was 6,444. According to the ...</v>
    <v>2246</v>
    <v>2247</v>
    <v>2249</v>
    <v>2250</v>
    <v>2251</v>
    <v>Valletta</v>
    <v>2252</v>
    <v>Valletta</v>
    <v>mdp/vdpid/7220991795017023489</v>
  </rv>
  <rv s="35">
    <v>12</v>
    <v>Largest city</v>
    <v>0</v>
  </rv>
  <rv s="2">
    <v>62</v>
    <v>22</v>
    <v>373</v>
    <v>3</v>
    <v>0</v>
    <v>Image of Malta</v>
  </rv>
  <rv s="8">
    <v>en-IN</v>
    <v>av8wim</v>
    <v>268435456</v>
    <v>1</v>
    <v>Powered by Refinitiv</v>
    <v>42</v>
    <v>EUR/JPY</v>
    <v>43</v>
    <v>121</v>
    <v>Finance</v>
    <v>45</v>
    <v>178.14</v>
    <v>154.76</v>
    <v>0.32</v>
    <v>1.8010000000000001E-3</v>
    <v>JPY</v>
    <v>EUR</v>
    <v>178.14</v>
    <v>Currency Pair</v>
    <v>45957.217673611114</v>
    <v>177.69</v>
    <v>Euro/Japanese Yen FX Cross Rate</v>
    <v>177.71</v>
    <v>177.71</v>
    <v>178.03</v>
    <v>EURJPY</v>
    <v>EUR/JPY</v>
  </rv>
  <rv s="9">
    <v>2256</v>
  </rv>
  <rv s="4">
    <v>https://www.bing.com/financeapi/forcetrigger?t=a269ec&amp;q=XNYS%3aXOM&amp;form=skydnc</v>
    <v>Learn more on Bing</v>
  </rv>
  <rv s="10">
    <v>en-IN</v>
    <v>a269ec</v>
    <v>268435456</v>
    <v>1</v>
    <v>Powered by Refinitiv</v>
    <v>46</v>
    <v>EXXON MOBIL CORPORATION (XNYS:XOM)</v>
    <v>47</v>
    <v>48</v>
    <v>Finance</v>
    <v>49</v>
    <v>123.21</v>
    <v>97.8</v>
    <v>0.4662</v>
    <v>-0.59</v>
    <v>8.6660000000000003E-4</v>
    <v>-5.0870000000000004E-3</v>
    <v>0.1</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New York Stock Exchange</v>
    <v>XNYS</v>
    <v>XNYS</v>
    <v>22777 SPRINGWOODS VILLAGE PARKWAY, SPRING, TX, 77389-1425 US</v>
    <v>116.47</v>
    <v>Oil &amp; Gas</v>
    <v>Stock</v>
    <v>45954.999659142966</v>
    <v>2258</v>
    <v>115.18</v>
    <v>489037100000</v>
    <v>EXXON MOBIL CORPORATION</v>
    <v>EXXON MOBIL CORPORATION</v>
    <v>116.35</v>
    <v>16.373200000000001</v>
    <v>115.98</v>
    <v>115.39</v>
    <v>115.49</v>
    <v>4263247000</v>
    <v>XOM</v>
    <v>EXXON MOBIL CORPORATION (XNYS:XOM)</v>
    <v>9919409</v>
    <v>14983284</v>
    <v>1882</v>
  </rv>
  <rv s="9">
    <v>2259</v>
  </rv>
  <rv s="0">
    <v>536870912</v>
    <v>Marshall Islands</v>
    <v>e4f265b8-8c4d-e85f-5ca6-69fa717f99dd</v>
    <v>en-IN</v>
    <v>Map</v>
  </rv>
  <rv s="1">
    <fb>0.63888888888888895</fb>
    <v>24</v>
  </rv>
  <rv s="1">
    <fb>181.43</fb>
    <v>25</v>
  </rv>
  <rv s="1">
    <fb>29.028320744370301</fb>
    <v>26</v>
  </rv>
  <rv s="1">
    <fb>692</fb>
    <v>27</v>
  </rv>
  <rv s="0">
    <v>536870912</v>
    <v>Delap-Uliga-Djarrit</v>
    <v>7e551787-897e-de36-cc3b-6c50893145be</v>
    <v>en-IN</v>
    <v>Map</v>
  </rv>
  <rv s="1">
    <fb>143.01300000000001</fb>
    <v>25</v>
  </rv>
  <rv s="1">
    <fb>4.05</fb>
    <v>26</v>
  </rv>
  <rv s="1">
    <fb>0.70222224129571098</fb>
    <v>24</v>
  </rv>
  <rv s="1">
    <fb>1.44</fb>
    <v>30</v>
  </rv>
  <rv s="1">
    <fb>221278000</fb>
    <v>31</v>
  </rv>
  <rv s="1">
    <fb>0.84740159999999998</fb>
    <v>24</v>
  </rv>
  <rv s="1">
    <fb>0.23661269999999998</fb>
    <v>24</v>
  </rv>
  <rv s="2">
    <v>64</v>
    <v>22</v>
    <v>384</v>
    <v>7</v>
    <v>0</v>
    <v>Image of Marshall Islands</v>
  </rv>
  <rv s="1">
    <fb>27.4</fb>
    <v>29</v>
  </rv>
  <rv s="0">
    <v>805306368</v>
    <v>David Kabua (President)</v>
    <v>6c3c5c35-a60e-0588-984d-468d123574e8</v>
    <v>en-IN</v>
    <v>Generic</v>
  </rv>
  <rv s="0">
    <v>805306368</v>
    <v>Kenneth Kedi (Speaker)</v>
    <v>c919d5c9-6368-bd91-2531-d604bf8068ec</v>
    <v>en-IN</v>
    <v>Generic</v>
  </rv>
  <rv s="3">
    <v>121</v>
  </rv>
  <rv s="4">
    <v>https://www.bing.com/search?q=marshall+islands&amp;form=skydnc</v>
    <v>Learn more on Bing</v>
  </rv>
  <rv s="1">
    <fb>65.239024390243898</fb>
    <v>29</v>
  </rv>
  <rv s="1">
    <fb>2</fb>
    <v>30</v>
  </rv>
  <rv s="3">
    <v>122</v>
  </rv>
  <rv s="1">
    <fb>9.9516019900000002E-2</fb>
    <v>24</v>
  </rv>
  <rv s="1">
    <fb>0.42330000000000001</fb>
    <v>26</v>
  </rv>
  <rv s="1">
    <fb>41569</fb>
    <v>25</v>
  </rv>
  <rv s="0">
    <v>536870912</v>
    <v>Ailinginae Atoll</v>
    <v>ac03cd28-7627-1885-e357-b479d578831a</v>
    <v>en-IN</v>
    <v>Map</v>
  </rv>
  <rv s="0">
    <v>536870912</v>
    <v>Ailinglaplap Atoll</v>
    <v>7faa94a0-08f6-c3a3-1808-ecdf480b30cb</v>
    <v>en-IN</v>
    <v>Map</v>
  </rv>
  <rv s="0">
    <v>536870912</v>
    <v>Ailuk Atoll</v>
    <v>cd22880f-cfc1-f778-dd37-5334ac210693</v>
    <v>en-IN</v>
    <v>Map</v>
  </rv>
  <rv s="0">
    <v>536870912</v>
    <v>Arno Atoll</v>
    <v>d7e82bc5-75ad-5246-f448-17d05c1c81e0</v>
    <v>en-IN</v>
    <v>Map</v>
  </rv>
  <rv s="0">
    <v>536870912</v>
    <v>Aur Atoll</v>
    <v>8a22b5f7-1900-041a-6c28-16be5a081a5a</v>
    <v>en-IN</v>
    <v>Map</v>
  </rv>
  <rv s="0">
    <v>536870912</v>
    <v>Bikini Atoll</v>
    <v>9aa4564f-4baf-e216-c075-5a3799fee797</v>
    <v>en-IN</v>
    <v>Map</v>
  </rv>
  <rv s="0">
    <v>536870912</v>
    <v>Ebon Atoll</v>
    <v>26935f41-0ea7-fca4-8c9d-a21fc3e38dc8</v>
    <v>en-IN</v>
    <v>Map</v>
  </rv>
  <rv s="0">
    <v>536870912</v>
    <v>Enewetak Atoll</v>
    <v>b5220285-ce9b-51ee-af90-f29b26f2a57e</v>
    <v>en-IN</v>
    <v>Map</v>
  </rv>
  <rv s="0">
    <v>536870912</v>
    <v>Jabat Island</v>
    <v>9fadc5e4-5ddb-cd0c-c340-26cf3946c3a5</v>
    <v>en-IN</v>
    <v>Map</v>
  </rv>
  <rv s="0">
    <v>536870912</v>
    <v>Jaluit Atoll</v>
    <v>7e46e768-f4ea-a726-8bf0-0099a875d15f</v>
    <v>en-IN</v>
    <v>Map</v>
  </rv>
  <rv s="0">
    <v>536870912</v>
    <v>Jemo Island</v>
    <v>d5e42cef-8e03-b0ad-1367-78e8866d2f67</v>
    <v>en-IN</v>
    <v>Map</v>
  </rv>
  <rv s="0">
    <v>536870912</v>
    <v>Kili Island</v>
    <v>242b5ddd-6a44-9932-46be-e17c468d0505</v>
    <v>en-IN</v>
    <v>Map</v>
  </rv>
  <rv s="0">
    <v>536870912</v>
    <v>Kwajalein Atoll</v>
    <v>5458a348-80c7-648b-ee67-016cd25b54ca</v>
    <v>en-IN</v>
    <v>Map</v>
  </rv>
  <rv s="0">
    <v>536870912</v>
    <v>Lae Atoll</v>
    <v>ae4935e7-f475-a606-7045-35a8d94b8f96</v>
    <v>en-IN</v>
    <v>Map</v>
  </rv>
  <rv s="0">
    <v>536870912</v>
    <v>Lib Island</v>
    <v>300c6bbc-f353-9bf5-492f-a59454ca32fd</v>
    <v>en-IN</v>
    <v>Map</v>
  </rv>
  <rv s="0">
    <v>536870912</v>
    <v>Likiep Atoll</v>
    <v>031f13ff-7731-03ca-7a01-30d1a3a4c830</v>
    <v>en-IN</v>
    <v>Map</v>
  </rv>
  <rv s="0">
    <v>536870912</v>
    <v>Majuro</v>
    <v>f38f7b4e-3dd9-0d58-eed0-10bed4e17dd2</v>
    <v>en-IN</v>
    <v>Map</v>
  </rv>
  <rv s="0">
    <v>536870912</v>
    <v>Maloelap Atoll</v>
    <v>a21fc1e7-27ca-1c6b-9e5a-d23498424521</v>
    <v>en-IN</v>
    <v>Map</v>
  </rv>
  <rv s="0">
    <v>536870912</v>
    <v>Mejit Island</v>
    <v>3ab45fbf-42d2-11d7-5139-fe90e6b0182e</v>
    <v>en-IN</v>
    <v>Map</v>
  </rv>
  <rv s="0">
    <v>536870912</v>
    <v>Mili Atoll</v>
    <v>a23aa8a6-ebdd-0eac-42c5-83bfbb1a3e16</v>
    <v>en-IN</v>
    <v>Map</v>
  </rv>
  <rv s="0">
    <v>536870912</v>
    <v>Namdrik Atoll</v>
    <v>18b2dc0e-cd4f-8336-e13f-84a2bc4cd366</v>
    <v>en-IN</v>
    <v>Map</v>
  </rv>
  <rv s="0">
    <v>536870912</v>
    <v>Namu Atoll</v>
    <v>a13799a1-3490-aa20-0268-ee9a0828c710</v>
    <v>en-IN</v>
    <v>Map</v>
  </rv>
  <rv s="0">
    <v>536870912</v>
    <v>Rongelap Atoll</v>
    <v>826104bf-75dc-cc30-484a-fc64c0c90b4d</v>
    <v>en-IN</v>
    <v>Map</v>
  </rv>
  <rv s="0">
    <v>536870912</v>
    <v>Toke Atoll</v>
    <v>3d81faca-9b84-3b35-d0d7-bfe5d1950715</v>
    <v>en-IN</v>
    <v>Map</v>
  </rv>
  <rv s="0">
    <v>536870912</v>
    <v>Ujae Atoll</v>
    <v>cbf76f4c-6efa-7e2b-60dd-d5ed1ab0d743</v>
    <v>en-IN</v>
    <v>Map</v>
  </rv>
  <rv s="0">
    <v>536870912</v>
    <v>Utirik Atoll</v>
    <v>c2fcc751-9bf4-3ecd-ea42-7646b9c9eec2</v>
    <v>en-IN</v>
    <v>Map</v>
  </rv>
  <rv s="0">
    <v>536870912</v>
    <v>Wotho Atoll</v>
    <v>a2c27f4d-733c-3357-63b7-f920e2f41d45</v>
    <v>en-IN</v>
    <v>Map</v>
  </rv>
  <rv s="0">
    <v>536870912</v>
    <v>Wotje Atoll</v>
    <v>f5854d3f-83cb-f2c9-ed4e-9c16e6004be9</v>
    <v>en-IN</v>
    <v>Map</v>
  </rv>
  <rv s="3">
    <v>123</v>
  </rv>
  <rv s="1">
    <fb>0.17814242717305798</fb>
    <v>24</v>
  </rv>
  <rv s="1">
    <fb>0.65900000000000003</fb>
    <v>24</v>
  </rv>
  <rv s="1">
    <fb>45514</fb>
    <v>25</v>
  </rv>
  <rv s="50">
    <v>#VALUE!</v>
    <v>en-IN</v>
    <v>e4f265b8-8c4d-e85f-5ca6-69fa717f99dd</v>
    <v>536870912</v>
    <v>1</v>
    <v>387</v>
    <v>388</v>
    <v>Marshall Islands</v>
    <v>20</v>
    <v>21</v>
    <v>Map</v>
    <v>22</v>
    <v>389</v>
    <v>MH</v>
    <v>2262</v>
    <v>2263</v>
    <v>2264</v>
    <v>2265</v>
    <v>2266</v>
    <v>2267</v>
    <v>USD</v>
    <v>The Marshall Islands, officially the Republic of the Marshall Islands, is an island country west of the International Date Line and north of the equator in the Micronesia region in the Northwestern Pacific Ocean. The territory consists of 29 ...</v>
    <v>2268</v>
    <v>2269</v>
    <v>1004</v>
    <v>2270</v>
    <v>2271</v>
    <v>2272</v>
    <v>2273</v>
    <v>2274</v>
    <v>2275</v>
    <v>2266</v>
    <v>2278</v>
    <v>2279</v>
    <v>2280</v>
    <v>2281</v>
    <v>Marshall Islands</v>
    <v>Forever Marshall Islands</v>
    <v>2282</v>
    <v>Marshall Islands</v>
    <v>2283</v>
    <v>2284</v>
    <v>2285</v>
    <v>2314</v>
    <v>2315</v>
    <v>2316</v>
    <v>Marshall Islands</v>
    <v>2317</v>
    <v>mdp/vdpid/199</v>
  </rv>
  <rv s="2">
    <v>65</v>
    <v>22</v>
    <v>390</v>
    <v>7</v>
    <v>0</v>
    <v>Image of Delap-Uliga-Djarrit</v>
  </rv>
  <rv s="1">
    <fb>7.1166666699999999</fb>
    <v>37</v>
  </rv>
  <rv s="4">
    <v>https://www.bing.com/search?q=delap-uliga-djarrit&amp;form=skydnc</v>
    <v>Learn more on Bing</v>
  </rv>
  <rv s="1">
    <fb>171.36666667</fb>
    <v>37</v>
  </rv>
  <rv s="51">
    <v>#VALUE!</v>
    <v>en-IN</v>
    <v>7e551787-897e-de36-cc3b-6c50893145be</v>
    <v>536870912</v>
    <v>1</v>
    <v>391</v>
    <v>392</v>
    <v>Delap-Uliga-Djarrit</v>
    <v>393</v>
    <v>21</v>
    <v>Map</v>
    <v>22</v>
    <v>2302</v>
    <v>2261</v>
    <v>Delap-Uliga-Djarrit is an urban area in Majuro, the capital and the largest city of the Marshall Islands, with 15,846 people out of Majuro's 23,676. It consists of the districts of Delap, Uliga, and Djarrit. DUD is located on the eastern end of ...</v>
    <v>2319</v>
    <v>2320</v>
    <v>2321</v>
    <v>2322</v>
    <v>Delap-Uliga-Djarrit</v>
    <v>Delap-Uliga-Djarrit</v>
  </rv>
  <rv s="2">
    <v>64</v>
    <v>22</v>
    <v>384</v>
    <v>3</v>
    <v>0</v>
    <v>Image of Marshall Islands</v>
  </rv>
  <rv s="8">
    <v>en-IN</v>
    <v>ave1m7</v>
    <v>268435456</v>
    <v>1</v>
    <v>Powered by Refinitiv</v>
    <v>42</v>
    <v>JPY/EUR</v>
    <v>43</v>
    <v>83</v>
    <v>Finance</v>
    <v>45</v>
    <v>6.4590000000000003E-3</v>
    <v>5.6140000000000001E-3</v>
    <v>-1.0000000000000001E-5</v>
    <v>-1.7780000000000001E-3</v>
    <v>EUR</v>
    <v>JPY</v>
    <v>5.6280000000000002E-3</v>
    <v>Currency Pair</v>
    <v>45957.217766203707</v>
    <v>5.6140000000000001E-3</v>
    <v>Japanese Yen/Euro FX Cross Rate</v>
    <v>5.6249999999999998E-3</v>
    <v>5.6249999999999998E-3</v>
    <v>5.6150000000000002E-3</v>
    <v>JPYEUR</v>
    <v>JPY/EUR</v>
  </rv>
  <rv s="9">
    <v>2325</v>
  </rv>
  <rv s="4">
    <v>https://www.bing.com/financeapi/forcetrigger?t=a1xxmw&amp;q=XNYS%3aMRK&amp;form=skydnc</v>
    <v>Learn more on Bing</v>
  </rv>
  <rv s="10">
    <v>en-IN</v>
    <v>a1xxmw</v>
    <v>268435456</v>
    <v>1</v>
    <v>Powered by Refinitiv</v>
    <v>46</v>
    <v>MERCK &amp; CO., INC. (XNYS:MRK)</v>
    <v>47</v>
    <v>48</v>
    <v>Finance</v>
    <v>49</v>
    <v>105.11</v>
    <v>73.31</v>
    <v>0.34689999999999999</v>
    <v>0.31</v>
    <v>2.3999999999999998E-3</v>
    <v>3.5560000000000001E-3</v>
    <v>0.21</v>
    <v>USD</v>
    <v>Merck &amp; Co., Inc. is a global health care company that delivers health solutions through its prescription medicines, including biologic therapies, vaccines and animal health products. Its Pharmaceutical segment includes human health pharmaceutical and vaccine products. The Company sells its human health pharmaceutical products primarily to drug wholesalers and retailers, hospitals, government agencies and managed health care providers. It sells these human health vaccines primarily to physicians, wholesalers, distributors and government entities. Its Animal Health segment discovers, develops, manufactures and markets a range of veterinary pharmaceutical and vaccine products, as well as health management solutions and services, for the prevention, treatment and control of disease in all livestock and companion animal species. Its products include KEYTRUDA (pembrolizumab) injection, for intravenous use; WELIREG (belzutifan) tablets, for oral use; Ohtuvayre (ensifentrine) and others.</v>
    <v>75000</v>
    <v>New York Stock Exchange</v>
    <v>XNYS</v>
    <v>XNYS</v>
    <v>126 East Lincoln Avenue, P.O. Box 2000, RAHWAY, NJ, 07065 US</v>
    <v>88.06</v>
    <v>Pharmaceuticals</v>
    <v>Stock</v>
    <v>45954.989830022656</v>
    <v>2327</v>
    <v>87.1083</v>
    <v>218830800000</v>
    <v>MERCK &amp; CO., INC.</v>
    <v>MERCK &amp; CO., INC.</v>
    <v>87.33</v>
    <v>13.4863</v>
    <v>87.18</v>
    <v>87.49</v>
    <v>87.7</v>
    <v>2497783000</v>
    <v>MRK</v>
    <v>MERCK &amp; CO., INC. (XNYS:MRK)</v>
    <v>7902072</v>
    <v>12919262</v>
    <v>1970</v>
  </rv>
  <rv s="9">
    <v>2328</v>
  </rv>
  <rv s="0">
    <v>536870912</v>
    <v>Mauritania</v>
    <v>1378a5bb-c2d8-4ae7-85b5-e75705038775</v>
    <v>en-IN</v>
    <v>Map</v>
  </rv>
  <rv s="1">
    <fb>0.38528184728825104</fb>
    <v>24</v>
  </rv>
  <rv s="1">
    <fb>1030700</fb>
    <v>25</v>
  </rv>
  <rv s="1">
    <fb>33.694000000000003</fb>
    <v>26</v>
  </rv>
  <rv s="1">
    <fb>222</fb>
    <v>27</v>
  </rv>
  <rv s="0">
    <v>536870912</v>
    <v>Nouakchott</v>
    <v>298678cd-131e-4a85-4423-240d0b436346</v>
    <v>en-IN</v>
    <v>Map</v>
  </rv>
  <rv s="1">
    <fb>2739.2489999999998</fb>
    <v>25</v>
  </rv>
  <rv s="1">
    <fb>135.01889679773399</fb>
    <v>28</v>
  </rv>
  <rv s="1">
    <fb>2.3000926211793803E-2</fb>
    <v>24</v>
  </rv>
  <rv s="1">
    <fb>4.5609999999999999</fb>
    <v>26</v>
  </rv>
  <rv s="1">
    <fb>2.1441738624236001E-3</fb>
    <v>24</v>
  </rv>
  <rv s="1">
    <fb>1.1299999999999999</fb>
    <v>30</v>
  </rv>
  <rv s="1">
    <fb>7593752450.2054996</fb>
    <v>31</v>
  </rv>
  <rv s="1">
    <fb>0.99891760000000007</fb>
    <v>24</v>
  </rv>
  <rv s="1">
    <fb>4.9991199999999993E-2</fb>
    <v>24</v>
  </rv>
  <rv s="2">
    <v>66</v>
    <v>22</v>
    <v>395</v>
    <v>7</v>
    <v>0</v>
    <v>Image of Mauritania</v>
  </rv>
  <rv s="1">
    <fb>51.5</fb>
    <v>29</v>
  </rv>
  <rv s="0">
    <v>805306368</v>
    <v>Mohamed Ould Ghazouani (President)</v>
    <v>e8eb333b-b5a7-b1c4-9b2b-8ca315d4dfe5</v>
    <v>en-IN</v>
    <v>Generic</v>
  </rv>
  <rv s="0">
    <v>805306368</v>
    <v>Mohamed Ould Bilal (Prime minister)</v>
    <v>ab00895d-5a41-16ac-fa0f-204967d100da</v>
    <v>en-IN</v>
    <v>Generic</v>
  </rv>
  <rv s="3">
    <v>124</v>
  </rv>
  <rv s="4">
    <v>https://www.bing.com/search?q=mauritania&amp;form=skydnc</v>
    <v>Learn more on Bing</v>
  </rv>
  <rv s="1">
    <fb>64.703999999999994</fb>
    <v>29</v>
  </rv>
  <rv s="1">
    <fb>766</fb>
    <v>29</v>
  </rv>
  <rv s="1">
    <fb>0.53</fb>
    <v>30</v>
  </rv>
  <rv s="1">
    <fb>0.4823745512</fb>
    <v>24</v>
  </rv>
  <rv s="1">
    <fb>0.1865</fb>
    <v>26</v>
  </rv>
  <rv s="1">
    <fb>4736139</fb>
    <v>25</v>
  </rv>
  <rv s="1">
    <fb>0.249</fb>
    <v>24</v>
  </rv>
  <rv s="1">
    <fb>0.40200000000000002</fb>
    <v>24</v>
  </rv>
  <rv s="1">
    <fb>0.03</fb>
    <v>24</v>
  </rv>
  <rv s="1">
    <fb>7.4999999999999997E-2</fb>
    <v>24</v>
  </rv>
  <rv s="1">
    <fb>0.124</fb>
    <v>24</v>
  </rv>
  <rv s="1">
    <fb>0.45883998870849602</fb>
    <v>24</v>
  </rv>
  <rv s="0">
    <v>536870912</v>
    <v>Adrar Region</v>
    <v>813a6daf-b201-aadd-cc3c-1962f5918185</v>
    <v>en-IN</v>
    <v>Map</v>
  </rv>
  <rv s="0">
    <v>536870912</v>
    <v>Assaba Region</v>
    <v>a58f4240-4eb5-bf38-bd0b-75f1ae94d17b</v>
    <v>en-IN</v>
    <v>Map</v>
  </rv>
  <rv s="0">
    <v>536870912</v>
    <v>Brakna Region</v>
    <v>5011c80b-9e00-a377-4615-f8264328d0aa</v>
    <v>en-IN</v>
    <v>Map</v>
  </rv>
  <rv s="0">
    <v>536870912</v>
    <v>Dakhlet Nouadhibou Region</v>
    <v>50715551-3dbf-4406-b74d-5de046a157da</v>
    <v>en-IN</v>
    <v>Map</v>
  </rv>
  <rv s="0">
    <v>536870912</v>
    <v>Gorgol Region</v>
    <v>72757e0e-4848-d303-fba2-f31c52a4b0e5</v>
    <v>en-IN</v>
    <v>Map</v>
  </rv>
  <rv s="0">
    <v>536870912</v>
    <v>Guidimaka Region</v>
    <v>d82dc308-f9ee-1690-ab46-575c3e429984</v>
    <v>en-IN</v>
    <v>Map</v>
  </rv>
  <rv s="0">
    <v>536870912</v>
    <v>Hodh Ech Chargui Region</v>
    <v>e73c452a-369c-484c-b276-23ad30b89536</v>
    <v>en-IN</v>
    <v>Map</v>
  </rv>
  <rv s="0">
    <v>536870912</v>
    <v>Hodh El Gharbi Region</v>
    <v>af953511-3591-4176-be81-acbbb366e7ff</v>
    <v>en-IN</v>
    <v>Map</v>
  </rv>
  <rv s="0">
    <v>536870912</v>
    <v>Inchiri Region</v>
    <v>c62460e6-2156-4054-ac45-5e7fd7d9f56e</v>
    <v>en-IN</v>
    <v>Map</v>
  </rv>
  <rv s="0">
    <v>536870912</v>
    <v>Tagant Region</v>
    <v>5c3c1eda-a331-31e9-911f-a9440ed7c01a</v>
    <v>en-IN</v>
    <v>Map</v>
  </rv>
  <rv s="0">
    <v>536870912</v>
    <v>Tiris Zemmour Region</v>
    <v>8c838683-fd5b-480c-8df6-d0acadfeed7c</v>
    <v>en-IN</v>
    <v>Map</v>
  </rv>
  <rv s="0">
    <v>536870912</v>
    <v>Trarza Region</v>
    <v>d4004e90-738c-9d73-0d79-ece97ac6f42e</v>
    <v>en-IN</v>
    <v>Map</v>
  </rv>
  <rv s="3">
    <v>125</v>
  </rv>
  <rv s="1">
    <fb>0.67</fb>
    <v>24</v>
  </rv>
  <rv s="1">
    <fb>9.5480003356933588E-2</fb>
    <v>32</v>
  </rv>
  <rv s="1">
    <fb>2466821</fb>
    <v>25</v>
  </rv>
  <rv s="52">
    <v>#VALUE!</v>
    <v>en-IN</v>
    <v>1378a5bb-c2d8-4ae7-85b5-e75705038775</v>
    <v>536870912</v>
    <v>1</v>
    <v>398</v>
    <v>399</v>
    <v>Mauritania</v>
    <v>20</v>
    <v>21</v>
    <v>Map</v>
    <v>22</v>
    <v>400</v>
    <v>MR</v>
    <v>2331</v>
    <v>2332</v>
    <v>1140</v>
    <v>2333</v>
    <v>2334</v>
    <v>2335</v>
    <v>2336</v>
    <v>2337</v>
    <v>2338</v>
    <v>MRU</v>
    <v>Mauritania, officially the Islamic Republic of Mauritania, is a sovereign country in Northwest Africa. It is bordered by the Atlantic Ocean to the west, Western Sahara to the north and northwest, Algeria to the northeast, Mali to the east and ...</v>
    <v>2339</v>
    <v>2340</v>
    <v>2341</v>
    <v>2342</v>
    <v>2343</v>
    <v>2344</v>
    <v>2345</v>
    <v>2346</v>
    <v>2335</v>
    <v>2349</v>
    <v>2350</v>
    <v>2351</v>
    <v>2352</v>
    <v>2353</v>
    <v>Mauritania</v>
    <v>National anthem of Mauritania</v>
    <v>1454</v>
    <v>Islamic Republic of Mauritania</v>
    <v>2354</v>
    <v>2355</v>
    <v>2356</v>
    <v>566</v>
    <v>2357</v>
    <v>2358</v>
    <v>2359</v>
    <v>2360</v>
    <v>2361</v>
    <v>571</v>
    <v>2362</v>
    <v>2375</v>
    <v>2376</v>
    <v>2377</v>
    <v>Mauritania</v>
    <v>2378</v>
    <v>mdp/vdpid/162</v>
  </rv>
  <rv s="0">
    <v>536870912</v>
    <v>Nouakchott-Nord Region</v>
    <v>20b5fec7-3e89-faf1-b416-555203b10f09</v>
    <v>en-IN</v>
    <v>Map</v>
  </rv>
  <rv s="1">
    <fb>1035.9952441299999</fb>
    <v>25</v>
  </rv>
  <rv s="2">
    <v>67</v>
    <v>22</v>
    <v>402</v>
    <v>7</v>
    <v>0</v>
    <v>Image of Nouakchott</v>
  </rv>
  <rv s="1">
    <fb>18.085809999999999</fb>
    <v>37</v>
  </rv>
  <rv s="4">
    <v>https://www.bing.com/search?q=nouakchott&amp;form=skydnc</v>
    <v>Learn more on Bing</v>
  </rv>
  <rv s="1">
    <fb>-15.9785</fb>
    <v>37</v>
  </rv>
  <rv s="1">
    <fb>1315000</fb>
    <v>25</v>
  </rv>
  <rv s="29">
    <v>#VALUE!</v>
    <v>en-IN</v>
    <v>298678cd-131e-4a85-4423-240d0b436346</v>
    <v>536870912</v>
    <v>1</v>
    <v>403</v>
    <v>188</v>
    <v>Nouakchott</v>
    <v>20</v>
    <v>21</v>
    <v>Map</v>
    <v>22</v>
    <v>189</v>
    <v>2380</v>
    <v>2381</v>
    <v>2330</v>
    <v>Nouakchott is the capital and largest city of Mauritania. It is one of the largest cities in the Sahara. The city also serves as the administrative and economic center of Mauritania. Nouakchott was a mid-sized village of little importance until ...</v>
    <v>2382</v>
    <v>2383</v>
    <v>2384</v>
    <v>2385</v>
    <v>Nouakchott</v>
    <v>2386</v>
    <v>Nouakchott</v>
    <v>mdp/vdpid/5732411163484880897</v>
  </rv>
  <rv s="2">
    <v>66</v>
    <v>22</v>
    <v>395</v>
    <v>3</v>
    <v>0</v>
    <v>Image of Mauritania</v>
  </rv>
  <rv s="8">
    <v>en-IN</v>
    <v>avye1h</v>
    <v>268435456</v>
    <v>1</v>
    <v>Powered by Refinitiv</v>
    <v>42</v>
    <v>GBP/JPY</v>
    <v>43</v>
    <v>121</v>
    <v>Finance</v>
    <v>45</v>
    <v>205.31</v>
    <v>184.31</v>
    <v>0.47</v>
    <v>2.31E-3</v>
    <v>JPY</v>
    <v>GBP</v>
    <v>204.05</v>
    <v>Currency Pair</v>
    <v>45957.217662037037</v>
    <v>203.57</v>
    <v>UK Pound Sterling/Japanese Yen FX Cross Rate</v>
    <v>203.65</v>
    <v>203.45</v>
    <v>203.92</v>
    <v>GBPJPY</v>
    <v>GBP/JPY</v>
  </rv>
  <rv s="9">
    <v>2389</v>
  </rv>
  <rv s="4">
    <v>https://www.bing.com/financeapi/forcetrigger?t=a1qc1h&amp;q=XNYS%3aCRM&amp;form=skydnc</v>
    <v>Learn more on Bing</v>
  </rv>
  <rv s="10">
    <v>en-IN</v>
    <v>a1qc1h</v>
    <v>268435456</v>
    <v>1</v>
    <v>Powered by Refinitiv</v>
    <v>46</v>
    <v>SALESFORCE, INC. (XNYS:CRM)</v>
    <v>47</v>
    <v>48</v>
    <v>Finance</v>
    <v>49</v>
    <v>369</v>
    <v>226.48</v>
    <v>1.1801999999999999</v>
    <v>-0.22</v>
    <v>1.06E-3</v>
    <v>-8.6260000000000004E-4</v>
    <v>0.27</v>
    <v>USD</v>
    <v>Salesforce, Inc. is a provider of customer relationship management (CRM) technology. The Company helps organizations of any size reimagine their business for the world of artificial intelligence (AI). With Agentforce, its platform, organizations can bring humans together with AI agents to drive customer success on one deeply unified platform. With the Salesforce platform, it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Datablazer is a data-driven innovator, which leverages the Company’s platform to unlock insights and drive decisions.</v>
    <v>76453</v>
    <v>New York Stock Exchange</v>
    <v>XNYS</v>
    <v>XNYS</v>
    <v>SALESFORCE TOWER, 415 MISSION STREET 3RD FL, SAN FRANCISCO, CA, 94105 US</v>
    <v>258.5</v>
    <v>Software &amp; IT Services</v>
    <v>Stock</v>
    <v>45954.999854154688</v>
    <v>2391</v>
    <v>254</v>
    <v>244321300000</v>
    <v>SALESFORCE, INC.</v>
    <v>SALESFORCE, INC.</v>
    <v>257.42</v>
    <v>36.976999999999997</v>
    <v>255.05</v>
    <v>254.83</v>
    <v>255.1</v>
    <v>952000000</v>
    <v>CRM</v>
    <v>SALESFORCE, INC. (XNYS:CRM)</v>
    <v>5490805</v>
    <v>9448469</v>
    <v>1999</v>
  </rv>
  <rv s="9">
    <v>2392</v>
  </rv>
  <rv s="0">
    <v>536870912</v>
    <v>Mauritius</v>
    <v>f9cbeda3-6339-827e-bcf1-2e940cb5e45e</v>
    <v>en-IN</v>
    <v>Map</v>
  </rv>
  <rv s="1">
    <fb>0.42364532019704398</fb>
    <v>24</v>
  </rv>
  <rv s="1">
    <fb>2040</fb>
    <v>25</v>
  </rv>
  <rv s="1">
    <fb>3000</fb>
    <v>25</v>
  </rv>
  <rv s="1">
    <fb>10.199999999999999</fb>
    <v>26</v>
  </rv>
  <rv s="1">
    <fb>230</fb>
    <v>27</v>
  </rv>
  <rv s="0">
    <v>536870912</v>
    <v>Port Louis</v>
    <v>1f88d0f8-1a57-9810-3550-deb8c9a847d8</v>
    <v>en-IN</v>
    <v>Map</v>
  </rv>
  <rv s="1">
    <fb>4349.0619999999999</fb>
    <v>25</v>
  </rv>
  <rv s="1">
    <fb>129.91403493449801</fb>
    <v>28</v>
  </rv>
  <rv s="1">
    <fb>4.0565519030951102E-3</fb>
    <v>24</v>
  </rv>
  <rv s="1">
    <fb>2182.5091559114098</fb>
    <v>25</v>
  </rv>
  <rv s="1">
    <fb>1.41</fb>
    <v>26</v>
  </rv>
  <rv s="1">
    <fb>0.19034482457954902</fb>
    <v>24</v>
  </rv>
  <rv s="1">
    <fb>84.542360303404394</fb>
    <v>29</v>
  </rv>
  <rv s="1">
    <fb>14180444557.2047</fb>
    <v>31</v>
  </rv>
  <rv s="1">
    <fb>1.0110760000000001</fb>
    <v>24</v>
  </rv>
  <rv s="1">
    <fb>0.4059604</fb>
    <v>24</v>
  </rv>
  <rv s="2">
    <v>68</v>
    <v>22</v>
    <v>405</v>
    <v>7</v>
    <v>0</v>
    <v>Image of Mauritius</v>
  </rv>
  <rv s="1">
    <fb>13.6</fb>
    <v>29</v>
  </rv>
  <rv s="0">
    <v>805306368</v>
    <v>Prithvirajsing Roopun (President)</v>
    <v>b06c04d3-16b7-5e95-43a1-c7c2f4e55051</v>
    <v>en-IN</v>
    <v>Generic</v>
  </rv>
  <rv s="0">
    <v>805306368</v>
    <v>Eddy Boissézon (Vice president)</v>
    <v>d5005d88-5b38-3733-65ca-b498010d2f5d</v>
    <v>en-IN</v>
    <v>Generic</v>
  </rv>
  <rv s="0">
    <v>805306368</v>
    <v>Pravind Jugnauth (Prime minister)</v>
    <v>494b1dbe-25b8-d07c-f0e0-ce3c21a05bf8</v>
    <v>en-IN</v>
    <v>Generic</v>
  </rv>
  <rv s="3">
    <v>126</v>
  </rv>
  <rv s="4">
    <v>https://www.bing.com/search?q=mauritius&amp;form=skydnc</v>
    <v>Learn more on Bing</v>
  </rv>
  <rv s="1">
    <fb>74.416341463414597</fb>
    <v>29</v>
  </rv>
  <rv s="1">
    <fb>8615770000</fb>
    <v>31</v>
  </rv>
  <rv s="1">
    <fb>61</fb>
    <v>29</v>
  </rv>
  <rv s="1">
    <fb>0.38</fb>
    <v>30</v>
  </rv>
  <rv s="3">
    <v>127</v>
  </rv>
  <rv s="1">
    <fb>0.50667020360000004</fb>
    <v>24</v>
  </rv>
  <rv s="1">
    <fb>2.5331000000000001</fb>
    <v>26</v>
  </rv>
  <rv s="1">
    <fb>1262523</fb>
    <v>25</v>
  </rv>
  <rv s="1">
    <fb>0.21100000000000002</fb>
    <v>24</v>
  </rv>
  <rv s="1">
    <fb>0.29899999999999999</fb>
    <v>24</v>
  </rv>
  <rv s="1">
    <fb>0.155</fb>
    <v>24</v>
  </rv>
  <rv s="1">
    <fb>0.58312999725341796</fb>
    <v>24</v>
  </rv>
  <rv s="0">
    <v>536870912</v>
    <v>Rivière Noire District</v>
    <v>43960efa-cdf4-05b0-7f6a-ade80eb7b2ed</v>
    <v>en-IN</v>
    <v>Map</v>
  </rv>
  <rv s="0">
    <v>536870912</v>
    <v>Flacq District</v>
    <v>f6802203-fee5-ab9e-bd66-54e92ba75fd7</v>
    <v>en-IN</v>
    <v>Map</v>
  </rv>
  <rv s="0">
    <v>536870912</v>
    <v>Grand Port District</v>
    <v>170c3315-ad31-7197-f357-0133f1949132</v>
    <v>en-IN</v>
    <v>Map</v>
  </rv>
  <rv s="0">
    <v>536870912</v>
    <v>Moka District</v>
    <v>ba7a6636-e1ff-4a38-b1c8-3886078dde32</v>
    <v>en-IN</v>
    <v>Map</v>
  </rv>
  <rv s="0">
    <v>536870912</v>
    <v>Pamplemousses District</v>
    <v>ae7a0938-d28e-1af4-c525-4d133acea6a2</v>
    <v>en-IN</v>
    <v>Map</v>
  </rv>
  <rv s="0">
    <v>536870912</v>
    <v>Plaines Wilhems District</v>
    <v>d6f61cd5-affc-f553-1d54-4e65b787b250</v>
    <v>en-IN</v>
    <v>Map</v>
  </rv>
  <rv s="0">
    <v>536870912</v>
    <v>Port Louis District</v>
    <v>1c9ae027-beba-5460-ae7f-66d0a4367fea</v>
    <v>en-IN</v>
    <v>Map</v>
  </rv>
  <rv s="0">
    <v>536870912</v>
    <v>Rivière du Rempart District</v>
    <v>21c3a727-199e-4dff-c26c-eefb2d9d1da1</v>
    <v>en-IN</v>
    <v>Map</v>
  </rv>
  <rv s="0">
    <v>536870912</v>
    <v>Savanne District</v>
    <v>ceddfba8-fea9-e6df-c942-749c56c7d753</v>
    <v>en-IN</v>
    <v>Map</v>
  </rv>
  <rv s="3">
    <v>128</v>
  </rv>
  <rv s="1">
    <fb>0.19073085653774999</fb>
    <v>24</v>
  </rv>
  <rv s="1">
    <fb>6.6739997863769496E-2</fb>
    <v>32</v>
  </rv>
  <rv s="1">
    <fb>515980</fb>
    <v>25</v>
  </rv>
  <rv s="19">
    <v>#VALUE!</v>
    <v>en-IN</v>
    <v>f9cbeda3-6339-827e-bcf1-2e940cb5e45e</v>
    <v>536870912</v>
    <v>1</v>
    <v>408</v>
    <v>105</v>
    <v>Mauritius</v>
    <v>20</v>
    <v>21</v>
    <v>Map</v>
    <v>22</v>
    <v>409</v>
    <v>MU</v>
    <v>2395</v>
    <v>2396</v>
    <v>2397</v>
    <v>2398</v>
    <v>2399</v>
    <v>2400</v>
    <v>2401</v>
    <v>2402</v>
    <v>2403</v>
    <v>MUR</v>
    <v>Mauritius, officially the Republic of Mauritius, is an island country in the Indian Ocean, about 2,000 kilometres off the southeastern coast of East Africa, east of Madagascar. It includes the main island and Rodrigues, Agaléga, and St. Brandon. ...</v>
    <v>2404</v>
    <v>2405</v>
    <v>2406</v>
    <v>2407</v>
    <v>2157</v>
    <v>2408</v>
    <v>2409</v>
    <v>2410</v>
    <v>2411</v>
    <v>2412</v>
    <v>2400</v>
    <v>2416</v>
    <v>2417</v>
    <v>2418</v>
    <v>2419</v>
    <v>2420</v>
    <v>2421</v>
    <v>Mauritius</v>
    <v>Motherland</v>
    <v>2422</v>
    <v>Mauritius</v>
    <v>2423</v>
    <v>2424</v>
    <v>2425</v>
    <v>2426</v>
    <v>2427</v>
    <v>1233</v>
    <v>709</v>
    <v>1591</v>
    <v>1024</v>
    <v>2428</v>
    <v>2429</v>
    <v>2439</v>
    <v>2440</v>
    <v>2100</v>
    <v>2441</v>
    <v>Mauritius</v>
    <v>2442</v>
    <v>mdp/vdpid/160</v>
  </rv>
  <rv s="1">
    <fb>46.7</fb>
    <v>25</v>
  </rv>
  <rv s="2">
    <v>69</v>
    <v>22</v>
    <v>411</v>
    <v>7</v>
    <v>0</v>
    <v>Image of Port Louis</v>
  </rv>
  <rv s="0">
    <v>805306368</v>
    <v>Daniel Eric Clive Laurent (Mayor)</v>
    <v>fc5cd18d-abf0-6a5a-7554-5708595db688</v>
    <v>en-IN</v>
    <v>Generic</v>
  </rv>
  <rv s="3">
    <v>129</v>
  </rv>
  <rv s="4">
    <v>https://www.bing.com/search?q=port+louis&amp;form=skydnc</v>
    <v>Learn more on Bing</v>
  </rv>
  <rv s="1">
    <fb>149194</fb>
    <v>25</v>
  </rv>
  <rv s="33">
    <v>#VALUE!</v>
    <v>en-IN</v>
    <v>1f88d0f8-1a57-9810-3550-deb8c9a847d8</v>
    <v>536870912</v>
    <v>1</v>
    <v>413</v>
    <v>222</v>
    <v>Port Louis</v>
    <v>20</v>
    <v>21</v>
    <v>Map</v>
    <v>22</v>
    <v>414</v>
    <v>MU-PU</v>
    <v>2444</v>
    <v>2394</v>
    <v>Port Louis is the capital city of Mauritius. It is mainly located in the Port Louis District, with a small western part in the Black River District. Port Louis is the country's financial and political centre, and most populous city. It is ...</v>
    <v>2445</v>
    <v>2447</v>
    <v>2448</v>
    <v>Port Louis</v>
    <v>2449</v>
    <v>Port Louis</v>
    <v>mdp/vdpid/8247281988432560129</v>
  </rv>
  <rv s="2">
    <v>68</v>
    <v>22</v>
    <v>405</v>
    <v>3</v>
    <v>0</v>
    <v>Image of Mauritius</v>
  </rv>
  <rv s="8">
    <v>en-IN</v>
    <v>ave8ec</v>
    <v>268435456</v>
    <v>1</v>
    <v>Powered by Refinitiv</v>
    <v>42</v>
    <v>JPY/GBP</v>
    <v>43</v>
    <v>110</v>
    <v>Finance</v>
    <v>45</v>
    <v>5.4229999999999999E-3</v>
    <v>4.8679999999999999E-3</v>
    <v>-1.1E-5</v>
    <v>-2.2400000000000002E-3</v>
    <v>GBP</v>
    <v>JPY</v>
    <v>4.9119999999999997E-3</v>
    <v>Currency Pair</v>
    <v>45957.217800925922</v>
    <v>4.901E-3</v>
    <v>Japanese Yen/UK Pound Sterling FX Cross Rate</v>
    <v>4.9049999999999996E-3</v>
    <v>4.9109999999999996E-3</v>
    <v>4.8999999999999998E-3</v>
    <v>JPYGBP</v>
    <v>JPY/GBP</v>
  </rv>
  <rv s="9">
    <v>2452</v>
  </rv>
  <rv s="0">
    <v>536870912</v>
    <v>Mexico</v>
    <v>8e475659-4bdc-d912-6494-affce0096bc1</v>
    <v>en-IN</v>
    <v>Map</v>
  </rv>
  <rv s="1">
    <fb>0.54649553743666202</fb>
    <v>24</v>
  </rv>
  <rv s="1">
    <fb>1972550</fb>
    <v>25</v>
  </rv>
  <rv s="1">
    <fb>336000</fb>
    <v>25</v>
  </rv>
  <rv s="1">
    <fb>17.602</fb>
    <v>26</v>
  </rv>
  <rv s="1">
    <fb>52</fb>
    <v>27</v>
  </rv>
  <rv s="0">
    <v>536870912</v>
    <v>Mexico City</v>
    <v>f1281260-8340-e258-c8ec-3522504400e5</v>
    <v>en-IN</v>
    <v>Map</v>
  </rv>
  <rv s="1">
    <fb>486405.54800000001</fb>
    <v>25</v>
  </rv>
  <rv s="1">
    <fb>141.54252296997399</fb>
    <v>28</v>
  </rv>
  <rv s="1">
    <fb>3.6359614212704998E-2</fb>
    <v>24</v>
  </rv>
  <rv s="1">
    <fb>2157.32394883914</fb>
    <v>25</v>
  </rv>
  <rv s="1">
    <fb>2.129</fb>
    <v>26</v>
  </rv>
  <rv s="1">
    <fb>0.339249458255099</fb>
    <v>24</v>
  </rv>
  <rv s="1">
    <fb>90.426207910940704</fb>
    <v>29</v>
  </rv>
  <rv s="1">
    <fb>0.73</fb>
    <v>30</v>
  </rv>
  <rv s="1">
    <fb>1258286717124.53</fb>
    <v>31</v>
  </rv>
  <rv s="1">
    <fb>1.0577000999999999</fb>
    <v>24</v>
  </rv>
  <rv s="1">
    <fb>0.40228960000000002</fb>
    <v>24</v>
  </rv>
  <rv s="2">
    <v>70</v>
    <v>22</v>
    <v>416</v>
    <v>7</v>
    <v>0</v>
    <v>Image of Mexico</v>
  </rv>
  <rv s="1">
    <fb>11</fb>
    <v>29</v>
  </rv>
  <rv s="0">
    <v>805306368</v>
    <v>Andrés Manuel López Obrador (President)</v>
    <v>f285a927-f27b-4a8e-277b-5c53b148cf20</v>
    <v>en-IN</v>
    <v>Generic</v>
  </rv>
  <rv s="0">
    <v>805306368</v>
    <v>Norma Lucía Piña Hernández (Chief justice)</v>
    <v>c6ded009-db4d-d436-ada5-514c16278dd4</v>
    <v>en-IN</v>
    <v>Generic</v>
  </rv>
  <rv s="3">
    <v>130</v>
  </rv>
  <rv s="4">
    <v>https://www.bing.com/search?q=mexico&amp;form=skydnc</v>
    <v>Learn more on Bing</v>
  </rv>
  <rv s="1">
    <fb>74.992000000000004</fb>
    <v>29</v>
  </rv>
  <rv s="1">
    <fb>413618820000</fb>
    <v>31</v>
  </rv>
  <rv s="1">
    <fb>33</fb>
    <v>29</v>
  </rv>
  <rv s="1">
    <fb>0.49</fb>
    <v>30</v>
  </rv>
  <rv s="3">
    <v>131</v>
  </rv>
  <rv s="1">
    <fb>0.41370018680000004</fb>
    <v>24</v>
  </rv>
  <rv s="1">
    <fb>2.3826999999999998</fb>
    <v>26</v>
  </rv>
  <rv s="1">
    <fb>127504125</fb>
    <v>25</v>
  </rv>
  <rv s="1">
    <fb>0.2</fb>
    <v>24</v>
  </rv>
  <rv s="1">
    <fb>0.36399999999999999</fb>
    <v>24</v>
  </rv>
  <rv s="1">
    <fb>0.02</fb>
    <v>24</v>
  </rv>
  <rv s="1">
    <fb>5.4000000000000006E-2</fb>
    <v>24</v>
  </rv>
  <rv s="1">
    <fb>9.5000000000000001E-2</fb>
    <v>24</v>
  </rv>
  <rv s="1">
    <fb>0.60680000305175807</fb>
    <v>24</v>
  </rv>
  <rv s="0">
    <v>536870912</v>
    <v>Aguascalientes</v>
    <v>7f39db16-d0e9-f4ba-b929-2a69336bbcb0</v>
    <v>en-IN</v>
    <v>Map</v>
  </rv>
  <rv s="0">
    <v>536870912</v>
    <v>Baja California</v>
    <v>6b504587-24aa-0512-9ca8-180f7fa0f586</v>
    <v>en-IN</v>
    <v>Map</v>
  </rv>
  <rv s="0">
    <v>536870912</v>
    <v>Baja California Sur</v>
    <v>72f2373c-402d-1899-776e-ebde71dada5d</v>
    <v>en-IN</v>
    <v>Map</v>
  </rv>
  <rv s="0">
    <v>536870912</v>
    <v>Campeche</v>
    <v>7c67b06b-20b4-3244-d633-4a6255df7395</v>
    <v>en-IN</v>
    <v>Map</v>
  </rv>
  <rv s="0">
    <v>536870912</v>
    <v>Chiapas</v>
    <v>f0d5e228-a3c3-8699-7df3-32ab85b078b3</v>
    <v>en-IN</v>
    <v>Map</v>
  </rv>
  <rv s="0">
    <v>536870912</v>
    <v>Chihuahua</v>
    <v>ce5a5e29-7bae-05e8-fec7-e028f5c1e139</v>
    <v>en-IN</v>
    <v>Map</v>
  </rv>
  <rv s="0">
    <v>536870912</v>
    <v>Coahuila</v>
    <v>b1fb0720-5dff-3cd3-aa9b-e91c0988b9f4</v>
    <v>en-IN</v>
    <v>Map</v>
  </rv>
  <rv s="0">
    <v>536870912</v>
    <v>Colima</v>
    <v>c5187e51-1440-155f-505d-5c7804e1489f</v>
    <v>en-IN</v>
    <v>Map</v>
  </rv>
  <rv s="0">
    <v>536870912</v>
    <v>Durango</v>
    <v>d5a4a060-173a-aa5a-3023-abf4cbc2f03d</v>
    <v>en-IN</v>
    <v>Map</v>
  </rv>
  <rv s="0">
    <v>536870912</v>
    <v>Guanajuato</v>
    <v>9eaf00cd-2b5c-3655-adbc-dc91f1f0fca3</v>
    <v>en-IN</v>
    <v>Map</v>
  </rv>
  <rv s="0">
    <v>536870912</v>
    <v>Guerrero</v>
    <v>86638283-e8d0-0d69-1241-dc688f82149b</v>
    <v>en-IN</v>
    <v>Map</v>
  </rv>
  <rv s="0">
    <v>536870912</v>
    <v>Hidalgo</v>
    <v>76baa939-e01a-077d-0c83-522220d05a5b</v>
    <v>en-IN</v>
    <v>Map</v>
  </rv>
  <rv s="0">
    <v>536870912</v>
    <v>Jalisco</v>
    <v>18c29bf9-bbf0-e90f-10f3-c48c9791339b</v>
    <v>en-IN</v>
    <v>Map</v>
  </rv>
  <rv s="0">
    <v>536870912</v>
    <v>State of Mexico</v>
    <v>884c2c6c-6f06-85ee-aa8d-65b8980f2231</v>
    <v>en-IN</v>
    <v>Map</v>
  </rv>
  <rv s="0">
    <v>536870912</v>
    <v>Michoacán</v>
    <v>33ec3160-5b7b-5fef-defd-4574b6b819d6</v>
    <v>en-IN</v>
    <v>Map</v>
  </rv>
  <rv s="0">
    <v>536870912</v>
    <v>Morelos</v>
    <v>457cd12b-12ce-71c2-81d5-f60ba9645b36</v>
    <v>en-IN</v>
    <v>Map</v>
  </rv>
  <rv s="0">
    <v>536870912</v>
    <v>Nayarit</v>
    <v>d5ab8703-9922-20b7-03c7-acb17f76b03e</v>
    <v>en-IN</v>
    <v>Map</v>
  </rv>
  <rv s="0">
    <v>536870912</v>
    <v>Nuevo León</v>
    <v>1696b325-bf35-b9aa-28db-3304c1996498</v>
    <v>en-IN</v>
    <v>Map</v>
  </rv>
  <rv s="0">
    <v>536870912</v>
    <v>Oaxaca State</v>
    <v>2a651e2b-4cd2-6315-971b-6bddb30dfb4d</v>
    <v>en-IN</v>
    <v>Map</v>
  </rv>
  <rv s="0">
    <v>536870912</v>
    <v>Puebla</v>
    <v>e266f3f0-af5e-7537-36e1-118cfcc783a3</v>
    <v>en-IN</v>
    <v>Map</v>
  </rv>
  <rv s="0">
    <v>536870912</v>
    <v>Querétaro</v>
    <v>4a2d4179-0f55-70d5-99e7-165b2289a273</v>
    <v>en-IN</v>
    <v>Map</v>
  </rv>
  <rv s="0">
    <v>536870912</v>
    <v>Quintana Roo</v>
    <v>96bcffec-8d1c-5e86-ab0e-e31d5b9a157c</v>
    <v>en-IN</v>
    <v>Map</v>
  </rv>
  <rv s="0">
    <v>536870912</v>
    <v>San Luis Potosí</v>
    <v>c228dff2-2024-525b-1b90-fe82a2f5ccfc</v>
    <v>en-IN</v>
    <v>Map</v>
  </rv>
  <rv s="0">
    <v>536870912</v>
    <v>Sinaloa</v>
    <v>ef7dcafc-cca2-39b2-e063-e2bbf5b2022e</v>
    <v>en-IN</v>
    <v>Map</v>
  </rv>
  <rv s="0">
    <v>536870912</v>
    <v>Sonora</v>
    <v>e59e4f16-5e42-af6e-b970-e0ae59046077</v>
    <v>en-IN</v>
    <v>Map</v>
  </rv>
  <rv s="0">
    <v>536870912</v>
    <v>Tabasco</v>
    <v>f96880d9-0a36-58d3-7351-a4c7070c642d</v>
    <v>en-IN</v>
    <v>Map</v>
  </rv>
  <rv s="0">
    <v>536870912</v>
    <v>Tamaulipas State</v>
    <v>6f2fce2f-2090-8583-dbf3-dd9d6fc3cab3</v>
    <v>en-IN</v>
    <v>Map</v>
  </rv>
  <rv s="0">
    <v>536870912</v>
    <v>Tlaxcala</v>
    <v>77063c53-3a0e-fbf0-30d8-68218fbc38fa</v>
    <v>en-IN</v>
    <v>Map</v>
  </rv>
  <rv s="0">
    <v>536870912</v>
    <v>Veracruz</v>
    <v>10381f79-264a-f2fd-08f8-cc5377683832</v>
    <v>en-IN</v>
    <v>Map</v>
  </rv>
  <rv s="0">
    <v>536870912</v>
    <v>Yucatán</v>
    <v>f096e19b-5b56-f73a-3e33-e3f03e33fffc</v>
    <v>en-IN</v>
    <v>Map</v>
  </rv>
  <rv s="0">
    <v>536870912</v>
    <v>Zacatecas</v>
    <v>135a47e4-6f2c-2112-febf-50c21b485bd3</v>
    <v>en-IN</v>
    <v>Map</v>
  </rv>
  <rv s="3">
    <v>132</v>
  </rv>
  <rv s="1">
    <fb>0.130829255322402</fb>
    <v>24</v>
  </rv>
  <rv s="3">
    <v>133</v>
  </rv>
  <rv s="1">
    <fb>0.55100000000000005</fb>
    <v>24</v>
  </rv>
  <rv s="1">
    <fb>3.4249999523162801E-2</fb>
    <v>32</v>
  </rv>
  <rv s="1">
    <fb>102626859</fb>
    <v>25</v>
  </rv>
  <rv s="5">
    <v>#VALUE!</v>
    <v>en-IN</v>
    <v>8e475659-4bdc-d912-6494-affce0096bc1</v>
    <v>536870912</v>
    <v>1</v>
    <v>419</v>
    <v>18</v>
    <v>Mexico</v>
    <v>20</v>
    <v>21</v>
    <v>Map</v>
    <v>22</v>
    <v>420</v>
    <v>MX</v>
    <v>2455</v>
    <v>2456</v>
    <v>2457</v>
    <v>2458</v>
    <v>2459</v>
    <v>2460</v>
    <v>2461</v>
    <v>2462</v>
    <v>2463</v>
    <v>MXN</v>
    <v>Mexico, officially the United Mexican States, is a country in the southern portion of North America. It is bordered to the north by the United States; to the south and west by the Pacific Ocean; to the southeast by Guatemala, Belize, and the ...</v>
    <v>2464</v>
    <v>2465</v>
    <v>2466</v>
    <v>2467</v>
    <v>2468</v>
    <v>2469</v>
    <v>2470</v>
    <v>2471</v>
    <v>2472</v>
    <v>2473</v>
    <v>2460</v>
    <v>2476</v>
    <v>2477</v>
    <v>2478</v>
    <v>2479</v>
    <v>2480</v>
    <v>2481</v>
    <v>Mexico</v>
    <v>Himno Nacional Mexicano</v>
    <v>2482</v>
    <v>Estaos Xuníos Mexicanos</v>
    <v>2483</v>
    <v>2484</v>
    <v>2485</v>
    <v>2486</v>
    <v>2487</v>
    <v>1979</v>
    <v>2488</v>
    <v>2489</v>
    <v>2490</v>
    <v>1170</v>
    <v>2491</v>
    <v>2523</v>
    <v>2524</v>
    <v>2525</v>
    <v>2526</v>
    <v>2527</v>
    <v>Mexico</v>
    <v>2528</v>
    <v>mdp/vdpid/166</v>
  </rv>
  <rv s="1">
    <fb>1485</fb>
    <v>25</v>
  </rv>
  <rv s="1">
    <fb>2714955</fb>
    <v>25</v>
  </rv>
  <rv s="2">
    <v>71</v>
    <v>22</v>
    <v>421</v>
    <v>7</v>
    <v>0</v>
    <v>Image of Mexico City</v>
  </rv>
  <rv s="0">
    <v>805306368</v>
    <v>Martí Batres (Mayor)</v>
    <v>5a622f9e-7cc9-58c5-fba0-05c932da0c1b</v>
    <v>en-IN</v>
    <v>Generic</v>
  </rv>
  <rv s="3">
    <v>134</v>
  </rv>
  <rv s="4">
    <v>https://www.bing.com/search?q=mexico+city&amp;form=skydnc</v>
    <v>Learn more on Bing</v>
  </rv>
  <rv s="1">
    <fb>9209944</fb>
    <v>25</v>
  </rv>
  <rv s="53">
    <v>#VALUE!</v>
    <v>en-IN</v>
    <v>f1281260-8340-e258-c8ec-3522504400e5</v>
    <v>536870912</v>
    <v>1</v>
    <v>424</v>
    <v>425</v>
    <v>Mexico City</v>
    <v>20</v>
    <v>21</v>
    <v>Map</v>
    <v>22</v>
    <v>426</v>
    <v>MX-CMX</v>
    <v>2530</v>
    <v>2454</v>
    <v>Mexico City is the capital and largest city of Mexico, and the most populous city in North America. Mexico City is one of the most important cultural and financial centers in the world. It is located in the Valley of Mexico within the high ...</v>
    <v>2531</v>
    <v>2532</v>
    <v>2534</v>
    <v>2535</v>
    <v>Mexico City</v>
    <v>2536</v>
    <v>Mexico City</v>
    <v>mdp/vdpid/5162431768069931014</v>
  </rv>
  <rv s="2">
    <v>70</v>
    <v>22</v>
    <v>416</v>
    <v>3</v>
    <v>0</v>
    <v>Image of Mexico</v>
  </rv>
  <rv s="8">
    <v>en-IN</v>
    <v>avytp2</v>
    <v>268435456</v>
    <v>1</v>
    <v>Powered by Refinitiv</v>
    <v>42</v>
    <v>USD/TRY</v>
    <v>43</v>
    <v>427</v>
    <v>Finance</v>
    <v>45</v>
    <v>42.058500000000002</v>
    <v>33.906999999999996</v>
    <v>7.7299999999999994E-2</v>
    <v>1.8440000000000002E-3</v>
    <v>TRY</v>
    <v>USD</v>
    <v>42.020299999999999</v>
    <v>Currency Pair</v>
    <v>45957.216921296298</v>
    <v>41.949599999999997</v>
    <v>US Dollar/Turkish Lira FX Spot Rate</v>
    <v>41.945500000000003</v>
    <v>41.919699999999999</v>
    <v>41.997</v>
    <v>USDTRY</v>
    <v>USD/TRY</v>
  </rv>
  <rv s="9">
    <v>2539</v>
  </rv>
  <rv s="4">
    <v>https://www.bing.com/financeapi/forcetrigger?t=a1wljc&amp;q=XNYS%3aKO&amp;form=skydnc</v>
    <v>Learn more on Bing</v>
  </rv>
  <rv s="10">
    <v>en-IN</v>
    <v>a1wljc</v>
    <v>268435456</v>
    <v>1</v>
    <v>Powered by Refinitiv</v>
    <v>46</v>
    <v>THE COCA-COLA COMPANY (XNYS:KO)</v>
    <v>47</v>
    <v>48</v>
    <v>Finance</v>
    <v>49</v>
    <v>74.38</v>
    <v>60.615000000000002</v>
    <v>0.41589999999999999</v>
    <v>-0.23</v>
    <v>-1.4349999999999999E-4</v>
    <v>-3.2890000000000003E-3</v>
    <v>-0.01</v>
    <v>USD</v>
    <v>The Coca-Cola Company is a beverage company. The Company's segments include Europe, Middle East and Africa; Latin America; North America; Asia Pacific; Global Ventures;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AdeS.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69700</v>
    <v>New York Stock Exchange</v>
    <v>XNYS</v>
    <v>XNYS</v>
    <v>1 Coca Cola Plz NW, ATLANTA, GA, 30313-2420 US</v>
    <v>70.05</v>
    <v>Beverages</v>
    <v>Stock</v>
    <v>45954.999698911721</v>
    <v>2541</v>
    <v>69.644999999999996</v>
    <v>304596900000</v>
    <v>THE COCA-COLA COMPANY</v>
    <v>THE COCA-COLA COMPANY</v>
    <v>69.91</v>
    <v>23.077000000000002</v>
    <v>69.94</v>
    <v>69.709999999999994</v>
    <v>69.7</v>
    <v>4301609000</v>
    <v>KO</v>
    <v>THE COCA-COLA COMPANY (XNYS:KO)</v>
    <v>15688202</v>
    <v>16068609</v>
    <v>1919</v>
  </rv>
  <rv s="9">
    <v>2542</v>
  </rv>
  <rv s="0">
    <v>536870912</v>
    <v>Federated States of Micronesia</v>
    <v>b9f97425-2e4f-9921-d91f-c9f6bd7b9fbb</v>
    <v>en-IN</v>
    <v>Map</v>
  </rv>
  <rv s="1">
    <fb>0.314285714285714</fb>
    <v>24</v>
  </rv>
  <rv s="1">
    <fb>702</fb>
    <v>25</v>
  </rv>
  <rv s="1">
    <fb>22.82</fb>
    <v>26</v>
  </rv>
  <rv s="1">
    <fb>691</fb>
    <v>27</v>
  </rv>
  <rv s="0">
    <v>536870912</v>
    <v>Palikir</v>
    <v>038b0e9d-2de4-2e92-f4d4-dbf939cdc965</v>
    <v>en-IN</v>
    <v>Map</v>
  </rv>
  <rv s="1">
    <fb>112.096989888685</fb>
    <v>28</v>
  </rv>
  <rv s="1">
    <fb>5.2262390344688303E-3</fb>
    <v>24</v>
  </rv>
  <rv s="1">
    <fb>3.0529999999999999</fb>
    <v>26</v>
  </rv>
  <rv s="1">
    <fb>0.91857147216796908</fb>
    <v>24</v>
  </rv>
  <rv s="1">
    <fb>401932279.01922101</fb>
    <v>31</v>
  </rv>
  <rv s="1">
    <fb>0.97174740000000004</fb>
    <v>24</v>
  </rv>
  <rv s="1">
    <fb>0.14117969999999999</fb>
    <v>24</v>
  </rv>
  <rv s="2">
    <v>72</v>
    <v>22</v>
    <v>429</v>
    <v>7</v>
    <v>0</v>
    <v>Image of Federated States of Micronesia</v>
  </rv>
  <rv s="1">
    <fb>25.6</fb>
    <v>29</v>
  </rv>
  <rv s="0">
    <v>805306368</v>
    <v>Wesley Simina (President)</v>
    <v>0b783031-78f0-39b0-dea0-98310c038813</v>
    <v>en-IN</v>
    <v>Generic</v>
  </rv>
  <rv s="0">
    <v>805306368</v>
    <v>Aren Palik (Vice president)</v>
    <v>ede07b17-716e-9a08-c5fa-ef2b37dd77b5</v>
    <v>en-IN</v>
    <v>Generic</v>
  </rv>
  <rv s="3">
    <v>135</v>
  </rv>
  <rv s="4">
    <v>https://www.bing.com/search?q=federated+states+of+micronesia&amp;form=skydnc</v>
    <v>Learn more on Bing</v>
  </rv>
  <rv s="1">
    <fb>67.754999999999995</fb>
    <v>29</v>
  </rv>
  <rv s="1">
    <fb>88</fb>
    <v>29</v>
  </rv>
  <rv s="1">
    <fb>2.4602904799999999E-2</fb>
    <v>24</v>
  </rv>
  <rv s="1">
    <fb>0.17699999999999999</fb>
    <v>26</v>
  </rv>
  <rv s="1">
    <fb>114164</fb>
    <v>25</v>
  </rv>
  <rv s="1">
    <fb>0.29699999999999999</fb>
    <v>24</v>
  </rv>
  <rv s="1">
    <fb>0.46</fb>
    <v>24</v>
  </rv>
  <rv s="1">
    <fb>5.5E-2</fb>
    <v>24</v>
  </rv>
  <rv s="1">
    <fb>0.107</fb>
    <v>24</v>
  </rv>
  <rv s="0">
    <v>536870912</v>
    <v>Chuuk State</v>
    <v>b1970d67-de63-df9c-e9b8-bd3e679a1c3b</v>
    <v>en-IN</v>
    <v>Map</v>
  </rv>
  <rv s="0">
    <v>536870912</v>
    <v>Pohnpei State</v>
    <v>660bd7de-32fc-3f4f-c1b8-949b39774683</v>
    <v>en-IN</v>
    <v>Map</v>
  </rv>
  <rv s="0">
    <v>536870912</v>
    <v>Yap State</v>
    <v>a9bf872c-75e9-7dc7-6d69-b00782e9a4e1</v>
    <v>en-IN</v>
    <v>Map</v>
  </rv>
  <rv s="3">
    <v>136</v>
  </rv>
  <rv s="1">
    <fb>0.25196273850098599</fb>
    <v>24</v>
  </rv>
  <rv s="1">
    <fb>0.60499999999999998</fb>
    <v>24</v>
  </rv>
  <rv s="1">
    <fb>25963</fb>
    <v>25</v>
  </rv>
  <rv s="54">
    <v>#VALUE!</v>
    <v>en-IN</v>
    <v>b9f97425-2e4f-9921-d91f-c9f6bd7b9fbb</v>
    <v>536870912</v>
    <v>1</v>
    <v>432</v>
    <v>433</v>
    <v>Federated States of Micronesia</v>
    <v>20</v>
    <v>21</v>
    <v>Map</v>
    <v>22</v>
    <v>434</v>
    <v>FM</v>
    <v>2545</v>
    <v>2546</v>
    <v>2547</v>
    <v>2548</v>
    <v>2549</v>
    <v>2267</v>
    <v>2550</v>
    <v>2551</v>
    <v>USD</v>
    <v>The Federated States of Micronesia, or simply Micronesia, is an island country in Micronesia, a subregion of Oceania. It consists of four states—from west to east, Yap, Chuuk, Pohnpei and Kosrae—that are spread across the western Pacific. ...</v>
    <v>2552</v>
    <v>2553</v>
    <v>2554</v>
    <v>2555</v>
    <v>2556</v>
    <v>2557</v>
    <v>2558</v>
    <v>2549</v>
    <v>2561</v>
    <v>2562</v>
    <v>2563</v>
    <v>2564</v>
    <v>Federated States of Micronesia</v>
    <v>Patriots of Micronesia</v>
    <v>1974</v>
    <v>les États fédérés de Micronésie</v>
    <v>2565</v>
    <v>2566</v>
    <v>2567</v>
    <v>329</v>
    <v>2568</v>
    <v>2569</v>
    <v>502</v>
    <v>2570</v>
    <v>2571</v>
    <v>1237</v>
    <v>2575</v>
    <v>2576</v>
    <v>2577</v>
    <v>Federated States of Micronesia</v>
    <v>2578</v>
    <v>mdp/vdpid/80</v>
  </rv>
  <rv s="2">
    <v>73</v>
    <v>22</v>
    <v>435</v>
    <v>7</v>
    <v>0</v>
    <v>Image of Palikir</v>
  </rv>
  <rv s="1">
    <fb>6.9177777777777996</fb>
    <v>37</v>
  </rv>
  <rv s="4">
    <v>https://www.bing.com/search?q=palikir&amp;form=skydnc</v>
    <v>Learn more on Bing</v>
  </rv>
  <rv s="1">
    <fb>158.185</fb>
    <v>37</v>
  </rv>
  <rv s="1">
    <fb>6647</fb>
    <v>25</v>
  </rv>
  <rv s="55">
    <v>#VALUE!</v>
    <v>en-IN</v>
    <v>038b0e9d-2de4-2e92-f4d4-dbf939cdc965</v>
    <v>536870912</v>
    <v>1</v>
    <v>437</v>
    <v>438</v>
    <v>Palikir</v>
    <v>20</v>
    <v>21</v>
    <v>Map</v>
    <v>22</v>
    <v>439</v>
    <v>2573</v>
    <v>2544</v>
    <v>Palikir is the capital city of the Federated States of Micronesia located in the western Pacific Ocean. A town of slightly under 5,000 residents, it is part of the larger Sokehs municipality, which had a population of 6,647 as of 2010, out of ...</v>
    <v>2580</v>
    <v>2581</v>
    <v>2582</v>
    <v>2583</v>
    <v>Palikir</v>
    <v>2584</v>
    <v>Palikir</v>
    <v>mdp/vdpid/8053856386427125761</v>
  </rv>
  <rv s="2">
    <v>72</v>
    <v>22</v>
    <v>429</v>
    <v>3</v>
    <v>0</v>
    <v>Image of Federated States of Micronesia</v>
  </rv>
  <rv s="8">
    <v>en-IN</v>
    <v>avx1fr</v>
    <v>268435456</v>
    <v>1</v>
    <v>Powered by Refinitiv</v>
    <v>42</v>
    <v>TRY/USD</v>
    <v>43</v>
    <v>62</v>
    <v>Finance</v>
    <v>45</v>
    <v>2.93E-2</v>
    <v>2.35E-2</v>
    <v>0</v>
    <v>0</v>
    <v>USD</v>
    <v>TRY</v>
    <v>2.3800000000000002E-2</v>
    <v>Currency Pair</v>
    <v>45957.217731481483</v>
    <v>2.3800000000000002E-2</v>
    <v>Turkish Lira/US Dollar FX Cross Rate</v>
    <v>2.3800000000000002E-2</v>
    <v>2.3800000000000002E-2</v>
    <v>2.3800000000000002E-2</v>
    <v>TRYUSD</v>
    <v>TRY/USD</v>
  </rv>
  <rv s="9">
    <v>2587</v>
  </rv>
  <rv s="4">
    <v>https://www.bing.com/financeapi/forcetrigger?t=a1qe5r&amp;q=XNAS%3aCSCO&amp;form=skydnc</v>
    <v>Learn more on Bing</v>
  </rv>
  <rv s="10">
    <v>en-IN</v>
    <v>a1qe5r</v>
    <v>268435456</v>
    <v>1</v>
    <v>Powered by Refinitiv</v>
    <v>46</v>
    <v>CISCO SYSTEMS, INC. (XNAS:CSCO)</v>
    <v>47</v>
    <v>48</v>
    <v>Finance</v>
    <v>49</v>
    <v>72.55</v>
    <v>52.11</v>
    <v>0.94450000000000001</v>
    <v>0.36</v>
    <v>-7.0790000000000002E-4</v>
    <v>5.1229999999999999E-3</v>
    <v>-0.05</v>
    <v>USD</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86200</v>
    <v>Nasdaq Stock Market</v>
    <v>XNAS</v>
    <v>XNAS</v>
    <v>170 West Tasman Dr, SAN JOSE, CA, 95134-1706 US</v>
    <v>70.94</v>
    <v>Communications &amp; Networking</v>
    <v>Stock</v>
    <v>45954.999660010937</v>
    <v>2589</v>
    <v>70.06</v>
    <v>279332900000</v>
    <v>CISCO SYSTEMS, INC.</v>
    <v>CISCO SYSTEMS, INC.</v>
    <v>70.635000000000005</v>
    <v>29.8581</v>
    <v>70.27</v>
    <v>70.63</v>
    <v>70.58</v>
    <v>3953197000</v>
    <v>CSCO</v>
    <v>CISCO SYSTEMS, INC. (XNAS:CSCO)</v>
    <v>13075554</v>
    <v>18838008</v>
    <v>2021</v>
  </rv>
  <rv s="9">
    <v>2590</v>
  </rv>
  <rv s="0">
    <v>536870912</v>
    <v>Moldova</v>
    <v>cc6beb87-eebc-d1b9-c08d-94ab92488417</v>
    <v>en-IN</v>
    <v>Map</v>
  </rv>
  <rv s="1">
    <fb>0.74217087260565506</fb>
    <v>24</v>
  </rv>
  <rv s="1">
    <fb>33843.5</fb>
    <v>25</v>
  </rv>
  <rv s="1">
    <fb>7000</fb>
    <v>25</v>
  </rv>
  <rv s="1">
    <fb>10.1</fb>
    <v>26</v>
  </rv>
  <rv s="1">
    <fb>373</fb>
    <v>27</v>
  </rv>
  <rv s="0">
    <v>536870912</v>
    <v>Chișinău</v>
    <v>9274279d-0140-1f5d-0a98-a8f07250eb4a</v>
    <v>en-IN</v>
    <v>Map</v>
  </rv>
  <rv s="1">
    <fb>5115.4650000000001</fb>
    <v>25</v>
  </rv>
  <rv s="1">
    <fb>166.19627963692099</fb>
    <v>28</v>
  </rv>
  <rv s="1">
    <fb>4.83778351428725E-2</fb>
    <v>24</v>
  </rv>
  <rv s="1">
    <fb>1386.2344389560601</fb>
    <v>25</v>
  </rv>
  <rv s="1">
    <fb>1.262</fb>
    <v>26</v>
  </rv>
  <rv s="1">
    <fb>0.12575251021694001</fb>
    <v>24</v>
  </rv>
  <rv s="1">
    <fb>88.688022239406195</fb>
    <v>29</v>
  </rv>
  <rv s="1">
    <fb>11955435456.7957</fb>
    <v>31</v>
  </rv>
  <rv s="1">
    <fb>0.90618759999999998</fb>
    <v>24</v>
  </rv>
  <rv s="1">
    <fb>0.39821240000000002</fb>
    <v>24</v>
  </rv>
  <rv s="2">
    <v>74</v>
    <v>22</v>
    <v>441</v>
    <v>7</v>
    <v>0</v>
    <v>Image of Moldova</v>
  </rv>
  <rv s="0">
    <v>805306368</v>
    <v>Maia Sandu (President)</v>
    <v>8ffda83f-9dad-4a14-a39b-00493ab4ffa1</v>
    <v>en-IN</v>
    <v>Generic</v>
  </rv>
  <rv s="0">
    <v>805306368</v>
    <v>Dorin Recean (Prime minister)</v>
    <v>2aefa8a0-b837-4b49-b239-fb29ea18b1e4</v>
    <v>en-IN</v>
    <v>Generic</v>
  </rv>
  <rv s="3">
    <v>137</v>
  </rv>
  <rv s="4">
    <v>https://www.bing.com/search?q=moldova&amp;form=skydnc</v>
    <v>Learn more on Bing</v>
  </rv>
  <rv s="1">
    <fb>71.808000000000007</fb>
    <v>29</v>
  </rv>
  <rv s="1">
    <fb>0.31</fb>
    <v>30</v>
  </rv>
  <rv s="3">
    <v>138</v>
  </rv>
  <rv s="1">
    <fb>0.46187765570000006</fb>
    <v>24</v>
  </rv>
  <rv s="1">
    <fb>3.2065999999999999</fb>
    <v>26</v>
  </rv>
  <rv s="1">
    <fb>2592477</fb>
    <v>25</v>
  </rv>
  <rv s="1">
    <fb>0.36</fb>
    <v>24</v>
  </rv>
  <rv s="1">
    <fb>4.4000000000000004E-2</fb>
    <v>24</v>
  </rv>
  <rv s="1">
    <fb>0.10199999999999999</fb>
    <v>24</v>
  </rv>
  <rv s="1">
    <fb>0.17499999999999999</fb>
    <v>24</v>
  </rv>
  <rv s="1">
    <fb>0.430859985351563</fb>
    <v>24</v>
  </rv>
  <rv s="0">
    <v>536870912</v>
    <v>Anenii Noi District</v>
    <v>00fbbcee-9f60-a2dc-30b0-a97c52cf9ebe</v>
    <v>en-IN</v>
    <v>Map</v>
  </rv>
  <rv s="0">
    <v>536870912</v>
    <v>Basarabeasca District</v>
    <v>c5e91e54-685e-22a4-4b02-6bda72de73ae</v>
    <v>en-IN</v>
    <v>Map</v>
  </rv>
  <rv s="0">
    <v>536870912</v>
    <v>Briceni District</v>
    <v>d55ddb65-6298-ea5c-4012-8ca41a65ae2f</v>
    <v>en-IN</v>
    <v>Map</v>
  </rv>
  <rv s="0">
    <v>536870912</v>
    <v>Cahul District</v>
    <v>ae750499-fd09-3581-eca5-32c41a29b14b</v>
    <v>en-IN</v>
    <v>Map</v>
  </rv>
  <rv s="0">
    <v>536870912</v>
    <v>Cantemir District</v>
    <v>1e52884e-e76d-82ad-62c5-5a2eef643828</v>
    <v>en-IN</v>
    <v>Map</v>
  </rv>
  <rv s="0">
    <v>536870912</v>
    <v>Călărași District</v>
    <v>923a3877-8419-8db5-190c-388ea9000964</v>
    <v>en-IN</v>
    <v>Map</v>
  </rv>
  <rv s="0">
    <v>536870912</v>
    <v>Căușeni District</v>
    <v>921d73c6-df75-d40c-d05a-2613f102d3f3</v>
    <v>en-IN</v>
    <v>Map</v>
  </rv>
  <rv s="0">
    <v>536870912</v>
    <v>Cimișlia District</v>
    <v>17d45124-6f0e-3eeb-772f-7bbe855b9569</v>
    <v>en-IN</v>
    <v>Map</v>
  </rv>
  <rv s="0">
    <v>536870912</v>
    <v>Criuleni District</v>
    <v>6d55321c-a6b0-ef2c-aad3-cb22f3f5c2df</v>
    <v>en-IN</v>
    <v>Map</v>
  </rv>
  <rv s="0">
    <v>536870912</v>
    <v>Dondușeni District</v>
    <v>781dbd12-4056-a6e9-f9b8-d47e9f70182d</v>
    <v>en-IN</v>
    <v>Map</v>
  </rv>
  <rv s="0">
    <v>536870912</v>
    <v>Drochia District</v>
    <v>6de256f4-615c-af70-9768-e059ddf0e96a</v>
    <v>en-IN</v>
    <v>Map</v>
  </rv>
  <rv s="0">
    <v>536870912</v>
    <v>Dubăsari District</v>
    <v>b25870a9-db57-4b63-97c7-313fc028bbd3</v>
    <v>en-IN</v>
    <v>Map</v>
  </rv>
  <rv s="0">
    <v>536870912</v>
    <v>Edineț District</v>
    <v>524b623a-e464-88df-af1f-c443942d61c7</v>
    <v>en-IN</v>
    <v>Map</v>
  </rv>
  <rv s="0">
    <v>536870912</v>
    <v>Fălești District</v>
    <v>f5d678e6-231a-fe64-8f4b-309c0e3daa9f</v>
    <v>en-IN</v>
    <v>Map</v>
  </rv>
  <rv s="0">
    <v>536870912</v>
    <v>Florești District</v>
    <v>1d8fb8dc-5a8f-8a4a-cc38-7ce81a60373d</v>
    <v>en-IN</v>
    <v>Map</v>
  </rv>
  <rv s="0">
    <v>536870912</v>
    <v>Glodeni District</v>
    <v>b6e3ea24-0722-48c5-8154-20f8d749a89d</v>
    <v>en-IN</v>
    <v>Map</v>
  </rv>
  <rv s="0">
    <v>536870912</v>
    <v>Hîncești District</v>
    <v>24073425-a3ac-09ae-eb8e-305ecb7c5eb9</v>
    <v>en-IN</v>
    <v>Map</v>
  </rv>
  <rv s="0">
    <v>536870912</v>
    <v>Ialoveni District</v>
    <v>4fca5b26-b7de-40b7-99c0-aca53db3bd03</v>
    <v>en-IN</v>
    <v>Map</v>
  </rv>
  <rv s="0">
    <v>536870912</v>
    <v>Leova District</v>
    <v>2225ac49-247d-0bd2-8578-a91ef17c97a3</v>
    <v>en-IN</v>
    <v>Map</v>
  </rv>
  <rv s="0">
    <v>536870912</v>
    <v>Nisporeni District</v>
    <v>bf2ad605-9233-4f63-8082-489b0ca64e77</v>
    <v>en-IN</v>
    <v>Map</v>
  </rv>
  <rv s="0">
    <v>536870912</v>
    <v>Ocnița District</v>
    <v>26dff043-9f51-584f-bb4a-f610faccecf6</v>
    <v>en-IN</v>
    <v>Map</v>
  </rv>
  <rv s="0">
    <v>536870912</v>
    <v>Orhei District</v>
    <v>79f970d0-7548-4202-865c-96c4ef91a7c0</v>
    <v>en-IN</v>
    <v>Map</v>
  </rv>
  <rv s="0">
    <v>536870912</v>
    <v>Rezina District</v>
    <v>394dc29d-e26f-b5bb-7aba-8ef616223c73</v>
    <v>en-IN</v>
    <v>Map</v>
  </rv>
  <rv s="0">
    <v>536870912</v>
    <v>Rîșcani District</v>
    <v>5be0ce4f-d963-1786-1634-57f0a5c172cb</v>
    <v>en-IN</v>
    <v>Map</v>
  </rv>
  <rv s="0">
    <v>536870912</v>
    <v>Sîngerei District</v>
    <v>90f0d7fa-9bbe-5865-3e85-25ba5e3cb57e</v>
    <v>en-IN</v>
    <v>Map</v>
  </rv>
  <rv s="0">
    <v>536870912</v>
    <v>Soroca District</v>
    <v>03254326-9f67-4724-b8ca-4558c48cd311</v>
    <v>en-IN</v>
    <v>Map</v>
  </rv>
  <rv s="0">
    <v>536870912</v>
    <v>Strășeni District</v>
    <v>26bf9fc0-fdae-1fbd-fdfe-d503f11e3196</v>
    <v>en-IN</v>
    <v>Map</v>
  </rv>
  <rv s="0">
    <v>536870912</v>
    <v>Șoldănești District</v>
    <v>c303ac4e-60cf-2c5d-1894-27c77eb98d24</v>
    <v>en-IN</v>
    <v>Map</v>
  </rv>
  <rv s="0">
    <v>536870912</v>
    <v>Ștefan Vodă District</v>
    <v>a8ddc1c1-62ce-3ce7-a54a-6e7276f7bde6</v>
    <v>en-IN</v>
    <v>Map</v>
  </rv>
  <rv s="0">
    <v>536870912</v>
    <v>Telenești District</v>
    <v>9730ba5c-6063-c805-fb2a-75565105a6dc</v>
    <v>en-IN</v>
    <v>Map</v>
  </rv>
  <rv s="0">
    <v>536870912</v>
    <v>Ungheni District</v>
    <v>6488f6ec-42ae-43dd-a391-b6350607fbf5</v>
    <v>en-IN</v>
    <v>Map</v>
  </rv>
  <rv s="0">
    <v>536870912</v>
    <v>Gagauzia</v>
    <v>0314e6e7-9f5f-4491-ba35-ee6a86e2c6f8</v>
    <v>en-IN</v>
    <v>Map</v>
  </rv>
  <rv s="0">
    <v>536870912</v>
    <v>Administrative-Territorial Units of the Left Bank of the Dniester</v>
    <v>af409511-164e-437c-aeb0-c76a6cce59a1</v>
    <v>en-IN</v>
    <v>Map</v>
  </rv>
  <rv s="3">
    <v>139</v>
  </rv>
  <rv s="1">
    <fb>0.17691629524637301</fb>
    <v>24</v>
  </rv>
  <rv s="1">
    <fb>5.4730000495910598E-2</fb>
    <v>32</v>
  </rv>
  <rv s="1">
    <fb>1135502</fb>
    <v>25</v>
  </rv>
  <rv s="13">
    <v>#VALUE!</v>
    <v>en-IN</v>
    <v>cc6beb87-eebc-d1b9-c08d-94ab92488417</v>
    <v>536870912</v>
    <v>1</v>
    <v>444</v>
    <v>78</v>
    <v>Moldova</v>
    <v>20</v>
    <v>21</v>
    <v>Map</v>
    <v>22</v>
    <v>445</v>
    <v>MD</v>
    <v>2593</v>
    <v>2594</v>
    <v>2595</v>
    <v>2596</v>
    <v>2597</v>
    <v>2598</v>
    <v>2599</v>
    <v>2600</v>
    <v>2601</v>
    <v>MDL</v>
    <v>Moldova, officially the Republic of Moldova, is a landlocked country in Eastern Europe, on the northeastern corner of the Balkans. The country spans a total of 33,483 km² and has a population of approximately 2.5 million as of January 2023. ...</v>
    <v>2602</v>
    <v>2603</v>
    <v>2604</v>
    <v>2605</v>
    <v>1569</v>
    <v>2606</v>
    <v>2607</v>
    <v>2608</v>
    <v>2609</v>
    <v>2412</v>
    <v>2598</v>
    <v>2612</v>
    <v>2613</v>
    <v>2614</v>
    <v>1302</v>
    <v>2615</v>
    <v>Moldova</v>
    <v>Limba noastră</v>
    <v>2616</v>
    <v>Moldova</v>
    <v>2617</v>
    <v>2618</v>
    <v>2619</v>
    <v>887</v>
    <v>409</v>
    <v>2620</v>
    <v>2621</v>
    <v>2622</v>
    <v>1525</v>
    <v>2623</v>
    <v>2624</v>
    <v>2658</v>
    <v>2659</v>
    <v>2055</v>
    <v>2660</v>
    <v>Moldova</v>
    <v>2661</v>
    <v>mdp/vdpid/152</v>
  </rv>
  <rv s="1">
    <fb>123</fb>
    <v>25</v>
  </rv>
  <rv s="2">
    <v>75</v>
    <v>22</v>
    <v>446</v>
    <v>7</v>
    <v>0</v>
    <v>Image of Chișinău</v>
  </rv>
  <rv s="0">
    <v>805306368</v>
    <v>Ion Ceban (Mayor)</v>
    <v>6bce1154-ca57-4a5c-90f2-25e85a0a8acc</v>
    <v>en-IN</v>
    <v>Generic</v>
  </rv>
  <rv s="3">
    <v>140</v>
  </rv>
  <rv s="4">
    <v>https://www.bing.com/search?q=chi%c8%99in%c4%83u&amp;form=skydnc</v>
    <v>Learn more on Bing</v>
  </rv>
  <rv s="1">
    <fb>639000</fb>
    <v>25</v>
  </rv>
  <rv s="33">
    <v>#VALUE!</v>
    <v>en-IN</v>
    <v>9274279d-0140-1f5d-0a98-a8f07250eb4a</v>
    <v>536870912</v>
    <v>1</v>
    <v>448</v>
    <v>222</v>
    <v>Chișinău</v>
    <v>20</v>
    <v>21</v>
    <v>Map</v>
    <v>22</v>
    <v>109</v>
    <v>MD-CU</v>
    <v>2663</v>
    <v>916</v>
    <v>Chișinău, formerly known as Kishinev, is the capital and largest city of Moldova. The city is Moldova's main industrial and commercial centre, and is located in the middle of the country, on the river Bîc, a tributary of the Dniester. According ...</v>
    <v>2664</v>
    <v>2666</v>
    <v>2667</v>
    <v>Chișinău</v>
    <v>2668</v>
    <v>Chișinău</v>
    <v>mdp/vdpid/7051617827869949953</v>
  </rv>
  <rv s="2">
    <v>74</v>
    <v>22</v>
    <v>441</v>
    <v>3</v>
    <v>0</v>
    <v>Image of Moldova</v>
  </rv>
  <rv s="8">
    <v>en-IN</v>
    <v>avyqcw</v>
    <v>268435456</v>
    <v>1</v>
    <v>Powered by Refinitiv</v>
    <v>42</v>
    <v>USD/MXN</v>
    <v>43</v>
    <v>449</v>
    <v>Finance</v>
    <v>45</v>
    <v>21.2882</v>
    <v>18.193000000000001</v>
    <v>-2.3599999999999999E-2</v>
    <v>-1.2800000000000001E-3</v>
    <v>MXN</v>
    <v>USD</v>
    <v>18.430700000000002</v>
    <v>Currency Pair</v>
    <v>45957.217731481483</v>
    <v>18.4057</v>
    <v>US Dollar/Mexican Peso FX Spot Rate</v>
    <v>18.417200000000001</v>
    <v>18.441800000000001</v>
    <v>18.418199999999999</v>
    <v>USDMXN</v>
    <v>USD/MXN</v>
  </rv>
  <rv s="9">
    <v>2671</v>
  </rv>
  <rv s="4">
    <v>https://www.bing.com/financeapi/forcetrigger?t=a25obh&amp;q=XNYS%3aVZ&amp;form=skydnc</v>
    <v>Learn more on Bing</v>
  </rv>
  <rv s="10">
    <v>en-IN</v>
    <v>a25obh</v>
    <v>268435456</v>
    <v>1</v>
    <v>Powered by Refinitiv</v>
    <v>46</v>
    <v>VERIZON COMMUNICATIONS INC. (XNYS:VZ)</v>
    <v>47</v>
    <v>48</v>
    <v>Finance</v>
    <v>49</v>
    <v>47.354999999999997</v>
    <v>37.585000000000001</v>
    <v>0.36270000000000002</v>
    <v>0.42</v>
    <v>7.7280000000000003E-4</v>
    <v>1.0938000000000002E-2</v>
    <v>0.03</v>
    <v>USD</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99600</v>
    <v>New York Stock Exchange</v>
    <v>XNYS</v>
    <v>XNYS</v>
    <v>1095 Avenue Of The Americas, NEW YORK, NY, 10036 US</v>
    <v>38.92</v>
    <v>Telecommunications Services</v>
    <v>Stock</v>
    <v>45954.999982187503</v>
    <v>2673</v>
    <v>38.54</v>
    <v>167809700000</v>
    <v>VERIZON COMMUNICATIONS INC.</v>
    <v>VERIZON COMMUNICATIONS INC.</v>
    <v>38.594999999999999</v>
    <v>9.0198999999999998</v>
    <v>38.4</v>
    <v>38.82</v>
    <v>38.85</v>
    <v>4216325000</v>
    <v>VZ</v>
    <v>VERIZON COMMUNICATIONS INC. (XNYS:VZ)</v>
    <v>27485693</v>
    <v>27252192</v>
    <v>1983</v>
  </rv>
  <rv s="9">
    <v>2674</v>
  </rv>
  <rv s="0">
    <v>536870912</v>
    <v>Monaco</v>
    <v>641c5b20-4d7d-f3b8-b1f9-c1c0bdc2b8f7</v>
    <v>en-IN</v>
    <v>Map</v>
  </rv>
  <rv s="1">
    <fb>2.02</fb>
    <v>25</v>
  </rv>
  <rv s="1">
    <fb>5.9</fb>
    <v>26</v>
  </rv>
  <rv s="1">
    <fb>377</fb>
    <v>27</v>
  </rv>
  <rv s="0">
    <v>536870912</v>
    <v>Monaco City</v>
    <v>e2c8acee-ade6-7390-be22-b8d3d72b1354</v>
    <v>en-IN</v>
    <v>Map</v>
  </rv>
  <rv s="1">
    <fb>7184844192.6345596</fb>
    <v>31</v>
  </rv>
  <rv s="2">
    <v>76</v>
    <v>22</v>
    <v>451</v>
    <v>7</v>
    <v>0</v>
    <v>Image of Monaco</v>
  </rv>
  <rv s="0">
    <v>805306368</v>
    <v>Albert II, Prince of Monaco (Monarch)</v>
    <v>b32cecce-46dc-2989-4b6d-7895808d7d1b</v>
    <v>en-IN</v>
    <v>Generic</v>
  </rv>
  <rv s="0">
    <v>805306368</v>
    <v>Pierre Dartout (Prime minister)</v>
    <v>cab31210-51a5-59ac-a398-6b01e3a9367c</v>
    <v>en-IN</v>
    <v>Generic</v>
  </rv>
  <rv s="3">
    <v>141</v>
  </rv>
  <rv s="4">
    <v>https://www.bing.com/search?q=monaco&amp;form=skydnc</v>
    <v>Learn more on Bing</v>
  </rv>
  <rv s="1">
    <fb>11.72</fb>
    <v>30</v>
  </rv>
  <rv s="3">
    <v>142</v>
  </rv>
  <rv s="1">
    <fb>6.0633433899999999E-2</fb>
    <v>24</v>
  </rv>
  <rv s="1">
    <fb>6.5617000000000001</fb>
    <v>26</v>
  </rv>
  <rv s="1">
    <fb>36469</fb>
    <v>25</v>
  </rv>
  <rv s="1">
    <fb>38964</fb>
    <v>25</v>
  </rv>
  <rv s="56">
    <v>#VALUE!</v>
    <v>en-IN</v>
    <v>641c5b20-4d7d-f3b8-b1f9-c1c0bdc2b8f7</v>
    <v>536870912</v>
    <v>1</v>
    <v>454</v>
    <v>455</v>
    <v>Monaco</v>
    <v>20</v>
    <v>21</v>
    <v>Map</v>
    <v>22</v>
    <v>456</v>
    <v>MC</v>
    <v>2677</v>
    <v>2678</v>
    <v>2679</v>
    <v>2680</v>
    <v>EUR</v>
    <v>Monaco, officially the Principality of Monaco, is a sovereign city-state and microstate on the French Riviera a few kilometres west of the Italian region of Liguria, in Western Europe, on the Mediterranean Sea. It is bordered by France to the ...</v>
    <v>2281</v>
    <v>2681</v>
    <v>2682</v>
    <v>554</v>
    <v>2680</v>
    <v>2685</v>
    <v>2686</v>
    <v>2687</v>
    <v>Monaco</v>
    <v>Hymne monégasque</v>
    <v>2688</v>
    <v>Monaco</v>
    <v>2689</v>
    <v>2690</v>
    <v>2691</v>
    <v>1074</v>
    <v>Monaco</v>
    <v>2692</v>
    <v>mdp/vdpid/158</v>
  </rv>
  <rv s="1">
    <fb>0.2</fb>
    <v>25</v>
  </rv>
  <rv s="2">
    <v>77</v>
    <v>22</v>
    <v>457</v>
    <v>7</v>
    <v>0</v>
    <v>Image of Monaco City</v>
  </rv>
  <rv s="1">
    <fb>43.730969999999999</fb>
    <v>37</v>
  </rv>
  <rv s="4">
    <v>https://www.bing.com/search?q=monaco-ville&amp;form=skydnc</v>
    <v>Learn more on Bing</v>
  </rv>
  <rv s="1">
    <fb>7.4248149999999997</fb>
    <v>37</v>
  </rv>
  <rv s="1">
    <fb>975</fb>
    <v>25</v>
  </rv>
  <rv s="6">
    <v>#VALUE!</v>
    <v>en-IN</v>
    <v>e2c8acee-ade6-7390-be22-b8d3d72b1354</v>
    <v>536870912</v>
    <v>1</v>
    <v>458</v>
    <v>35</v>
    <v>Monaco City</v>
    <v>20</v>
    <v>21</v>
    <v>Map</v>
    <v>22</v>
    <v>274</v>
    <v>2694</v>
    <v>2676</v>
    <v>Monaco City is the southcentral ward in the Principality of Monaco. Located on a headland that extends into the Mediterranean Sea, it is nicknamed The Rock. The name "Monaco City" is misleading: it is not itself a city, but a historical and ...</v>
    <v>2695</v>
    <v>2696</v>
    <v>2697</v>
    <v>2698</v>
    <v>Monaco City</v>
    <v>2699</v>
    <v>Monaco City</v>
    <v>mdp/vdpid/7208253231170846723</v>
  </rv>
  <rv s="2">
    <v>76</v>
    <v>22</v>
    <v>451</v>
    <v>3</v>
    <v>0</v>
    <v>Image of Monaco</v>
  </rv>
  <rv s="8">
    <v>en-IN</v>
    <v>avklc7</v>
    <v>268435456</v>
    <v>1</v>
    <v>Powered by Refinitiv</v>
    <v>42</v>
    <v>MXN/USD</v>
    <v>43</v>
    <v>62</v>
    <v>Finance</v>
    <v>45</v>
    <v>5.4940000000000003E-2</v>
    <v>4.6949999999999999E-2</v>
    <v>1.01E-4</v>
    <v>1.8649999999999999E-3</v>
    <v>USD</v>
    <v>MXN</v>
    <v>5.4330000000000003E-2</v>
    <v>Currency Pair</v>
    <v>45957.21769675926</v>
    <v>5.4260000000000003E-2</v>
    <v>Mexican Peso/US Dollar FX Cross Rate</v>
    <v>5.4269999999999999E-2</v>
    <v>5.416E-2</v>
    <v>5.4260000000000003E-2</v>
    <v>MXNUSD</v>
    <v>MXN/USD</v>
  </rv>
  <rv s="9">
    <v>2702</v>
  </rv>
  <rv s="4">
    <v>https://www.bing.com/financeapi/forcetrigger?t=a2yr4c&amp;q=OTCM%3aTOSYY&amp;form=skydnc</v>
    <v>Learn more on Bing</v>
  </rv>
  <rv s="57">
    <v>en-IN</v>
    <v>a2yr4c</v>
    <v>268435456</v>
    <v>1</v>
    <v>1</v>
    <v>Powered by Refinitiv</v>
    <v>459</v>
    <v>TOSHIBA CORPORATION (OTCM:TOSYY)</v>
    <v>47</v>
    <v>460</v>
    <v>Finance</v>
    <v>461</v>
    <v>16.75</v>
    <v>14.25</v>
    <v>0.63060000000000005</v>
    <v>0</v>
    <v>0</v>
    <v>USD</v>
    <v>Toshiba Corp is a Japan-based company mainly engaged in energy system solutions business and other businesses. The Company operates in six business segments. The Energy System Solutions segment provides thermal power generation systems, nuclear power generation systems and hydroelectric power generation systems. The Infrastructure System Solutions segment provides water and sewage systems, broadcasting systems, radio equipment, environmental systems, road systems, transportation equipment, and battery systems. The Retail &amp; Printing Solutions segment provides point-of-sale (POS) systems, multifunction devices. The Storage &amp; Device Solutions segment provides power devices, small signal devices, optical semiconductors, mixed signal integrated circuits (ICs), hard disk drives (HDDs), semiconductor manufacturing equipment. The Industrial ICT Solutions segment provides information technology (IT) solution services. The Others segment provides logistics services.</v>
    <v>106648</v>
    <v>OTC Markets</v>
    <v>OTCM</v>
    <v>OTCM</v>
    <v>Toshiba Bldg., 1-1-1, Shibaura, MINATO-KU, TOKYO-TO, 105-8001 JP</v>
    <v>14.92</v>
    <v>Consumer Goods Conglomerates</v>
    <v>Stock</v>
    <v>45408.823891064065</v>
    <v>2704</v>
    <v>14.81</v>
    <v>13831830000</v>
    <v>TOSHIBA CORPORATION</v>
    <v>TOSHIBA CORPORATION</v>
    <v>14.81</v>
    <v>14.9</v>
    <v>14.92</v>
    <v>866794600</v>
    <v>TOSYY</v>
    <v>TOSHIBA CORPORATION (OTCM:TOSYY)</v>
    <v>2823</v>
    <v>3860</v>
    <v>1904</v>
  </rv>
  <rv s="9">
    <v>2705</v>
  </rv>
  <rv s="0">
    <v>536870912</v>
    <v>Mongolia</v>
    <v>ea062577-4c66-e22b-7054-abf32c1063b0</v>
    <v>en-IN</v>
    <v>Map</v>
  </rv>
  <rv s="1">
    <fb>0.71488840550091393</fb>
    <v>24</v>
  </rv>
  <rv s="1">
    <fb>1564116</fb>
    <v>25</v>
  </rv>
  <rv s="1">
    <fb>24.131</fb>
    <v>26</v>
  </rv>
  <rv s="1">
    <fb>976</fb>
    <v>27</v>
  </rv>
  <rv s="0">
    <v>536870912</v>
    <v>Ulaanbaatar</v>
    <v>c11a6c9b-cae8-fd85-165c-84f646e12623</v>
    <v>en-IN</v>
    <v>Map</v>
  </rv>
  <rv s="1">
    <fb>25368.306</fb>
    <v>25</v>
  </rv>
  <rv s="1">
    <fb>195.762902940885</fb>
    <v>28</v>
  </rv>
  <rv s="1">
    <fb>7.3048159748014804E-2</fb>
    <v>24</v>
  </rv>
  <rv s="1">
    <fb>2006.38888095267</fb>
    <v>25</v>
  </rv>
  <rv s="1">
    <fb>2.895</fb>
    <v>26</v>
  </rv>
  <rv s="1">
    <fb>8.0174048837830497E-2</fb>
    <v>24</v>
  </rv>
  <rv s="1">
    <fb>93.199382825958295</fb>
    <v>29</v>
  </rv>
  <rv s="1">
    <fb>0.72</fb>
    <v>30</v>
  </rv>
  <rv s="1">
    <fb>13852850259.485399</fb>
    <v>31</v>
  </rv>
  <rv s="1">
    <fb>1.0404036000000001</fb>
    <v>24</v>
  </rv>
  <rv s="1">
    <fb>0.65595439999999994</fb>
    <v>24</v>
  </rv>
  <rv s="2">
    <v>78</v>
    <v>22</v>
    <v>463</v>
    <v>7</v>
    <v>0</v>
    <v>Image of Mongolia</v>
  </rv>
  <rv s="1">
    <fb>14</fb>
    <v>29</v>
  </rv>
  <rv s="0">
    <v>805306368</v>
    <v>Ukhnaagiin Khürelsükh (President)</v>
    <v>bc801878-ff5f-0137-5b5c-42148a01e142</v>
    <v>en-IN</v>
    <v>Generic</v>
  </rv>
  <rv s="0">
    <v>805306368</v>
    <v>Luvsannamsrain Oyun-Erdene (Prime minister)</v>
    <v>8003655e-4b2a-63b8-1fd2-6559bcc5b341</v>
    <v>en-IN</v>
    <v>Generic</v>
  </rv>
  <rv s="3">
    <v>143</v>
  </rv>
  <rv s="4">
    <v>https://www.bing.com/search?q=mongolia&amp;form=skydnc</v>
    <v>Learn more on Bing</v>
  </rv>
  <rv s="1">
    <fb>69.688999999999993</fb>
    <v>29</v>
  </rv>
  <rv s="1">
    <fb>45</fb>
    <v>29</v>
  </rv>
  <rv s="1">
    <fb>0.65</fb>
    <v>30</v>
  </rv>
  <rv s="3">
    <v>144</v>
  </rv>
  <rv s="1">
    <fb>0.39295083490000005</fb>
    <v>24</v>
  </rv>
  <rv s="1">
    <fb>2.8592</fb>
    <v>26</v>
  </rv>
  <rv s="1">
    <fb>3398366</fb>
    <v>25</v>
  </rv>
  <rv s="1">
    <fb>0.40899999999999997</fb>
    <v>24</v>
  </rv>
  <rv s="1">
    <fb>0.12300000000000001</fb>
    <v>24</v>
  </rv>
  <rv s="1">
    <fb>0.16500000000000001</fb>
    <v>24</v>
  </rv>
  <rv s="1">
    <fb>0.59675998687744103</fb>
    <v>24</v>
  </rv>
  <rv s="0">
    <v>536870912</v>
    <v>Arkhangai Province</v>
    <v>edd50e4a-5ecc-305a-df7e-74921f647452</v>
    <v>en-IN</v>
    <v>Map</v>
  </rv>
  <rv s="0">
    <v>536870912</v>
    <v>Bayan-Ölgii Province</v>
    <v>50c83bc0-6f0f-59ba-f5d1-bcf9ceb80062</v>
    <v>en-IN</v>
    <v>Map</v>
  </rv>
  <rv s="0">
    <v>536870912</v>
    <v>Bayankhongor Province</v>
    <v>6cd2c4a5-4966-4b19-3238-7a58159b158a</v>
    <v>en-IN</v>
    <v>Map</v>
  </rv>
  <rv s="0">
    <v>536870912</v>
    <v>Bulgan Province</v>
    <v>e3437407-0307-eaea-a174-7efe4ce6eef5</v>
    <v>en-IN</v>
    <v>Map</v>
  </rv>
  <rv s="0">
    <v>536870912</v>
    <v>Darkhan-Uul Province</v>
    <v>c8aeff9e-52e2-62e9-6a80-1e8d4e295a44</v>
    <v>en-IN</v>
    <v>Map</v>
  </rv>
  <rv s="0">
    <v>536870912</v>
    <v>Dornod Province</v>
    <v>e0525b6e-3acb-9b47-cdcd-1f3b551cdf1b</v>
    <v>en-IN</v>
    <v>Map</v>
  </rv>
  <rv s="0">
    <v>536870912</v>
    <v>Dornogovi Province</v>
    <v>83fd1fbf-9885-13dd-5f94-776cb9aaf282</v>
    <v>en-IN</v>
    <v>Map</v>
  </rv>
  <rv s="0">
    <v>536870912</v>
    <v>Dundgobi Province</v>
    <v>81437413-692a-683c-d1d6-72f105203c6b</v>
    <v>en-IN</v>
    <v>Map</v>
  </rv>
  <rv s="0">
    <v>536870912</v>
    <v>Govi-Altai Province</v>
    <v>c8bf4ce2-d29e-8a68-6052-28112a2e41f2</v>
    <v>en-IN</v>
    <v>Map</v>
  </rv>
  <rv s="0">
    <v>536870912</v>
    <v>Govisümber Province</v>
    <v>8825bc76-9d25-63a9-fef6-7b13f2b456ae</v>
    <v>en-IN</v>
    <v>Map</v>
  </rv>
  <rv s="0">
    <v>536870912</v>
    <v>Khentii Province</v>
    <v>f1aa4d79-c82c-7fa9-0808-63e4bb7a84a6</v>
    <v>en-IN</v>
    <v>Map</v>
  </rv>
  <rv s="0">
    <v>536870912</v>
    <v>Khovd Province</v>
    <v>9579df50-cdf8-e0f5-1366-2f94d9268421</v>
    <v>en-IN</v>
    <v>Map</v>
  </rv>
  <rv s="0">
    <v>536870912</v>
    <v>Khövsgöl Province</v>
    <v>980dcf67-5ab3-8f72-810e-b08e04e958bc</v>
    <v>en-IN</v>
    <v>Map</v>
  </rv>
  <rv s="0">
    <v>536870912</v>
    <v>Orkhon Province</v>
    <v>9a9fbd7c-1921-d5b2-18f3-e6db75d8c628</v>
    <v>en-IN</v>
    <v>Map</v>
  </rv>
  <rv s="0">
    <v>536870912</v>
    <v>Övörkhangai Province</v>
    <v>f72f2a5b-aa15-a3f1-54be-0d059ad7c7b2</v>
    <v>en-IN</v>
    <v>Map</v>
  </rv>
  <rv s="0">
    <v>536870912</v>
    <v>Selenge Province</v>
    <v>8d58b013-7c74-c2c9-c4e9-f248a88ead31</v>
    <v>en-IN</v>
    <v>Map</v>
  </rv>
  <rv s="0">
    <v>536870912</v>
    <v>Sükhbaatar Province</v>
    <v>9ac4b054-5253-dbe4-1f52-dfc13c9df5eb</v>
    <v>en-IN</v>
    <v>Map</v>
  </rv>
  <rv s="0">
    <v>536870912</v>
    <v>Töv Province</v>
    <v>ff8d47ea-055d-0d90-3dee-9fa1f9dc0682</v>
    <v>en-IN</v>
    <v>Map</v>
  </rv>
  <rv s="0">
    <v>536870912</v>
    <v>Uvs Province</v>
    <v>06abb258-94fa-9b40-34c2-ed3ee6456d79</v>
    <v>en-IN</v>
    <v>Map</v>
  </rv>
  <rv s="0">
    <v>536870912</v>
    <v>Zavkhan Province</v>
    <v>fda03c42-cec6-29f7-632e-3a19bc1ac52e</v>
    <v>en-IN</v>
    <v>Map</v>
  </rv>
  <rv s="3">
    <v>145</v>
  </rv>
  <rv s="1">
    <fb>0.16776784623697399</fb>
    <v>24</v>
  </rv>
  <rv s="1">
    <fb>6.0110001564025899E-2</fb>
    <v>32</v>
  </rv>
  <rv s="1">
    <fb>2210626</fb>
    <v>25</v>
  </rv>
  <rv s="13">
    <v>#VALUE!</v>
    <v>en-IN</v>
    <v>ea062577-4c66-e22b-7054-abf32c1063b0</v>
    <v>536870912</v>
    <v>1</v>
    <v>466</v>
    <v>78</v>
    <v>Mongolia</v>
    <v>20</v>
    <v>21</v>
    <v>Map</v>
    <v>22</v>
    <v>467</v>
    <v>MN</v>
    <v>2708</v>
    <v>2709</v>
    <v>2148</v>
    <v>2710</v>
    <v>2711</v>
    <v>2712</v>
    <v>2713</v>
    <v>2714</v>
    <v>2715</v>
    <v>MNT</v>
    <v>Mongolia is a landlocked country in East Asia, bordered by Russia to the north and China to the south. The western extremity of Mongolia is only 23 km from Kazakhstan, and this area can resemble a quadripoint when viewed on a map. It covers an ...</v>
    <v>2716</v>
    <v>2717</v>
    <v>2718</v>
    <v>2719</v>
    <v>2720</v>
    <v>2721</v>
    <v>2722</v>
    <v>2723</v>
    <v>2724</v>
    <v>2725</v>
    <v>2712</v>
    <v>2728</v>
    <v>2729</v>
    <v>2730</v>
    <v>2731</v>
    <v>2732</v>
    <v>Mongolia</v>
    <v>National anthem of Mongolia</v>
    <v>2733</v>
    <v>Mongolie</v>
    <v>2734</v>
    <v>2735</v>
    <v>2736</v>
    <v>329</v>
    <v>2174</v>
    <v>2737</v>
    <v>37</v>
    <v>413</v>
    <v>2738</v>
    <v>2739</v>
    <v>2740</v>
    <v>2761</v>
    <v>2762</v>
    <v>2174</v>
    <v>2763</v>
    <v>Mongolia</v>
    <v>2764</v>
    <v>mdp/vdpid/154</v>
  </rv>
  <rv s="1">
    <fb>4704.3999999999996</fb>
    <v>25</v>
  </rv>
  <rv s="2">
    <v>79</v>
    <v>22</v>
    <v>468</v>
    <v>7</v>
    <v>0</v>
    <v>Image of Ulaanbaatar</v>
  </rv>
  <rv s="4">
    <v>https://www.bing.com/search?q=ulan+bator&amp;form=skydnc</v>
    <v>Learn more on Bing</v>
  </rv>
  <rv s="1">
    <fb>1515593</fb>
    <v>25</v>
  </rv>
  <rv s="26">
    <v>#VALUE!</v>
    <v>en-IN</v>
    <v>c11a6c9b-cae8-fd85-165c-84f646e12623</v>
    <v>536870912</v>
    <v>1</v>
    <v>470</v>
    <v>166</v>
    <v>Ulaanbaatar</v>
    <v>20</v>
    <v>21</v>
    <v>Map</v>
    <v>22</v>
    <v>109</v>
    <v>MN-1</v>
    <v>2766</v>
    <v>2707</v>
    <v>Ulaanbaatar, previously anglicized as Ulan Bator, is the capital and most populous city of Mongolia. With a population of 1.6 million, it is the coldest capital city in the world by average yearly temperature. The municipality is located in ...</v>
    <v>2767</v>
    <v>2768</v>
    <v>Ulaanbaatar</v>
    <v>2769</v>
    <v>Ulaanbaatar</v>
    <v>mdp/vdpid/7600341448306720769</v>
  </rv>
  <rv s="2">
    <v>78</v>
    <v>22</v>
    <v>463</v>
    <v>3</v>
    <v>0</v>
    <v>Image of Mongolia</v>
  </rv>
  <rv s="8">
    <v>en-IN</v>
    <v>avylgh</v>
    <v>268435456</v>
    <v>1</v>
    <v>Powered by Refinitiv</v>
    <v>42</v>
    <v>USD/BRL</v>
    <v>43</v>
    <v>471</v>
    <v>Finance</v>
    <v>45</v>
    <v>6.3139000000000003</v>
    <v>5.2689000000000004</v>
    <v>1.1999999999999999E-3</v>
    <v>2.2270000000000002E-4</v>
    <v>BRL</v>
    <v>USD</v>
    <v>5.3898999999999999</v>
    <v>Currency Pair</v>
    <v>45956.875023148146</v>
    <v>5.3909000000000002</v>
    <v>US Dollar/Brazilian Real FX Spot Rate</v>
    <v>5.3898999999999999</v>
    <v>5.3887</v>
    <v>5.3898999999999999</v>
    <v>USDBRL</v>
    <v>USD/BRL</v>
  </rv>
  <rv s="9">
    <v>2772</v>
  </rv>
  <rv s="4">
    <v>https://www.bing.com/financeapi/forcetrigger?t=a1zsjc&amp;q=XNYS%3aPG&amp;form=skydnc</v>
    <v>Learn more on Bing</v>
  </rv>
  <rv s="10">
    <v>en-IN</v>
    <v>a1zsjc</v>
    <v>268435456</v>
    <v>1</v>
    <v>Powered by Refinitiv</v>
    <v>46</v>
    <v>THE PROCTER &amp; GAMBLE COMPANY (XNYS:PG)</v>
    <v>47</v>
    <v>48</v>
    <v>Finance</v>
    <v>49</v>
    <v>180.43</v>
    <v>146.965</v>
    <v>0.36380000000000001</v>
    <v>1.337</v>
    <v>-1.3119999999999999E-4</v>
    <v>8.8449999999999987E-3</v>
    <v>-0.02</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157.4</v>
    <v>Personal &amp; Household Products &amp; Services</v>
    <v>Stock</v>
    <v>45954.999789247653</v>
    <v>2774</v>
    <v>151.53</v>
    <v>356221800000</v>
    <v>THE PROCTER &amp; GAMBLE COMPANY</v>
    <v>THE PROCTER &amp; GAMBLE COMPANY</v>
    <v>156.4</v>
    <v>22.257999999999999</v>
    <v>151.15299999999999</v>
    <v>152.49</v>
    <v>152.47</v>
    <v>2340485000</v>
    <v>PG</v>
    <v>THE PROCTER &amp; GAMBLE COMPANY (XNYS:PG)</v>
    <v>11968491</v>
    <v>7686437</v>
    <v>1905</v>
  </rv>
  <rv s="9">
    <v>2775</v>
  </rv>
  <rv s="0">
    <v>536870912</v>
    <v>Montenegro</v>
    <v>af9f6af3-dd71-b99f-0f24-acfa43b556ef</v>
    <v>en-IN</v>
    <v>Map</v>
  </rv>
  <rv s="1">
    <fb>0.189591078066914</fb>
    <v>24</v>
  </rv>
  <rv s="1">
    <fb>13812</fb>
    <v>25</v>
  </rv>
  <rv s="1">
    <fb>12000</fb>
    <v>25</v>
  </rv>
  <rv s="1">
    <fb>11.731999999999999</fb>
    <v>26</v>
  </rv>
  <rv s="1">
    <fb>382</fb>
    <v>27</v>
  </rv>
  <rv s="0">
    <v>536870912</v>
    <v>Podgorica</v>
    <v>8cd372e7-d0e4-b57b-42ec-5553ec56dfd8</v>
    <v>en-IN</v>
    <v>Map</v>
  </rv>
  <rv s="1">
    <fb>2016.85</fb>
    <v>25</v>
  </rv>
  <rv s="1">
    <fb>116.32011728325899</fb>
    <v>28</v>
  </rv>
  <rv s="1">
    <fb>2.6112164723023201E-2</fb>
    <v>24</v>
  </rv>
  <rv s="1">
    <fb>4612.3413904568897</fb>
    <v>25</v>
  </rv>
  <rv s="1">
    <fb>1.7450000000000001</fb>
    <v>26</v>
  </rv>
  <rv s="1">
    <fb>0.61486988847583601</fb>
    <v>24</v>
  </rv>
  <rv s="1">
    <fb>64.664697002011494</fb>
    <v>29</v>
  </rv>
  <rv s="1">
    <fb>5494736901.0299997</fb>
    <v>31</v>
  </rv>
  <rv s="1">
    <fb>1.0000255</fb>
    <v>24</v>
  </rv>
  <rv s="1">
    <fb>0.56080969999999997</fb>
    <v>24</v>
  </rv>
  <rv s="2">
    <v>80</v>
    <v>22</v>
    <v>473</v>
    <v>7</v>
    <v>0</v>
    <v>Image of Montenegro</v>
  </rv>
  <rv s="1">
    <fb>2.2999999999999998</fb>
    <v>29</v>
  </rv>
  <rv s="0">
    <v>805306368</v>
    <v>Jakov Milatović (President)</v>
    <v>c5ebdbf4-0ea1-7fdf-3183-65fe6ba3951f</v>
    <v>en-IN</v>
    <v>Generic</v>
  </rv>
  <rv s="0">
    <v>805306368</v>
    <v>Dritan Abazović (Prime minister)</v>
    <v>b75f6d0d-30bb-6b57-2d2c-73caf326becb</v>
    <v>en-IN</v>
    <v>Generic</v>
  </rv>
  <rv s="0">
    <v>805306368</v>
    <v>Danijela Đurović (Speaker)</v>
    <v>6642691e-4085-c3ab-1059-e260a2e94b1b</v>
    <v>en-IN</v>
    <v>Generic</v>
  </rv>
  <rv s="3">
    <v>146</v>
  </rv>
  <rv s="4">
    <v>https://www.bing.com/search?q=montenegro&amp;form=skydnc</v>
    <v>Learn more on Bing</v>
  </rv>
  <rv s="1">
    <fb>76.77</fb>
    <v>29</v>
  </rv>
  <rv s="1">
    <fb>3787240000</fb>
    <v>31</v>
  </rv>
  <rv s="1">
    <fb>1.23</fb>
    <v>30</v>
  </rv>
  <rv s="3">
    <v>147</v>
  </rv>
  <rv s="1">
    <fb>0.3182014152</fb>
    <v>24</v>
  </rv>
  <rv s="1">
    <fb>2.7557</fb>
    <v>26</v>
  </rv>
  <rv s="1">
    <fb>616159</fb>
    <v>25</v>
  </rv>
  <rv s="1">
    <fb>0.23499999999999999</fb>
    <v>24</v>
  </rv>
  <rv s="1">
    <fb>0.44299999999999995</fb>
    <v>24</v>
  </rv>
  <rv s="1">
    <fb>1.8000000000000002E-2</fb>
    <v>24</v>
  </rv>
  <rv s="1">
    <fb>5.2000000000000005E-2</fb>
    <v>24</v>
  </rv>
  <rv s="1">
    <fb>0.54443000793457008</fb>
    <v>24</v>
  </rv>
  <rv s="0">
    <v>536870912</v>
    <v>Andrijevica Municipality</v>
    <v>15a37fd2-f0ad-4044-9048-f5902e1cdf8e</v>
    <v>en-IN</v>
    <v>Map</v>
  </rv>
  <rv s="0">
    <v>536870912</v>
    <v>Bar Municipality</v>
    <v>ef402ae9-9313-4a3d-bcb2-2fdd468f608e</v>
    <v>en-IN</v>
    <v>Map</v>
  </rv>
  <rv s="0">
    <v>536870912</v>
    <v>Berane Municipality</v>
    <v>ba21b443-43c6-4420-8c5a-6541e36f2955</v>
    <v>en-IN</v>
    <v>Map</v>
  </rv>
  <rv s="0">
    <v>536870912</v>
    <v>Bijelo Polje Municipality</v>
    <v>af43ef93-bd2b-4959-bb03-8d4924e72043</v>
    <v>en-IN</v>
    <v>Map</v>
  </rv>
  <rv s="0">
    <v>536870912</v>
    <v>Budva Municipality</v>
    <v>503e2de6-0c48-43c1-8cf7-dc1bf1d58e41</v>
    <v>en-IN</v>
    <v>Map</v>
  </rv>
  <rv s="0">
    <v>536870912</v>
    <v>Kotor Municipality</v>
    <v>7d2d8478-3eec-4f4d-8904-aed6eb68977f</v>
    <v>en-IN</v>
    <v>Map</v>
  </rv>
  <rv s="0">
    <v>536870912</v>
    <v>Old Royal Capital Cetinje</v>
    <v>af4f2915-ea34-41ab-94ef-68e51355a455</v>
    <v>en-IN</v>
    <v>Map</v>
  </rv>
  <rv s="0">
    <v>536870912</v>
    <v>Danilovgrad Municipality</v>
    <v>e0623382-556b-4a20-a0c6-e12a7ea20bd3</v>
    <v>en-IN</v>
    <v>Map</v>
  </rv>
  <rv s="0">
    <v>536870912</v>
    <v>Ulcinj Municipality</v>
    <v>fc0d2072-fca6-4699-9021-0607660d0ac6</v>
    <v>en-IN</v>
    <v>Map</v>
  </rv>
  <rv s="0">
    <v>536870912</v>
    <v>Kolašin Municipality</v>
    <v>17e42a17-1587-4293-b180-a2e85d6bc4db</v>
    <v>en-IN</v>
    <v>Map</v>
  </rv>
  <rv s="0">
    <v>536870912</v>
    <v>Mojkovac Municipality</v>
    <v>3f1ef5ae-3f29-4643-9439-cc3c8109fdf5</v>
    <v>en-IN</v>
    <v>Map</v>
  </rv>
  <rv s="0">
    <v>536870912</v>
    <v>Nikšić Municipality</v>
    <v>56916107-c5a6-4deb-8948-9e0835af416f</v>
    <v>en-IN</v>
    <v>Map</v>
  </rv>
  <rv s="0">
    <v>536870912</v>
    <v>Plav Municipality</v>
    <v>d4702035-6dee-47bd-b576-a1316db150a6</v>
    <v>en-IN</v>
    <v>Map</v>
  </rv>
  <rv s="0">
    <v>536870912</v>
    <v>Pljevlja Municipality</v>
    <v>2834b7b3-5e41-4d03-9414-41ae6c7e882c</v>
    <v>en-IN</v>
    <v>Map</v>
  </rv>
  <rv s="0">
    <v>536870912</v>
    <v>Plužine Municipality</v>
    <v>1eb28701-9a95-4f2f-8055-cb5c70ac9077</v>
    <v>en-IN</v>
    <v>Map</v>
  </rv>
  <rv s="0">
    <v>536870912</v>
    <v>Podgorica Capital City</v>
    <v>1b997d29-a716-4538-a589-3e0996365705</v>
    <v>en-IN</v>
    <v>Map</v>
  </rv>
  <rv s="0">
    <v>536870912</v>
    <v>Rožaje Municipality</v>
    <v>1a5c0b0d-df89-4bc0-8d71-752272966a86</v>
    <v>en-IN</v>
    <v>Map</v>
  </rv>
  <rv s="0">
    <v>536870912</v>
    <v>Šavnik Municipality</v>
    <v>c19e8398-1916-46d8-b7a8-0c535c22023c</v>
    <v>en-IN</v>
    <v>Map</v>
  </rv>
  <rv s="0">
    <v>536870912</v>
    <v>Tivat Municipality</v>
    <v>f95f9e50-aa80-488e-babc-916a41ffe420</v>
    <v>en-IN</v>
    <v>Map</v>
  </rv>
  <rv s="0">
    <v>536870912</v>
    <v>Žabljak Municipality</v>
    <v>f1f84361-1f5b-4ff9-ade2-f85534e8c1d1</v>
    <v>en-IN</v>
    <v>Map</v>
  </rv>
  <rv s="0">
    <v>536870912</v>
    <v>Petnjica Municipality</v>
    <v>639aacbf-be60-7b50-a111-95e35036c2dc</v>
    <v>en-IN</v>
    <v>Map</v>
  </rv>
  <rv s="0">
    <v>536870912</v>
    <v>Gusinje Municipality</v>
    <v>f7f5835a-889d-4113-68ea-2009058f1a4d</v>
    <v>en-IN</v>
    <v>Map</v>
  </rv>
  <rv s="3">
    <v>148</v>
  </rv>
  <rv s="1">
    <fb>0.14883000373840299</fb>
    <v>32</v>
  </rv>
  <rv s="1">
    <fb>417765</fb>
    <v>25</v>
  </rv>
  <rv s="58">
    <v>#VALUE!</v>
    <v>en-IN</v>
    <v>af9f6af3-dd71-b99f-0f24-acfa43b556ef</v>
    <v>536870912</v>
    <v>1</v>
    <v>476</v>
    <v>477</v>
    <v>Montenegro</v>
    <v>20</v>
    <v>21</v>
    <v>Map</v>
    <v>22</v>
    <v>478</v>
    <v>ME</v>
    <v>2778</v>
    <v>2779</v>
    <v>2780</v>
    <v>2781</v>
    <v>2782</v>
    <v>2783</v>
    <v>2784</v>
    <v>2785</v>
    <v>2786</v>
    <v>EUR</v>
    <v>Montenegro is a country in Southeast Europe. It is bordered by Bosnia and Herzegovina to the north, Serbia to the northeast, Kosovo to the east, Albania to the southeast, and Croatia and the Adriatic Sea to the northwest with a coastline of ...</v>
    <v>2787</v>
    <v>2788</v>
    <v>2789</v>
    <v>2790</v>
    <v>1291</v>
    <v>2791</v>
    <v>2792</v>
    <v>2793</v>
    <v>2794</v>
    <v>2795</v>
    <v>2783</v>
    <v>2799</v>
    <v>2800</v>
    <v>2801</v>
    <v>2802</v>
    <v>2229</v>
    <v>2803</v>
    <v>Montenegro</v>
    <v>Oj, svijetla majska zoro</v>
    <v>2804</v>
    <v>Црна Гора / Crna Gora</v>
    <v>2805</v>
    <v>2806</v>
    <v>2807</v>
    <v>2808</v>
    <v>500</v>
    <v>2809</v>
    <v>2810</v>
    <v>2811</v>
    <v>2571</v>
    <v>415</v>
    <v>2812</v>
    <v>2835</v>
    <v>1074</v>
    <v>2100</v>
    <v>2836</v>
    <v>Montenegro</v>
    <v>2837</v>
    <v>mdp/vdpid/270</v>
  </rv>
  <rv s="1">
    <fb>1205</fb>
    <v>25</v>
  </rv>
  <rv s="0">
    <v>536870912</v>
    <v>Kingdom of Montenegro</v>
    <v>7bae91b8-ef5b-24a8-9d49-51a51ec3cc44</v>
    <v>en-IN</v>
    <v>Map</v>
  </rv>
  <rv s="2">
    <v>81</v>
    <v>22</v>
    <v>479</v>
    <v>7</v>
    <v>0</v>
    <v>Image of Podgorica</v>
  </rv>
  <rv s="1">
    <fb>42.439722222222002</fb>
    <v>37</v>
  </rv>
  <rv s="0">
    <v>805306368</v>
    <v>Olivera Injac (Mayor)</v>
    <v>653e6794-fb87-acef-b28a-d3da753af485</v>
    <v>en-IN</v>
    <v>Generic</v>
  </rv>
  <rv s="3">
    <v>149</v>
  </rv>
  <rv s="4">
    <v>https://www.bing.com/search?q=podgorica&amp;form=skydnc</v>
    <v>Learn more on Bing</v>
  </rv>
  <rv s="1">
    <fb>19.266111111111002</fb>
    <v>37</v>
  </rv>
  <rv s="1">
    <fb>150977</fb>
    <v>25</v>
  </rv>
  <rv s="14">
    <v>#VALUE!</v>
    <v>en-IN</v>
    <v>8cd372e7-d0e4-b57b-42ec-5553ec56dfd8</v>
    <v>536870912</v>
    <v>1</v>
    <v>480</v>
    <v>82</v>
    <v>Podgorica</v>
    <v>20</v>
    <v>21</v>
    <v>Map</v>
    <v>22</v>
    <v>36</v>
    <v>2828</v>
    <v>2839</v>
    <v>2840</v>
    <v>Podgorica, pronounced ; lit. 'under the hill') is the capital and largest city of Montenegro. The city is just north of Lake Skadar and close to coastal destinations on the Adriatic Sea. Historically, it was Podgorica's position at the ...</v>
    <v>2841</v>
    <v>2842</v>
    <v>2844</v>
    <v>2845</v>
    <v>2846</v>
    <v>Podgorica</v>
    <v>2847</v>
    <v>Podgorica</v>
    <v>mdp/vdpid/7217566949457264641</v>
  </rv>
  <rv s="2">
    <v>80</v>
    <v>22</v>
    <v>473</v>
    <v>3</v>
    <v>0</v>
    <v>Image of Montenegro</v>
  </rv>
  <rv s="8">
    <v>en-IN</v>
    <v>av2elh</v>
    <v>268435456</v>
    <v>1</v>
    <v>Powered by Refinitiv</v>
    <v>42</v>
    <v>BRL/USD</v>
    <v>43</v>
    <v>62</v>
    <v>Finance</v>
    <v>45</v>
    <v>0.1898</v>
    <v>0.15840000000000001</v>
    <v>0</v>
    <v>0</v>
    <v>USD</v>
    <v>BRL</v>
    <v>0.1855</v>
    <v>Currency Pair</v>
    <v>45956.875023148146</v>
    <v>0.1855</v>
    <v>Brazilian Real/US Dollar FX Cross Rate</v>
    <v>0.1855</v>
    <v>0.1855</v>
    <v>0.1855</v>
    <v>BRLUSD</v>
    <v>BRL/USD</v>
  </rv>
  <rv s="9">
    <v>2850</v>
  </rv>
  <rv s="4">
    <v>https://www.bing.com/financeapi/forcetrigger?t=a1vmf2&amp;q=XNAS%3aINTC&amp;form=skydnc</v>
    <v>Learn more on Bing</v>
  </rv>
  <rv s="10">
    <v>en-IN</v>
    <v>a1vmf2</v>
    <v>268435456</v>
    <v>1</v>
    <v>Powered by Refinitiv</v>
    <v>46</v>
    <v>INTEL CORPORATION (XNAS:INTC)</v>
    <v>47</v>
    <v>48</v>
    <v>Finance</v>
    <v>49</v>
    <v>41.12</v>
    <v>17.664999999999999</v>
    <v>1.2941</v>
    <v>0.12</v>
    <v>-4.4409999999999996E-3</v>
    <v>3.1450000000000002E-3</v>
    <v>-0.17</v>
    <v>USD</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108900</v>
    <v>Nasdaq Stock Market</v>
    <v>XNAS</v>
    <v>XNAS</v>
    <v>2200 Mission College Blvd, Rnb-4-151, SANTA CLARA, CA, 95054 US</v>
    <v>41.12</v>
    <v>Semiconductors &amp; Semiconductor Equipment</v>
    <v>Stock</v>
    <v>45954.999996631253</v>
    <v>2852</v>
    <v>37.83</v>
    <v>175960700000</v>
    <v>INTEL CORPORATION</v>
    <v>INTEL CORPORATION</v>
    <v>40.020000000000003</v>
    <v>3607.9169999999999</v>
    <v>38.159999999999997</v>
    <v>38.28</v>
    <v>38.11</v>
    <v>4766000000</v>
    <v>INTC</v>
    <v>INTEL CORPORATION (XNAS:INTC)</v>
    <v>246379974</v>
    <v>136464843</v>
    <v>1989</v>
  </rv>
  <rv s="9">
    <v>2853</v>
  </rv>
  <rv s="0">
    <v>536870912</v>
    <v>Morocco</v>
    <v>70f80aeb-dadf-b744-30f3-cea7fe3e7a8f</v>
    <v>en-IN</v>
    <v>Map</v>
  </rv>
  <rv s="1">
    <fb>0.68544700873851694</fb>
    <v>24</v>
  </rv>
  <rv s="1">
    <fb>446550</fb>
    <v>25</v>
  </rv>
  <rv s="1">
    <fb>246000</fb>
    <v>25</v>
  </rv>
  <rv s="1">
    <fb>18.937000000000001</fb>
    <v>26</v>
  </rv>
  <rv s="1">
    <fb>212</fb>
    <v>27</v>
  </rv>
  <rv s="0">
    <v>536870912</v>
    <v>Rabat</v>
    <v>c1bdba78-6d2f-350d-fb4e-8a0636bc1a1f</v>
    <v>en-IN</v>
    <v>Map</v>
  </rv>
  <rv s="1">
    <fb>61275.57</fb>
    <v>25</v>
  </rv>
  <rv s="1">
    <fb>111.06755821996801</fb>
    <v>28</v>
  </rv>
  <rv s="1">
    <fb>1.9606552057642502E-3</fb>
    <v>24</v>
  </rv>
  <rv s="1">
    <fb>904.442154848276</fb>
    <v>25</v>
  </rv>
  <rv s="1">
    <fb>2.415</fb>
    <v>26</v>
  </rv>
  <rv s="1">
    <fb>0.12601389200089599</fb>
    <v>24</v>
  </rv>
  <rv s="1">
    <fb>88.468862812342195</fb>
    <v>29</v>
  </rv>
  <rv s="1">
    <fb>0.99</fb>
    <v>30</v>
  </rv>
  <rv s="1">
    <fb>118725279596.13</fb>
    <v>31</v>
  </rv>
  <rv s="1">
    <fb>1.1387658000000001</fb>
    <v>24</v>
  </rv>
  <rv s="1">
    <fb>0.35935929999999999</fb>
    <v>24</v>
  </rv>
  <rv s="2">
    <v>82</v>
    <v>22</v>
    <v>482</v>
    <v>7</v>
    <v>0</v>
    <v>Image of Morocco</v>
  </rv>
  <rv s="1">
    <fb>19.2</fb>
    <v>29</v>
  </rv>
  <rv s="0">
    <v>536870912</v>
    <v>Casablanca</v>
    <v>6e0e6ca2-e092-9d0b-f376-e56de22511d6</v>
    <v>en-IN</v>
    <v>Map</v>
  </rv>
  <rv s="0">
    <v>805306368</v>
    <v>Mohammed VI of Morocco (King)</v>
    <v>a8b6463e-cb6c-6fcd-25da-aea08a8138f6</v>
    <v>en-IN</v>
    <v>Generic</v>
  </rv>
  <rv s="0">
    <v>805306368</v>
    <v>Aziz Akhannouch (Prime minister)</v>
    <v>0857cab8-6f91-95d6-9379-d47107139224</v>
    <v>en-IN</v>
    <v>Generic</v>
  </rv>
  <rv s="3">
    <v>150</v>
  </rv>
  <rv s="4">
    <v>https://www.bing.com/search?q=morocco&amp;form=skydnc</v>
    <v>Learn more on Bing</v>
  </rv>
  <rv s="1">
    <fb>76.453000000000003</fb>
    <v>29</v>
  </rv>
  <rv s="1">
    <fb>65415260000</fb>
    <v>31</v>
  </rv>
  <rv s="1">
    <fb>70</fb>
    <v>29</v>
  </rv>
  <rv s="1">
    <fb>1.6</fb>
    <v>30</v>
  </rv>
  <rv s="3">
    <v>151</v>
  </rv>
  <rv s="1">
    <fb>0.53084071929999999</fb>
    <v>24</v>
  </rv>
  <rv s="1">
    <fb>0.72729999999999995</fb>
    <v>26</v>
  </rv>
  <rv s="1">
    <fb>37457971</fb>
    <v>25</v>
  </rv>
  <rv s="1">
    <fb>0.20899999999999999</fb>
    <v>24</v>
  </rv>
  <rv s="1">
    <fb>0.31900000000000001</fb>
    <v>24</v>
  </rv>
  <rv s="1">
    <fb>0.47</fb>
    <v>24</v>
  </rv>
  <rv s="1">
    <fb>2.7000000000000003E-2</fb>
    <v>24</v>
  </rv>
  <rv s="1">
    <fb>0.45305999755859405</fb>
    <v>24</v>
  </rv>
  <rv s="0">
    <v>536870912</v>
    <v>Tanger-Tetouan-Al Hoceima</v>
    <v>b2b988dd-fd79-ea5e-aab0-e61172e8563a</v>
    <v>en-IN</v>
    <v>Map</v>
  </rv>
  <rv s="0">
    <v>536870912</v>
    <v>Oriental</v>
    <v>ede82c2d-4963-5eaa-dd72-96771e2b4ad7</v>
    <v>en-IN</v>
    <v>Map</v>
  </rv>
  <rv s="0">
    <v>536870912</v>
    <v>Fès-Meknès</v>
    <v>1796453a-bad4-8b50-6a38-ec8e50763de3</v>
    <v>en-IN</v>
    <v>Map</v>
  </rv>
  <rv s="0">
    <v>536870912</v>
    <v>Rabat-Salé-Kénitra</v>
    <v>d608a3a6-e00a-255a-7bb0-4c932d8ac70e</v>
    <v>en-IN</v>
    <v>Map</v>
  </rv>
  <rv s="0">
    <v>536870912</v>
    <v>Béni Mellal-Khénifra</v>
    <v>63a560e7-a92b-91a4-d450-0070c6d646ed</v>
    <v>en-IN</v>
    <v>Map</v>
  </rv>
  <rv s="0">
    <v>536870912</v>
    <v>Casablanca-Settat</v>
    <v>0a1da02f-c2ab-cd63-4513-0ad53a204add</v>
    <v>en-IN</v>
    <v>Map</v>
  </rv>
  <rv s="0">
    <v>536870912</v>
    <v>Marrakesh-Safi</v>
    <v>72062986-b181-1c91-77d8-f1c50d8e1167</v>
    <v>en-IN</v>
    <v>Map</v>
  </rv>
  <rv s="0">
    <v>536870912</v>
    <v>Drâa-Tafilalet</v>
    <v>a5af6ee0-6211-7bcb-e47f-24318991bc0b</v>
    <v>en-IN</v>
    <v>Map</v>
  </rv>
  <rv s="0">
    <v>536870912</v>
    <v>Souss-Massa</v>
    <v>79a4822d-1223-a9ce-9ec7-82f8f2f4efb9</v>
    <v>en-IN</v>
    <v>Map</v>
  </rv>
  <rv s="0">
    <v>536870912</v>
    <v>Guelmim-Oued Noun</v>
    <v>f0a8c051-b07e-0e55-2dd7-9c218b5ead01</v>
    <v>en-IN</v>
    <v>Map</v>
  </rv>
  <rv s="0">
    <v>536870912</v>
    <v>Laâyoune-Sakia El Hamra</v>
    <v>dc6d2a0d-e8e8-c9ba-7064-112a1b9c2b06</v>
    <v>en-IN</v>
    <v>Map</v>
  </rv>
  <rv s="0">
    <v>536870912</v>
    <v>Dakhla-Oued Ed-Dahab</v>
    <v>9b6060ab-7891-e388-112f-5d61ad7cdad5</v>
    <v>en-IN</v>
    <v>Map</v>
  </rv>
  <rv s="3">
    <v>152</v>
  </rv>
  <rv s="1">
    <fb>0.21906614484662298</fb>
    <v>24</v>
  </rv>
  <rv s="1">
    <fb>0.45799999999999996</fb>
    <v>24</v>
  </rv>
  <rv s="1">
    <fb>9.0190000534057596E-2</fb>
    <v>32</v>
  </rv>
  <rv s="1">
    <fb>22975026</fb>
    <v>25</v>
  </rv>
  <rv s="19">
    <v>#VALUE!</v>
    <v>en-IN</v>
    <v>70f80aeb-dadf-b744-30f3-cea7fe3e7a8f</v>
    <v>536870912</v>
    <v>1</v>
    <v>485</v>
    <v>105</v>
    <v>Morocco</v>
    <v>20</v>
    <v>21</v>
    <v>Map</v>
    <v>22</v>
    <v>486</v>
    <v>MA</v>
    <v>2856</v>
    <v>2857</v>
    <v>2858</v>
    <v>2859</v>
    <v>2860</v>
    <v>2861</v>
    <v>2862</v>
    <v>2863</v>
    <v>2864</v>
    <v>MAD</v>
    <v>Morocco, officially the Kingdom of Morocco, is a country in the Maghreb region of North Africa. It overlooks the Mediterranean Sea to the north and the Atlantic Ocean to the west, and has land borders with Algeria to the east, and the disputed ...</v>
    <v>2865</v>
    <v>2866</v>
    <v>2867</v>
    <v>2868</v>
    <v>2869</v>
    <v>2870</v>
    <v>2871</v>
    <v>2872</v>
    <v>2873</v>
    <v>2874</v>
    <v>2875</v>
    <v>2878</v>
    <v>2879</v>
    <v>2880</v>
    <v>2881</v>
    <v>2882</v>
    <v>2883</v>
    <v>Morocco</v>
    <v>Cherifian Anthem</v>
    <v>2884</v>
    <v>Kongeriget Marokko</v>
    <v>2885</v>
    <v>2886</v>
    <v>2887</v>
    <v>2888</v>
    <v>2889</v>
    <v>2890</v>
    <v>2891</v>
    <v>143</v>
    <v>2571</v>
    <v>40</v>
    <v>2892</v>
    <v>2905</v>
    <v>2906</v>
    <v>2907</v>
    <v>2908</v>
    <v>Morocco</v>
    <v>2909</v>
    <v>mdp/vdpid/159</v>
  </rv>
  <rv s="1">
    <fb>118</fb>
    <v>25</v>
  </rv>
  <rv s="2">
    <v>83</v>
    <v>22</v>
    <v>487</v>
    <v>7</v>
    <v>0</v>
    <v>Image of Rabat</v>
  </rv>
  <rv s="1">
    <fb>34.025277777778001</fb>
    <v>37</v>
  </rv>
  <rv s="0">
    <v>805306368</v>
    <v>Asmaa Rhlalou (Mayor)</v>
    <v>f564bbbd-b45c-b0df-b992-cca722e2da69</v>
    <v>en-IN</v>
    <v>Generic</v>
  </rv>
  <rv s="3">
    <v>153</v>
  </rv>
  <rv s="4">
    <v>https://www.bing.com/search?q=rabat&amp;form=skydnc</v>
    <v>Learn more on Bing</v>
  </rv>
  <rv s="1">
    <fb>-6.8361111111110997</fb>
    <v>37</v>
  </rv>
  <rv s="1">
    <fb>572717</fb>
    <v>25</v>
  </rv>
  <rv s="14">
    <v>#VALUE!</v>
    <v>en-IN</v>
    <v>c1bdba78-6d2f-350d-fb4e-8a0636bc1a1f</v>
    <v>536870912</v>
    <v>1</v>
    <v>488</v>
    <v>82</v>
    <v>Rabat</v>
    <v>20</v>
    <v>21</v>
    <v>Map</v>
    <v>22</v>
    <v>382</v>
    <v>2896</v>
    <v>2911</v>
    <v>2855</v>
    <v>Rabat is the capital city of Morocco and the country's seventh-largest city with an urban population of approximately 580,000 and a metropolitan population of over 1.2 million. It is also the capital city of the Rabat-Salé-Kénitra administrative ...</v>
    <v>2912</v>
    <v>2913</v>
    <v>2915</v>
    <v>2916</v>
    <v>2917</v>
    <v>Rabat</v>
    <v>2918</v>
    <v>Rabat</v>
    <v>mdp/vdpid/5672233515610013697</v>
  </rv>
  <rv s="1">
    <fb>384</fb>
    <v>25</v>
  </rv>
  <rv s="2">
    <v>84</v>
    <v>22</v>
    <v>489</v>
    <v>7</v>
    <v>0</v>
    <v>Image of Casablanca</v>
  </rv>
  <rv s="1">
    <fb>33.599166666667003</fb>
    <v>37</v>
  </rv>
  <rv s="0">
    <v>805306368</v>
    <v>Nabila Rmili (Mayor)</v>
    <v>48dc3d8b-72c6-cc93-aa23-495c906890b7</v>
    <v>en-IN</v>
    <v>Generic</v>
  </rv>
  <rv s="3">
    <v>154</v>
  </rv>
  <rv s="4">
    <v>https://www.bing.com/search?q=casablanca+morocco&amp;form=skydnc</v>
    <v>Learn more on Bing</v>
  </rv>
  <rv s="1">
    <fb>-7.62</fb>
    <v>37</v>
  </rv>
  <rv s="1">
    <fb>3499000</fb>
    <v>25</v>
  </rv>
  <rv s="14">
    <v>#VALUE!</v>
    <v>en-IN</v>
    <v>6e0e6ca2-e092-9d0b-f376-e56de22511d6</v>
    <v>536870912</v>
    <v>1</v>
    <v>490</v>
    <v>82</v>
    <v>Casablanca</v>
    <v>20</v>
    <v>21</v>
    <v>Map</v>
    <v>22</v>
    <v>41</v>
    <v>2898</v>
    <v>2920</v>
    <v>2855</v>
    <v>Casablanca, also known by its Arabic name Dar el-Beida, is the largest city in Morocco and the country's economic and business center. Located on the Atlantic coast of the Chaouia plain in the central-western part of Morocco, the city has a ...</v>
    <v>2921</v>
    <v>2922</v>
    <v>2924</v>
    <v>2925</v>
    <v>2926</v>
    <v>Casablanca</v>
    <v>2927</v>
    <v>Casablanca</v>
    <v>mdp/vdpid/5684142850539782146</v>
  </rv>
  <rv s="2">
    <v>82</v>
    <v>22</v>
    <v>482</v>
    <v>3</v>
    <v>0</v>
    <v>Image of Morocco</v>
  </rv>
  <rv s="8">
    <v>en-IN</v>
    <v>avysvh</v>
    <v>268435456</v>
    <v>1</v>
    <v>Powered by Refinitiv</v>
    <v>42</v>
    <v>USD/ZAR</v>
    <v>43</v>
    <v>491</v>
    <v>Finance</v>
    <v>45</v>
    <v>19.9316</v>
    <v>17.0532</v>
    <v>-3.1300000000000001E-2</v>
    <v>-1.815E-3</v>
    <v>ZAR</v>
    <v>USD</v>
    <v>17.224900000000002</v>
    <v>Currency Pair</v>
    <v>45957.217766203707</v>
    <v>17.186199999999999</v>
    <v>US Dollar/South African Rand FX Spot Rate</v>
    <v>17.199100000000001</v>
    <v>17.249500000000001</v>
    <v>17.2182</v>
    <v>USDZAR</v>
    <v>USD/ZAR</v>
  </rv>
  <rv s="9">
    <v>2930</v>
  </rv>
  <rv s="4">
    <v>https://www.bing.com/financeapi/forcetrigger?t=a22hh7&amp;q=XNYS%3aSAP&amp;form=skydnc</v>
    <v>Learn more on Bing</v>
  </rv>
  <rv s="10">
    <v>en-IN</v>
    <v>a22hh7</v>
    <v>268435456</v>
    <v>1</v>
    <v>Powered by Refinitiv</v>
    <v>46</v>
    <v>Sap Se (XNYS:SAP)</v>
    <v>47</v>
    <v>48</v>
    <v>Finance</v>
    <v>49</v>
    <v>313.27999999999997</v>
    <v>227.52</v>
    <v>1.1849000000000001</v>
    <v>-8.98</v>
    <v>2.0399999999999997E-3</v>
    <v>-3.2240999999999999E-2</v>
    <v>0.55000000000000004</v>
    <v>USD</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108929</v>
    <v>New York Stock Exchange</v>
    <v>XNYS</v>
    <v>XNYS</v>
    <v>Dietmar-Hopp-Allee 16, WALLDORF, BADEN-WUERTTEMBERG, 69190 DE</v>
    <v>276.54000000000002</v>
    <v>Software &amp; IT Services</v>
    <v>Stock</v>
    <v>45954.994180497655</v>
    <v>2932</v>
    <v>268.89999999999998</v>
    <v>337467500000</v>
    <v>Sap Se</v>
    <v>Sap Se</v>
    <v>276.52999999999997</v>
    <v>41.175800000000002</v>
    <v>278.52999999999997</v>
    <v>269.55</v>
    <v>270.10000000000002</v>
    <v>1228504000</v>
    <v>SAP</v>
    <v>Sap Se (XNYS:SAP)</v>
    <v>2207777</v>
    <v>1377590</v>
    <v>2014</v>
  </rv>
  <rv s="9">
    <v>2933</v>
  </rv>
  <rv s="0">
    <v>536870912</v>
    <v>Mozambique</v>
    <v>a7f78d5f-1f90-031f-0dbd-c31c66e057d5</v>
    <v>en-IN</v>
    <v>Map</v>
  </rv>
  <rv s="1">
    <fb>0.63518909433098503</fb>
    <v>24</v>
  </rv>
  <rv s="1">
    <fb>801590</fb>
    <v>25</v>
  </rv>
  <rv s="1">
    <fb>11000</fb>
    <v>25</v>
  </rv>
  <rv s="1">
    <fb>37.520000000000003</fb>
    <v>26</v>
  </rv>
  <rv s="1">
    <fb>258</fb>
    <v>27</v>
  </rv>
  <rv s="0">
    <v>536870912</v>
    <v>Maputo</v>
    <v>d995e878-d96c-85c9-a3eb-fae711074afd</v>
    <v>en-IN</v>
    <v>Map</v>
  </rv>
  <rv s="1">
    <fb>7942.7219999999998</fb>
    <v>25</v>
  </rv>
  <rv s="1">
    <fb>182.31478337639101</fb>
    <v>28</v>
  </rv>
  <rv s="1">
    <fb>2.7811063118294198E-2</fb>
    <v>24</v>
  </rv>
  <rv s="1">
    <fb>478.92117232933498</fb>
    <v>25</v>
  </rv>
  <rv s="1">
    <fb>4.8520000000000003</fb>
    <v>26</v>
  </rv>
  <rv s="1">
    <fb>0.47983928332994202</fb>
    <v>24</v>
  </rv>
  <rv s="1">
    <fb>12.6199534718635</fb>
    <v>29</v>
  </rv>
  <rv s="1">
    <fb>14934159925.523399</fb>
    <v>31</v>
  </rv>
  <rv s="1">
    <fb>1.1260497999999999</fb>
    <v>24</v>
  </rv>
  <rv s="1">
    <fb>7.3125499999999996E-2</fb>
    <v>24</v>
  </rv>
  <rv s="2">
    <v>85</v>
    <v>22</v>
    <v>493</v>
    <v>7</v>
    <v>0</v>
    <v>Image of Mozambique</v>
  </rv>
  <rv s="1">
    <fb>54</fb>
    <v>29</v>
  </rv>
  <rv s="0">
    <v>805306368</v>
    <v>Filipe Nyusi (President)</v>
    <v>e76bae58-97a5-8113-5583-8ad58cc9a275</v>
    <v>en-IN</v>
    <v>Generic</v>
  </rv>
  <rv s="0">
    <v>805306368</v>
    <v>Adriano Maleiane (Prime minister)</v>
    <v>48fefbbe-c55d-7988-73a4-d3170cec2473</v>
    <v>en-IN</v>
    <v>Generic</v>
  </rv>
  <rv s="3">
    <v>155</v>
  </rv>
  <rv s="4">
    <v>https://www.bing.com/search?q=mozambique&amp;form=skydnc</v>
    <v>Learn more on Bing</v>
  </rv>
  <rv s="1">
    <fb>60.162999999999997</fb>
    <v>29</v>
  </rv>
  <rv s="1">
    <fb>289</fb>
    <v>29</v>
  </rv>
  <rv s="1">
    <fb>0.27</fb>
    <v>30</v>
  </rv>
  <rv s="3">
    <v>156</v>
  </rv>
  <rv s="1">
    <fb>6.8464365599999993E-2</fb>
    <v>24</v>
  </rv>
  <rv s="1">
    <fb>8.3799999999999999E-2</fb>
    <v>26</v>
  </rv>
  <rv s="1">
    <fb>32969518</fb>
    <v>25</v>
  </rv>
  <rv s="1">
    <fb>0.17399999999999999</fb>
    <v>24</v>
  </rv>
  <rv s="1">
    <fb>0.45500000000000002</fb>
    <v>24</v>
  </rv>
  <rv s="1">
    <fb>0.59499999999999997</fb>
    <v>24</v>
  </rv>
  <rv s="1">
    <fb>1.6E-2</fb>
    <v>24</v>
  </rv>
  <rv s="1">
    <fb>4.2000000000000003E-2</fb>
    <v>24</v>
  </rv>
  <rv s="1">
    <fb>0.11199999999999999</fb>
    <v>24</v>
  </rv>
  <rv s="1">
    <fb>0.78097000122070304</fb>
    <v>24</v>
  </rv>
  <rv s="0">
    <v>536870912</v>
    <v>Cabo Delgado Province</v>
    <v>e5092fb2-807d-6dde-7af0-8c5ce915dc09</v>
    <v>en-IN</v>
    <v>Map</v>
  </rv>
  <rv s="0">
    <v>536870912</v>
    <v>Gaza Province</v>
    <v>ed9118ad-6a52-a758-4ad2-3bb6d7ad6a72</v>
    <v>en-IN</v>
    <v>Map</v>
  </rv>
  <rv s="0">
    <v>536870912</v>
    <v>Inhambane Province</v>
    <v>d5ef9c0c-291b-87ed-3596-2c66485f7bcb</v>
    <v>en-IN</v>
    <v>Map</v>
  </rv>
  <rv s="0">
    <v>536870912</v>
    <v>Manica Province</v>
    <v>d1fb7605-afd7-bf22-9c3e-885d5343919c</v>
    <v>en-IN</v>
    <v>Map</v>
  </rv>
  <rv s="0">
    <v>536870912</v>
    <v>Maputo Province</v>
    <v>4af3ad4a-4b1f-83c9-d3b3-6993c601770f</v>
    <v>en-IN</v>
    <v>Map</v>
  </rv>
  <rv s="0">
    <v>536870912</v>
    <v>Nampula Province</v>
    <v>b45ef35f-3689-e855-c77c-99ce450bac9e</v>
    <v>en-IN</v>
    <v>Map</v>
  </rv>
  <rv s="0">
    <v>536870912</v>
    <v>Niassa Province</v>
    <v>42011373-ef53-85b1-2f7e-7ac3b4192e52</v>
    <v>en-IN</v>
    <v>Map</v>
  </rv>
  <rv s="0">
    <v>536870912</v>
    <v>Sofala Province</v>
    <v>4f472e22-3748-7fd0-52b2-aff1245d8f5d</v>
    <v>en-IN</v>
    <v>Map</v>
  </rv>
  <rv s="0">
    <v>536870912</v>
    <v>Tete Province</v>
    <v>cfa93a22-ea12-c7f6-686b-5c7b7852f88e</v>
    <v>en-IN</v>
    <v>Map</v>
  </rv>
  <rv s="0">
    <v>536870912</v>
    <v>Zambezia Province</v>
    <v>1ff2b2ab-acf2-31bb-c86a-1a3705c17787</v>
    <v>en-IN</v>
    <v>Map</v>
  </rv>
  <rv s="3">
    <v>157</v>
  </rv>
  <rv s="1">
    <fb>2.1625512934769699E-4</fb>
    <v>24</v>
  </rv>
  <rv s="1">
    <fb>0.36099999999999999</fb>
    <v>24</v>
  </rv>
  <rv s="1">
    <fb>3.2409999370575003E-2</fb>
    <v>32</v>
  </rv>
  <rv s="1">
    <fb>11092106</fb>
    <v>25</v>
  </rv>
  <rv s="13">
    <v>#VALUE!</v>
    <v>en-IN</v>
    <v>a7f78d5f-1f90-031f-0dbd-c31c66e057d5</v>
    <v>536870912</v>
    <v>1</v>
    <v>496</v>
    <v>78</v>
    <v>Mozambique</v>
    <v>20</v>
    <v>21</v>
    <v>Map</v>
    <v>22</v>
    <v>497</v>
    <v>MZ</v>
    <v>2936</v>
    <v>2937</v>
    <v>2938</v>
    <v>2939</v>
    <v>2940</v>
    <v>2941</v>
    <v>2942</v>
    <v>2943</v>
    <v>2944</v>
    <v>MZN</v>
    <v>Mozambique, officially the Republic of Mozambique, is a country located in southeastern Africa bordered by the Indian Ocean to the east, Tanzania to the north, Malawi and Zambia to the northwest, Zimbabwe to the west, and Eswatini and South ...</v>
    <v>2945</v>
    <v>2946</v>
    <v>2947</v>
    <v>2948</v>
    <v>2732</v>
    <v>2949</v>
    <v>2950</v>
    <v>2951</v>
    <v>2952</v>
    <v>2953</v>
    <v>2941</v>
    <v>2956</v>
    <v>2957</v>
    <v>2958</v>
    <v>2959</v>
    <v>2960</v>
    <v>Mozambique</v>
    <v>Pátria Amada</v>
    <v>2961</v>
    <v>República de Moçambique</v>
    <v>2962</v>
    <v>2963</v>
    <v>2964</v>
    <v>2965</v>
    <v>2966</v>
    <v>2967</v>
    <v>2968</v>
    <v>2969</v>
    <v>1235</v>
    <v>2970</v>
    <v>2971</v>
    <v>2982</v>
    <v>2983</v>
    <v>2984</v>
    <v>2985</v>
    <v>Mozambique</v>
    <v>2986</v>
    <v>mdp/vdpid/168</v>
  </rv>
  <rv s="1">
    <fb>346.77</fb>
    <v>25</v>
  </rv>
  <rv s="2">
    <v>86</v>
    <v>22</v>
    <v>498</v>
    <v>7</v>
    <v>0</v>
    <v>Image of Maputo</v>
  </rv>
  <rv s="0">
    <v>805306368</v>
    <v>Iolanda Cintura (Governor)</v>
    <v>187d0d3e-302a-add3-ac74-9b0e806a0bca</v>
    <v>en-IN</v>
    <v>Generic</v>
  </rv>
  <rv s="3">
    <v>158</v>
  </rv>
  <rv s="4">
    <v>https://www.bing.com/search?q=maputo&amp;form=skydnc</v>
    <v>Learn more on Bing</v>
  </rv>
  <rv s="1">
    <fb>1133200</fb>
    <v>25</v>
  </rv>
  <rv s="33">
    <v>#VALUE!</v>
    <v>en-IN</v>
    <v>d995e878-d96c-85c9-a3eb-fae711074afd</v>
    <v>536870912</v>
    <v>1</v>
    <v>500</v>
    <v>222</v>
    <v>Maputo</v>
    <v>20</v>
    <v>21</v>
    <v>Map</v>
    <v>22</v>
    <v>235</v>
    <v>MZ-MPM</v>
    <v>2988</v>
    <v>2935</v>
    <v>Maputo, formerly named Lourenço Marques until 1976, is the capital, and largest city of Mozambique. Located near the southern end of the country, it is within 120 kilometres of the borders with Eswatini and South Africa. The city has a ...</v>
    <v>2989</v>
    <v>2991</v>
    <v>2992</v>
    <v>Maputo</v>
    <v>2993</v>
    <v>Maputo</v>
    <v>mdp/vdpid/8182639636053491713</v>
  </rv>
  <rv s="2">
    <v>85</v>
    <v>22</v>
    <v>493</v>
    <v>3</v>
    <v>0</v>
    <v>Image of Mozambique</v>
  </rv>
  <rv s="8">
    <v>en-IN</v>
    <v>avtzbh</v>
    <v>268435456</v>
    <v>1</v>
    <v>Powered by Refinitiv</v>
    <v>42</v>
    <v>ZAR/USD</v>
    <v>43</v>
    <v>62</v>
    <v>Finance</v>
    <v>45</v>
    <v>5.858E-2</v>
    <v>5.015E-2</v>
    <v>1.7000000000000001E-4</v>
    <v>2.9380000000000001E-3</v>
    <v>USD</v>
    <v>ZAR</v>
    <v>5.8189999999999999E-2</v>
    <v>Currency Pair</v>
    <v>45957.217800925922</v>
    <v>5.806E-2</v>
    <v>South African Rand/US Dollar FX Cross Rate</v>
    <v>5.8090000000000003E-2</v>
    <v>5.7869999999999998E-2</v>
    <v>5.8040000000000001E-2</v>
    <v>ZARUSD</v>
    <v>ZAR/USD</v>
  </rv>
  <rv s="9">
    <v>2996</v>
  </rv>
  <rv s="4">
    <v>http://en.wikipedia.org/wiki/Sony_Corporation_of_America</v>
    <v>Wikipedia</v>
  </rv>
  <rv s="16">
    <v>460</v>
    <v>2998</v>
  </rv>
  <rv s="17">
    <v>99</v>
    <v>https://www.bing.com/th?id=AMMS_ae9f622f64f109cc937f5e2dec52dc40&amp;qlt=95</v>
    <v>2999</v>
    <v>0</v>
    <v>https://www.bing.com/images/search?form=xlimg&amp;q=sony+corporation+of+america</v>
    <v>Image of Sony Group Corporation</v>
  </rv>
  <rv s="4">
    <v>https://www.bing.com/financeapi/forcetrigger?t=a238cw&amp;q=XNYS%3aSONY&amp;form=skydnc</v>
    <v>Learn more on Bing</v>
  </rv>
  <rv s="18">
    <v>en-IN</v>
    <v>a238cw</v>
    <v>268435456</v>
    <v>1</v>
    <v>Powered by Refinitiv</v>
    <v>95</v>
    <v>Sony Group Corporation (XNYS:SONY)</v>
    <v>97</v>
    <v>98</v>
    <v>Finance</v>
    <v>49</v>
    <v>30.285</v>
    <v>16.986699999999999</v>
    <v>1.0003</v>
    <v>-0.06</v>
    <v>0</v>
    <v>-2.0899999999999998E-3</v>
    <v>0</v>
    <v>USD</v>
    <v>Sony Group Corp is a Japan-based company engaged in the games &amp; network services (G&amp;NS), music, movies, entertainment technology &amp; services (ET&amp;S), imaging &amp; sensing solutions (I&amp;SS) and other businesses. It has seven business segments. G&amp;NS segment is involved in network service business, the manufacture and sale of home video game consoles and software. The Music segment mainly includes music production, music publishing and video media platform businesses. The Movies segment mainly includes film production, television program production and media network businesses. The ET&amp;S field mainly includes the television business, audio, video business, still image, video camera business, smartphone business and Internet-related service business. The I&amp;SS segment mainly includes the image sensor business. The Financial segment is involved in the insurance business and banking business. The Other segment consists of activities such as disc manufacturing business and recording media business.</v>
    <v>112300</v>
    <v>New York Stock Exchange</v>
    <v>XNYS</v>
    <v>XNYS</v>
    <v>1-7-1, Konan, MINATO-KU, TOKYO-TO, 108-0075 JP</v>
    <v>28.86</v>
    <v>3000</v>
    <v>Computers, Phones &amp; Household Electronics</v>
    <v>Stock</v>
    <v>45954.994872210154</v>
    <v>3001</v>
    <v>28.594999999999999</v>
    <v>178102900000</v>
    <v>Sony Group Corporation</v>
    <v>Sony Group Corporation</v>
    <v>28.86</v>
    <v>9.9293999999999993</v>
    <v>28.71</v>
    <v>28.65</v>
    <v>28.65</v>
    <v>6149811000</v>
    <v>SONY</v>
    <v>Sony Group Corporation (XNYS:SONY)</v>
    <v>2769085</v>
    <v>4552236</v>
    <v>1946</v>
  </rv>
  <rv s="9">
    <v>3002</v>
  </rv>
  <rv s="0">
    <v>536870912</v>
    <v>Myanmar</v>
    <v>403039e1-0344-6b36-8fb6-123e2767192e</v>
    <v>en-IN</v>
    <v>Map</v>
  </rv>
  <rv s="1">
    <fb>0.19538188277086999</fb>
    <v>24</v>
  </rv>
  <rv s="1">
    <fb>676577.2</fb>
    <v>25</v>
  </rv>
  <rv s="1">
    <fb>513000</fb>
    <v>25</v>
  </rv>
  <rv s="1">
    <fb>17.552</fb>
    <v>26</v>
  </rv>
  <rv s="1">
    <fb>95</fb>
    <v>27</v>
  </rv>
  <rv s="0">
    <v>536870912</v>
    <v>Naypyidaw</v>
    <v>df9278da-189d-76cf-6686-5d6e12deb605</v>
    <v>en-IN</v>
    <v>Map</v>
  </rv>
  <rv s="1">
    <fb>25280.297999999999</fb>
    <v>25</v>
  </rv>
  <rv s="1">
    <fb>168.18270065936699</fb>
    <v>28</v>
  </rv>
  <rv s="1">
    <fb>8.8250669680456195E-2</fb>
    <v>24</v>
  </rv>
  <rv s="1">
    <fb>215.29889544359901</fb>
    <v>25</v>
  </rv>
  <rv s="1">
    <fb>2.1539999999999999</fb>
    <v>26</v>
  </rv>
  <rv s="1">
    <fb>0.43631101257694299</fb>
    <v>24</v>
  </rv>
  <rv s="1">
    <fb>44.2898952399838</fb>
    <v>29</v>
  </rv>
  <rv s="1">
    <fb>0.54</fb>
    <v>30</v>
  </rv>
  <rv s="1">
    <fb>76085852617.1371</fb>
    <v>31</v>
  </rv>
  <rv s="1">
    <fb>1.1230666999999999</fb>
    <v>24</v>
  </rv>
  <rv s="1">
    <fb>0.1881594</fb>
    <v>24</v>
  </rv>
  <rv s="2">
    <v>87</v>
    <v>22</v>
    <v>502</v>
    <v>7</v>
    <v>0</v>
    <v>Image of Myanmar</v>
  </rv>
  <rv s="1">
    <fb>36.799999999999997</fb>
    <v>29</v>
  </rv>
  <rv s="0">
    <v>536870912</v>
    <v>Yangon</v>
    <v>4e695ae0-edc6-6c76-7ab3-29aac71540d2</v>
    <v>en-IN</v>
    <v>Map</v>
  </rv>
  <rv s="0">
    <v>805306368</v>
    <v>Myint Swe (President)</v>
    <v>435129ae-303b-8d38-c115-08a9b6692582</v>
    <v>en-IN</v>
    <v>Generic</v>
  </rv>
  <rv s="0">
    <v>805306368</v>
    <v>Min Aung Hlaing (Prime minister)</v>
    <v>e7a53bf8-cc3a-4416-9e73-c6d65f1c755c</v>
    <v>en-IN</v>
    <v>Generic</v>
  </rv>
  <rv s="0">
    <v>805306368</v>
    <v>Soe Win (Deputy prime minister)</v>
    <v>82978d9c-d0ee-3489-8a33-63a6c4a9da25</v>
    <v>en-IN</v>
    <v>Generic</v>
  </rv>
  <rv s="3">
    <v>159</v>
  </rv>
  <rv s="4">
    <v>https://www.bing.com/search?q=burma&amp;form=skydnc</v>
    <v>Learn more on Bing</v>
  </rv>
  <rv s="1">
    <fb>66.867000000000004</fb>
    <v>29</v>
  </rv>
  <rv s="1">
    <fb>250</fb>
    <v>29</v>
  </rv>
  <rv s="1">
    <fb>0.39</fb>
    <v>30</v>
  </rv>
  <rv s="3">
    <v>160</v>
  </rv>
  <rv s="1">
    <fb>0.73910675850000007</fb>
    <v>24</v>
  </rv>
  <rv s="1">
    <fb>0.67700000000000005</fb>
    <v>26</v>
  </rv>
  <rv s="1">
    <fb>54179306</fb>
    <v>25</v>
  </rv>
  <rv s="1">
    <fb>0.255</fb>
    <v>24</v>
  </rv>
  <rv s="1">
    <fb>0.39899999999999997</fb>
    <v>24</v>
  </rv>
  <rv s="1">
    <fb>3.7999999999999999E-2</fb>
    <v>24</v>
  </rv>
  <rv s="1">
    <fb>0.61665000915527302</fb>
    <v>24</v>
  </rv>
  <rv s="0">
    <v>536870912</v>
    <v>Rakhine State</v>
    <v>7f5cf9bf-6a7d-34cf-56b9-977c5d2c4c28</v>
    <v>en-IN</v>
    <v>Map</v>
  </rv>
  <rv s="0">
    <v>536870912</v>
    <v>Chin State</v>
    <v>8767daf8-6c44-f4eb-6952-b31b3116dfdc</v>
    <v>en-IN</v>
    <v>Map</v>
  </rv>
  <rv s="0">
    <v>536870912</v>
    <v>Kachin State</v>
    <v>b37f2071-79b3-08c2-84ff-b5d2f7a84b50</v>
    <v>en-IN</v>
    <v>Map</v>
  </rv>
  <rv s="0">
    <v>536870912</v>
    <v>Shan State</v>
    <v>e156690a-20dc-8fec-2221-6b900a5faac3</v>
    <v>en-IN</v>
    <v>Map</v>
  </rv>
  <rv s="0">
    <v>536870912</v>
    <v>Kayah State</v>
    <v>7e558f70-1a57-2f54-267a-0b2f5e276566</v>
    <v>en-IN</v>
    <v>Map</v>
  </rv>
  <rv s="0">
    <v>536870912</v>
    <v>Kayin State</v>
    <v>0b0aceeb-7d5a-c7fb-2fd9-223daff2915f</v>
    <v>en-IN</v>
    <v>Map</v>
  </rv>
  <rv s="0">
    <v>536870912</v>
    <v>Mon State</v>
    <v>f2e9fbb5-4623-ba3a-a364-d55ba46d5f89</v>
    <v>en-IN</v>
    <v>Map</v>
  </rv>
  <rv s="0">
    <v>536870912</v>
    <v>Sagaing Region</v>
    <v>e45333f7-2673-3131-0573-3d3292d7d372</v>
    <v>en-IN</v>
    <v>Map</v>
  </rv>
  <rv s="0">
    <v>536870912</v>
    <v>Tanintharyi Region</v>
    <v>4ad2bbb0-a1cf-5faa-71c3-9006b452138c</v>
    <v>en-IN</v>
    <v>Map</v>
  </rv>
  <rv s="0">
    <v>536870912</v>
    <v>Ayeyarwady Region</v>
    <v>79fa91fb-1f1a-bedf-d43c-719505f21579</v>
    <v>en-IN</v>
    <v>Map</v>
  </rv>
  <rv s="0">
    <v>536870912</v>
    <v>Yangon Region</v>
    <v>fd1c9c78-e8ec-f259-baa1-fa7f54d9953d</v>
    <v>en-IN</v>
    <v>Map</v>
  </rv>
  <rv s="0">
    <v>536870912</v>
    <v>Bago Region</v>
    <v>a8109f5a-d15c-fc8e-df32-b9b9720cb90b</v>
    <v>en-IN</v>
    <v>Map</v>
  </rv>
  <rv s="0">
    <v>536870912</v>
    <v>Magway Region</v>
    <v>863af825-4d0c-a30c-0216-cfb5e4c37073</v>
    <v>en-IN</v>
    <v>Map</v>
  </rv>
  <rv s="0">
    <v>536870912</v>
    <v>Mandalay Region</v>
    <v>efcc164d-4675-ecd6-872f-210989854d60</v>
    <v>en-IN</v>
    <v>Map</v>
  </rv>
  <rv s="0">
    <v>536870912</v>
    <v>Naypyidaw Union Territory</v>
    <v>6e3c6c16-bfed-4b3f-909a-af9490096dc2</v>
    <v>en-IN</v>
    <v>Map</v>
  </rv>
  <rv s="3">
    <v>161</v>
  </rv>
  <rv s="1">
    <fb>5.36699529080766E-2</fb>
    <v>24</v>
  </rv>
  <rv s="1">
    <fb>0.312</fb>
    <v>24</v>
  </rv>
  <rv s="1">
    <fb>1.57700002193451E-2</fb>
    <v>32</v>
  </rv>
  <rv s="1">
    <fb>16674093</fb>
    <v>25</v>
  </rv>
  <rv s="13">
    <v>#VALUE!</v>
    <v>en-IN</v>
    <v>403039e1-0344-6b36-8fb6-123e2767192e</v>
    <v>536870912</v>
    <v>1</v>
    <v>505</v>
    <v>78</v>
    <v>Myanmar</v>
    <v>20</v>
    <v>21</v>
    <v>Map</v>
    <v>22</v>
    <v>506</v>
    <v>MM</v>
    <v>3005</v>
    <v>3006</v>
    <v>3007</v>
    <v>3008</v>
    <v>3009</v>
    <v>3010</v>
    <v>3011</v>
    <v>3012</v>
    <v>3013</v>
    <v>MMK</v>
    <v>Myanmar, officially the Republic of the Union of Myanmar, also known as Burma, is a country in Southeast Asia. It is the largest country by area in Mainland Southeast Asia and has a population of about 55 million. It is bordered by Bangladesh ...</v>
    <v>3014</v>
    <v>3015</v>
    <v>3016</v>
    <v>3017</v>
    <v>3018</v>
    <v>3019</v>
    <v>3020</v>
    <v>3021</v>
    <v>3022</v>
    <v>3023</v>
    <v>3024</v>
    <v>3028</v>
    <v>3029</v>
    <v>3030</v>
    <v>3031</v>
    <v>3032</v>
    <v>Myanmar</v>
    <v>Kaba Ma Kyei</v>
    <v>3033</v>
    <v>Republic of the Union of Myanmar</v>
    <v>3034</v>
    <v>3035</v>
    <v>3036</v>
    <v>1734</v>
    <v>3037</v>
    <v>3038</v>
    <v>3039</v>
    <v>1524</v>
    <v>1120</v>
    <v>711</v>
    <v>3040</v>
    <v>3056</v>
    <v>3057</v>
    <v>3058</v>
    <v>3059</v>
    <v>Myanmar</v>
    <v>3060</v>
    <v>mdp/vdpid/27</v>
  </rv>
  <rv s="1">
    <fb>7054.37</fb>
    <v>25</v>
  </rv>
  <rv s="2">
    <v>88</v>
    <v>22</v>
    <v>507</v>
    <v>7</v>
    <v>0</v>
    <v>Image of Naypyidaw</v>
  </rv>
  <rv s="1">
    <fb>19.747499999999999</fb>
    <v>37</v>
  </rv>
  <rv s="4">
    <v>https://www.bing.com/search?q=naypyidaw&amp;form=skydnc</v>
    <v>Learn more on Bing</v>
  </rv>
  <rv s="1">
    <fb>96.114999999999995</fb>
    <v>37</v>
  </rv>
  <rv s="1">
    <fb>1160242</fb>
    <v>25</v>
  </rv>
  <rv s="29">
    <v>#VALUE!</v>
    <v>en-IN</v>
    <v>df9278da-189d-76cf-6686-5d6e12deb605</v>
    <v>536870912</v>
    <v>1</v>
    <v>508</v>
    <v>188</v>
    <v>Naypyidaw</v>
    <v>20</v>
    <v>21</v>
    <v>Map</v>
    <v>22</v>
    <v>382</v>
    <v>3055</v>
    <v>3062</v>
    <v>3004</v>
    <v>Naypyidaw, officially romanized Nay Pyi Taw, is the capital and third-largest city of Myanmar. The city is located at the centre of the Naypyidaw Union Territory. It is unusual among Myanmar's cities, as it is an entirely planned city outside of ...</v>
    <v>3063</v>
    <v>3064</v>
    <v>3065</v>
    <v>3066</v>
    <v>Naypyidaw</v>
    <v>3067</v>
    <v>Naypyidaw</v>
    <v>mdp/vdpid/7856915913562390529</v>
  </rv>
  <rv s="1">
    <fb>576</fb>
    <v>25</v>
  </rv>
  <rv s="0">
    <v>536870912</v>
    <v>British rule in Burma</v>
    <v>2b1fd4c4-2675-ec6e-5d2e-ec184c1344cf</v>
    <v>en-IN</v>
    <v>Map</v>
  </rv>
  <rv s="2">
    <v>89</v>
    <v>22</v>
    <v>509</v>
    <v>7</v>
    <v>0</v>
    <v>Image of Yangon</v>
  </rv>
  <rv s="1">
    <fb>16.795000000000002</fb>
    <v>37</v>
  </rv>
  <rv s="0">
    <v>805306368</v>
    <v>Bo Htay (Mayor)</v>
    <v>df0ebc83-0f36-4315-baec-44790b620fba</v>
    <v>en-IN</v>
    <v>Generic</v>
  </rv>
  <rv s="3">
    <v>162</v>
  </rv>
  <rv s="4">
    <v>https://www.bing.com/search?q=yangon&amp;form=skydnc</v>
    <v>Learn more on Bing</v>
  </rv>
  <rv s="1">
    <fb>96.16</fb>
    <v>37</v>
  </rv>
  <rv s="1">
    <fb>6874000</fb>
    <v>25</v>
  </rv>
  <rv s="14">
    <v>#VALUE!</v>
    <v>en-IN</v>
    <v>4e695ae0-edc6-6c76-7ab3-29aac71540d2</v>
    <v>536870912</v>
    <v>1</v>
    <v>510</v>
    <v>82</v>
    <v>Yangon</v>
    <v>20</v>
    <v>21</v>
    <v>Map</v>
    <v>22</v>
    <v>94</v>
    <v>3051</v>
    <v>3069</v>
    <v>3070</v>
    <v>Yangon is the capital of the Yangon Region and the largest city of Myanmar. Yangon served as the capital of Myanmar until 2006, when the military government relocated the administrative functions to the purpose-built capital city of Naypyidaw in ...</v>
    <v>3071</v>
    <v>3072</v>
    <v>3074</v>
    <v>3075</v>
    <v>3076</v>
    <v>Yangon</v>
    <v>3077</v>
    <v>Yangon</v>
    <v>mdp/vdpid/7861045550152417281</v>
  </rv>
  <rv s="2">
    <v>87</v>
    <v>22</v>
    <v>502</v>
    <v>3</v>
    <v>0</v>
    <v>Image of Myanmar</v>
  </rv>
  <rv s="59">
    <v>en-IN</v>
    <v>avys2w</v>
    <v>268435456</v>
    <v>1</v>
    <v>Powered by Refinitiv</v>
    <v>511</v>
    <v>USD/RUB</v>
    <v>43</v>
    <v>512</v>
    <v>Finance</v>
    <v>45</v>
    <v>114.99550000000001</v>
    <v>76.895499999999998</v>
    <v>0</v>
    <v>0</v>
    <v>RUB</v>
    <v>USD</v>
    <v>Currency Pair</v>
    <v>45954.6483912037</v>
    <v>US Dollar/Russian Rouble FX Spot Rate</v>
    <v>79.745500000000007</v>
    <v>79.745500000000007</v>
    <v>USDRUB</v>
    <v>USD/RUB</v>
  </rv>
  <rv s="9">
    <v>3080</v>
  </rv>
  <rv s="4">
    <v>https://www.bing.com/financeapi/forcetrigger?t=a1retc&amp;q=XNYS%3aDELL&amp;form=skydnc</v>
    <v>Learn more on Bing</v>
  </rv>
  <rv s="10">
    <v>en-IN</v>
    <v>a1retc</v>
    <v>268435456</v>
    <v>1</v>
    <v>Powered by Refinitiv</v>
    <v>46</v>
    <v>DELL TECHNOLOGIES INC. (XNYS:DELL)</v>
    <v>47</v>
    <v>48</v>
    <v>Finance</v>
    <v>49</v>
    <v>166.1</v>
    <v>66.245000000000005</v>
    <v>1.0071000000000001</v>
    <v>4.41</v>
    <v>1.6389999999999998E-3</v>
    <v>2.8593999999999998E-2</v>
    <v>0.26</v>
    <v>USD</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108000</v>
    <v>New York Stock Exchange</v>
    <v>XNYS</v>
    <v>XNYS</v>
    <v>ONE DELL WAY, ROUND ROCK, TX, 78682 US</v>
    <v>159.94</v>
    <v>Computers, Phones &amp; Household Electronics</v>
    <v>Stock</v>
    <v>45954.999182117972</v>
    <v>3082</v>
    <v>156.80009999999999</v>
    <v>100617200000</v>
    <v>DELL TECHNOLOGIES INC.</v>
    <v>DELL TECHNOLOGIES INC.</v>
    <v>157.6</v>
    <v>22.771000000000001</v>
    <v>154.22999999999999</v>
    <v>158.63999999999999</v>
    <v>158.9</v>
    <v>670200200</v>
    <v>DELL</v>
    <v>DELL TECHNOLOGIES INC. (XNYS:DELL)</v>
    <v>5081468</v>
    <v>8240148</v>
    <v>2013</v>
  </rv>
  <rv s="9">
    <v>3083</v>
  </rv>
  <rv s="0">
    <v>536870912</v>
    <v>Namibia</v>
    <v>8fa38619-fcde-c9ff-939f-48a96fb1e4a6</v>
    <v>en-IN</v>
    <v>Map</v>
  </rv>
  <rv s="1">
    <fb>0.47138918242660499</fb>
    <v>24</v>
  </rv>
  <rv s="1">
    <fb>825615</fb>
    <v>25</v>
  </rv>
  <rv s="1">
    <fb>16000</fb>
    <v>25</v>
  </rv>
  <rv s="1">
    <fb>28.638999999999999</fb>
    <v>26</v>
  </rv>
  <rv s="1">
    <fb>264</fb>
    <v>27</v>
  </rv>
  <rv s="0">
    <v>536870912</v>
    <v>Windhoek</v>
    <v>61966627-3552-ec0f-dc8a-65cecb9ffb6a</v>
    <v>en-IN</v>
    <v>Map</v>
  </rv>
  <rv s="1">
    <fb>4228.0510000000004</fb>
    <v>25</v>
  </rv>
  <rv s="1">
    <fb>157.96836796149401</fb>
    <v>28</v>
  </rv>
  <rv s="1">
    <fb>3.7269751162113902E-2</fb>
    <v>24</v>
  </rv>
  <rv s="1">
    <fb>1652.56902565727</fb>
    <v>25</v>
  </rv>
  <rv s="1">
    <fb>3.3959999999999999</fb>
    <v>26</v>
  </rv>
  <rv s="1">
    <fb>8.3139596068062302E-2</fb>
    <v>24</v>
  </rv>
  <rv s="1">
    <fb>66.719090832065604</fb>
    <v>29</v>
  </rv>
  <rv s="1">
    <fb>0.76</fb>
    <v>30</v>
  </rv>
  <rv s="1">
    <fb>12366527719.332199</fb>
    <v>31</v>
  </rv>
  <rv s="1">
    <fb>1.2424839000000001</fb>
    <v>24</v>
  </rv>
  <rv s="1">
    <fb>0.22888159999999999</fb>
    <v>24</v>
  </rv>
  <rv s="2">
    <v>90</v>
    <v>22</v>
    <v>514</v>
    <v>7</v>
    <v>0</v>
    <v>Image of Namibia</v>
  </rv>
  <rv s="0">
    <v>805306368</v>
    <v>Hage Geingob (President)</v>
    <v>4ddf6441-91a5-b1c6-899a-c4d4c7e483d1</v>
    <v>en-IN</v>
    <v>Generic</v>
  </rv>
  <rv s="0">
    <v>805306368</v>
    <v>Nangolo Mbumba (Vice president)</v>
    <v>a97b47aa-9826-f80c-12f7-e8308dc5656d</v>
    <v>en-IN</v>
    <v>Generic</v>
  </rv>
  <rv s="0">
    <v>805306368</v>
    <v>Saara Kuugongelwa (Prime minister)</v>
    <v>4f8f6318-a7c7-8cf9-17a1-b446ae3b5648</v>
    <v>en-IN</v>
    <v>Generic</v>
  </rv>
  <rv s="0">
    <v>805306368</v>
    <v>Netumbo Nandi-Ndaitwah (Deputy prime minister)</v>
    <v>f1af9554-b3e8-140c-1b86-c381ced93512</v>
    <v>en-IN</v>
    <v>Generic</v>
  </rv>
  <rv s="0">
    <v>805306368</v>
    <v>Peter Shivute (Chief justice)</v>
    <v>e9ef246f-6cda-b0f8-c6f9-30ca0b3a86ff</v>
    <v>en-IN</v>
    <v>Generic</v>
  </rv>
  <rv s="3">
    <v>163</v>
  </rv>
  <rv s="4">
    <v>https://www.bing.com/search?q=namibia&amp;form=skydnc</v>
    <v>Learn more on Bing</v>
  </rv>
  <rv s="1">
    <fb>63.372999999999998</fb>
    <v>29</v>
  </rv>
  <rv s="1">
    <fb>2609010000</fb>
    <v>31</v>
  </rv>
  <rv s="1">
    <fb>195</fb>
    <v>29</v>
  </rv>
  <rv s="1">
    <fb>8.3264359300000007E-2</fb>
    <v>24</v>
  </rv>
  <rv s="1">
    <fb>0.41820000000000002</fb>
    <v>26</v>
  </rv>
  <rv s="1">
    <fb>2567012</fb>
    <v>25</v>
  </rv>
  <rv s="1">
    <fb>0.17899999999999999</fb>
    <v>24</v>
  </rv>
  <rv s="1">
    <fb>0.63700000000000001</fb>
    <v>24</v>
  </rv>
  <rv s="1">
    <fb>0.01</fb>
    <v>24</v>
  </rv>
  <rv s="1">
    <fb>0.59534000396728504</fb>
    <v>24</v>
  </rv>
  <rv s="0">
    <v>536870912</v>
    <v>Zambezi Region</v>
    <v>1bf4722e-e938-ad4c-053a-5c5c7f5b14eb</v>
    <v>en-IN</v>
    <v>Map</v>
  </rv>
  <rv s="0">
    <v>536870912</v>
    <v>Erongo Region</v>
    <v>7072d0f4-22f8-e275-f0aa-83396628c9f3</v>
    <v>en-IN</v>
    <v>Map</v>
  </rv>
  <rv s="0">
    <v>536870912</v>
    <v>Hardap Region</v>
    <v>475a376d-8f09-927c-3e85-1b422c2179b4</v>
    <v>en-IN</v>
    <v>Map</v>
  </rv>
  <rv s="0">
    <v>536870912</v>
    <v>Karas Region</v>
    <v>73468a3b-7afd-9db8-82f1-bb96ada49696</v>
    <v>en-IN</v>
    <v>Map</v>
  </rv>
  <rv s="0">
    <v>536870912</v>
    <v>Kavango East Region</v>
    <v>afd19a17-dd6f-4fbf-911a-62084dec9dd8</v>
    <v>en-IN</v>
    <v>Map</v>
  </rv>
  <rv s="0">
    <v>536870912</v>
    <v>Khomas Region</v>
    <v>1bcf84dc-ec83-87ee-188b-9bbb34834301</v>
    <v>en-IN</v>
    <v>Map</v>
  </rv>
  <rv s="0">
    <v>536870912</v>
    <v>Kunene Region</v>
    <v>727f4106-d962-2f6e-aea5-6208d9a9b21f</v>
    <v>en-IN</v>
    <v>Map</v>
  </rv>
  <rv s="0">
    <v>536870912</v>
    <v>Ohangwena Region</v>
    <v>b34e8d41-f19f-dc00-4a44-24d519a4d386</v>
    <v>en-IN</v>
    <v>Map</v>
  </rv>
  <rv s="0">
    <v>536870912</v>
    <v>Omaheke Region</v>
    <v>40cbe65c-9c66-4caa-1fb9-957cb23c070a</v>
    <v>en-IN</v>
    <v>Map</v>
  </rv>
  <rv s="0">
    <v>536870912</v>
    <v>Omusati Region</v>
    <v>b1abbd50-50bb-d8f9-0fed-7c3e07895a7b</v>
    <v>en-IN</v>
    <v>Map</v>
  </rv>
  <rv s="0">
    <v>536870912</v>
    <v>Oshana Region</v>
    <v>2e086734-bbe2-f5af-51ee-1f83de3d43c0</v>
    <v>en-IN</v>
    <v>Map</v>
  </rv>
  <rv s="0">
    <v>536870912</v>
    <v>Oshikoto Region</v>
    <v>fa58d0b5-8c90-9050-fb4b-e92fbeef64db</v>
    <v>en-IN</v>
    <v>Map</v>
  </rv>
  <rv s="0">
    <v>536870912</v>
    <v>Otjozondjupa Region</v>
    <v>da0a0614-db74-f49b-c81c-18ff9df883d3</v>
    <v>en-IN</v>
    <v>Map</v>
  </rv>
  <rv s="0">
    <v>536870912</v>
    <v>Kavango West Region</v>
    <v>758e8b1a-cc53-4671-7d80-3a49ec51d39f</v>
    <v>en-IN</v>
    <v>Map</v>
  </rv>
  <rv s="3">
    <v>164</v>
  </rv>
  <rv s="1">
    <fb>0.271186804983226</fb>
    <v>24</v>
  </rv>
  <rv s="1">
    <fb>0.202730007171631</fb>
    <v>32</v>
  </rv>
  <rv s="1">
    <fb>1273258</fb>
    <v>25</v>
  </rv>
  <rv s="20">
    <v>#VALUE!</v>
    <v>en-IN</v>
    <v>8fa38619-fcde-c9ff-939f-48a96fb1e4a6</v>
    <v>536870912</v>
    <v>1</v>
    <v>517</v>
    <v>116</v>
    <v>Namibia</v>
    <v>20</v>
    <v>21</v>
    <v>Map</v>
    <v>22</v>
    <v>518</v>
    <v>NA</v>
    <v>3086</v>
    <v>3087</v>
    <v>3088</v>
    <v>3089</v>
    <v>3090</v>
    <v>3091</v>
    <v>3092</v>
    <v>3093</v>
    <v>3094</v>
    <v>NAD</v>
    <v>Namibia, officially the Republic of Namibia, is a country in Southern Africa. Its western border is the Atlantic Ocean. It shares land borders with Zambia and Angola to the north, Botswana to the east and South Africa to the south and east. ...</v>
    <v>3095</v>
    <v>3096</v>
    <v>3097</v>
    <v>3098</v>
    <v>3099</v>
    <v>3100</v>
    <v>3101</v>
    <v>3102</v>
    <v>3103</v>
    <v>1452</v>
    <v>3091</v>
    <v>3109</v>
    <v>3110</v>
    <v>3111</v>
    <v>3112</v>
    <v>3113</v>
    <v>Namibia</v>
    <v>Namibia, Land of the Brave</v>
    <v>1974</v>
    <v>Namibia</v>
    <v>3114</v>
    <v>3115</v>
    <v>3116</v>
    <v>3117</v>
    <v>237</v>
    <v>3118</v>
    <v>3119</v>
    <v>142</v>
    <v>2035</v>
    <v>890</v>
    <v>3120</v>
    <v>3135</v>
    <v>3136</v>
    <v>1913</v>
    <v>3137</v>
    <v>Namibia</v>
    <v>3138</v>
    <v>mdp/vdpid/254</v>
  </rv>
  <rv s="1">
    <fb>645</fb>
    <v>25</v>
  </rv>
  <rv s="2">
    <v>91</v>
    <v>22</v>
    <v>520</v>
    <v>7</v>
    <v>0</v>
    <v>Image of Windhoek</v>
  </rv>
  <rv s="1">
    <fb>-22.57</fb>
    <v>37</v>
  </rv>
  <rv s="0">
    <v>805306368</v>
    <v>Joseph Uapingene (Mayor)</v>
    <v>c8c7a952-89f4-dc9a-b1ba-d3c6674ccd26</v>
    <v>en-IN</v>
    <v>Generic</v>
  </rv>
  <rv s="3">
    <v>165</v>
  </rv>
  <rv s="4">
    <v>https://www.bing.com/search?q=windhoek&amp;form=skydnc</v>
    <v>Learn more on Bing</v>
  </rv>
  <rv s="1">
    <fb>17.083611111111001</fb>
    <v>37</v>
  </rv>
  <rv s="1">
    <fb>431000</fb>
    <v>25</v>
  </rv>
  <rv s="14">
    <v>#VALUE!</v>
    <v>en-IN</v>
    <v>61966627-3552-ec0f-dc8a-65cecb9ffb6a</v>
    <v>536870912</v>
    <v>1</v>
    <v>521</v>
    <v>82</v>
    <v>Windhoek</v>
    <v>20</v>
    <v>21</v>
    <v>Map</v>
    <v>22</v>
    <v>189</v>
    <v>3126</v>
    <v>3140</v>
    <v>3085</v>
    <v>Windhoek is the capital and largest city of Namibia. It is located in central Namibia in the Khomas Highland plateau area, at around 1,700 m above sea level, almost exactly at the country's geographical centre. The population of Windhoek in 2020 ...</v>
    <v>3141</v>
    <v>3142</v>
    <v>3144</v>
    <v>3145</v>
    <v>3146</v>
    <v>Windhoek</v>
    <v>3147</v>
    <v>Windhoek</v>
    <v>mdp/vdpid/8105730892963512321</v>
  </rv>
  <rv s="2">
    <v>90</v>
    <v>22</v>
    <v>514</v>
    <v>3</v>
    <v>0</v>
    <v>Image of Namibia</v>
  </rv>
  <rv s="59">
    <v>en-IN</v>
    <v>avqy77</v>
    <v>268435456</v>
    <v>1</v>
    <v>Powered by Refinitiv</v>
    <v>511</v>
    <v>RUB/USD</v>
    <v>43</v>
    <v>522</v>
    <v>Finance</v>
    <v>45</v>
    <v>1.2999999999999999E-2</v>
    <v>8.6899999999999998E-3</v>
    <v>0</v>
    <v>0</v>
    <v>USD</v>
    <v>RUB</v>
    <v>Currency Pair</v>
    <v>45954.6483912037</v>
    <v>Russian Rouble/US Dollar FX Cross Rate</v>
    <v>1.2540000000000001E-2</v>
    <v>1.2540000000000001E-2</v>
    <v>RUBUSD</v>
    <v>RUB/USD</v>
  </rv>
  <rv s="9">
    <v>3150</v>
  </rv>
  <rv s="4">
    <v>https://www.bing.com/financeapi/forcetrigger?t=a24kar&amp;q=XNAS%3aTSLA&amp;form=skydnc</v>
    <v>Learn more on Bing</v>
  </rv>
  <rv s="10">
    <v>en-IN</v>
    <v>a24kar</v>
    <v>268435456</v>
    <v>1</v>
    <v>Powered by Refinitiv</v>
    <v>46</v>
    <v>TESLA, INC. (XNAS:TSLA)</v>
    <v>47</v>
    <v>48</v>
    <v>Finance</v>
    <v>49</v>
    <v>488.53989999999999</v>
    <v>214.25</v>
    <v>2.0724</v>
    <v>-15.26</v>
    <v>0</v>
    <v>-3.3987999999999997E-2</v>
    <v>0</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Nasdaq Stock Market</v>
    <v>XNAS</v>
    <v>XNAS</v>
    <v>1 Tesla Road, AUSTIN, TX, 78725 US</v>
    <v>451.68</v>
    <v>Automobiles &amp; Auto Parts</v>
    <v>Stock</v>
    <v>45954.999995960156</v>
    <v>3152</v>
    <v>430.17</v>
    <v>1459935000000</v>
    <v>TESLA, INC.</v>
    <v>TESLA, INC.</v>
    <v>446.83</v>
    <v>300.70999999999998</v>
    <v>448.98</v>
    <v>433.72</v>
    <v>433.72</v>
    <v>3325819000</v>
    <v>TSLA</v>
    <v>TESLA, INC. (XNAS:TSLA)</v>
    <v>94727774</v>
    <v>89870669</v>
    <v>2024</v>
  </rv>
  <rv s="9">
    <v>3153</v>
  </rv>
  <rv s="0">
    <v>536870912</v>
    <v>Nauru</v>
    <v>ac2140ed-6b6a-e3f2-2c87-907a652c04d6</v>
    <v>en-IN</v>
    <v>Map</v>
  </rv>
  <rv s="1">
    <fb>21</fb>
    <v>25</v>
  </rv>
  <rv s="1">
    <fb>674</fb>
    <v>27</v>
  </rv>
  <rv s="0">
    <v>536870912</v>
    <v>Yaren District</v>
    <v>e6820c83-0638-4d25-20b7-235f002cda38</v>
    <v>en-IN</v>
    <v>Map</v>
  </rv>
  <rv s="1">
    <fb>133000000</fb>
    <v>31</v>
  </rv>
  <rv s="2">
    <v>92</v>
    <v>22</v>
    <v>524</v>
    <v>7</v>
    <v>0</v>
    <v>Image of Nauru</v>
  </rv>
  <rv s="0">
    <v>536870912</v>
    <v>Denigomodu District</v>
    <v>f0fd75c9-5643-bf30-9386-c545cb5692ce</v>
    <v>en-IN</v>
    <v>Map</v>
  </rv>
  <rv s="0">
    <v>805306368</v>
    <v>Russ J Kun (President)</v>
    <v>6c030a43-8ce9-7285-a805-611bb00223d6</v>
    <v>en-IN</v>
    <v>Generic</v>
  </rv>
  <rv s="3">
    <v>166</v>
  </rv>
  <rv s="4">
    <v>https://www.bing.com/search?q=nauru&amp;form=skydnc</v>
    <v>Learn more on Bing</v>
  </rv>
  <rv s="3">
    <v>167</v>
  </rv>
  <rv s="1">
    <fb>12511</fb>
    <v>25</v>
  </rv>
  <rv s="0">
    <v>536870912</v>
    <v>Aiwo District</v>
    <v>298426e3-08bb-5c9e-3698-4e801b0b0065</v>
    <v>en-IN</v>
    <v>Map</v>
  </rv>
  <rv s="0">
    <v>536870912</v>
    <v>Anabar District</v>
    <v>3458e671-578e-b5fe-acc9-bf69c548ae75</v>
    <v>en-IN</v>
    <v>Map</v>
  </rv>
  <rv s="0">
    <v>536870912</v>
    <v>Anetan District</v>
    <v>4d4939ac-9858-bcbd-31c8-d78cec76b3bf</v>
    <v>en-IN</v>
    <v>Map</v>
  </rv>
  <rv s="0">
    <v>536870912</v>
    <v>Anibare District</v>
    <v>3e4ac31a-6890-07d8-7844-ca64ae958d25</v>
    <v>en-IN</v>
    <v>Map</v>
  </rv>
  <rv s="0">
    <v>536870912</v>
    <v>Baiti District</v>
    <v>f86dde9b-a3c5-3f7e-dc92-23446950f42a</v>
    <v>en-IN</v>
    <v>Map</v>
  </rv>
  <rv s="0">
    <v>536870912</v>
    <v>Boe District</v>
    <v>0f8def35-e360-612b-9a91-c620fdfe6e3d</v>
    <v>en-IN</v>
    <v>Map</v>
  </rv>
  <rv s="0">
    <v>536870912</v>
    <v>Buada District</v>
    <v>af093458-8dca-6c59-d1d8-cd4a03574862</v>
    <v>en-IN</v>
    <v>Map</v>
  </rv>
  <rv s="0">
    <v>536870912</v>
    <v>Ewa District</v>
    <v>b84cebbb-e10d-5226-3372-64bb8f13d002</v>
    <v>en-IN</v>
    <v>Map</v>
  </rv>
  <rv s="0">
    <v>536870912</v>
    <v>Ijuw District</v>
    <v>a24994f0-109d-72fb-1105-78ef203ad318</v>
    <v>en-IN</v>
    <v>Map</v>
  </rv>
  <rv s="0">
    <v>536870912</v>
    <v>Meneng District</v>
    <v>b920bca0-8266-3509-914c-d6b8572ee42d</v>
    <v>en-IN</v>
    <v>Map</v>
  </rv>
  <rv s="0">
    <v>536870912</v>
    <v>Nibok District</v>
    <v>9761ba33-007d-f9bb-bdfa-f3d2abf67b7c</v>
    <v>en-IN</v>
    <v>Map</v>
  </rv>
  <rv s="0">
    <v>536870912</v>
    <v>Uaboe District</v>
    <v>5d0fec2c-2947-8aa6-dee1-bd2f220c047a</v>
    <v>en-IN</v>
    <v>Map</v>
  </rv>
  <rv s="3">
    <v>168</v>
  </rv>
  <rv s="60">
    <v>#VALUE!</v>
    <v>en-IN</v>
    <v>ac2140ed-6b6a-e3f2-2c87-907a652c04d6</v>
    <v>536870912</v>
    <v>1</v>
    <v>526</v>
    <v>527</v>
    <v>Nauru</v>
    <v>20</v>
    <v>21</v>
    <v>Map</v>
    <v>22</v>
    <v>528</v>
    <v>NR</v>
    <v>3156</v>
    <v>3157</v>
    <v>3158</v>
    <v>AUD</v>
    <v>Nauru, officially the Republic of Nauru and formerly known as Pleasant Island, is an island country and microstate in Micronesia, part of Oceania in the Central Pacific. Its nearest neighbour is Banaba of Kiribati, about 300 km to the east.</v>
    <v>3159</v>
    <v>3160</v>
    <v>3161</v>
    <v>3163</v>
    <v>3164</v>
    <v>Nauru</v>
    <v>Nauru Bwiema</v>
    <v>3165</v>
    <v>Ripublik Naoero</v>
    <v>3166</v>
    <v>3179</v>
    <v>Nauru</v>
    <v>mdp/vdpid/180</v>
  </rv>
  <rv s="1">
    <fb>1.5</fb>
    <v>25</v>
  </rv>
  <rv s="2">
    <v>93</v>
    <v>22</v>
    <v>529</v>
    <v>7</v>
    <v>0</v>
    <v>Image of Yaren District</v>
  </rv>
  <rv s="4">
    <v>https://www.bing.com/search?q=yaren+district+nauru&amp;form=skydnc</v>
    <v>Learn more on Bing</v>
  </rv>
  <rv s="1">
    <fb>747</fb>
    <v>25</v>
  </rv>
  <rv s="26">
    <v>#VALUE!</v>
    <v>en-IN</v>
    <v>e6820c83-0638-4d25-20b7-235f002cda38</v>
    <v>536870912</v>
    <v>1</v>
    <v>531</v>
    <v>166</v>
    <v>Yaren District</v>
    <v>20</v>
    <v>21</v>
    <v>Map</v>
    <v>22</v>
    <v>36</v>
    <v>NR-14</v>
    <v>3181</v>
    <v>3155</v>
    <v>Yaren is a district of the Pacific island country of Nauru. It is the de facto capital of Nauru and is coextensive with Yaren Constituency.</v>
    <v>3182</v>
    <v>3183</v>
    <v>Yaren District</v>
    <v>3184</v>
    <v>Yaren District</v>
    <v>mdp/vdpid/8829929963315527681</v>
  </rv>
  <rv s="1">
    <fb>0.9</fb>
    <v>25</v>
  </rv>
  <rv s="0">
    <v>536870912</v>
    <v>Arijejen</v>
    <v>a90a7d3e-7932-d687-fd71-76c86d1b8ba9</v>
    <v>en-IN</v>
    <v>Map</v>
  </rv>
  <rv s="2">
    <v>94</v>
    <v>22</v>
    <v>532</v>
    <v>7</v>
    <v>0</v>
    <v>Image of Denigomodu District</v>
  </rv>
  <rv s="4">
    <v>https://www.bing.com/search?q=denigomodu+district+nauru&amp;form=skydnc</v>
    <v>Learn more on Bing</v>
  </rv>
  <rv s="1">
    <fb>2396</fb>
    <v>25</v>
  </rv>
  <rv s="61">
    <v>#VALUE!</v>
    <v>en-IN</v>
    <v>f0fd75c9-5643-bf30-9386-c545cb5692ce</v>
    <v>536870912</v>
    <v>1</v>
    <v>534</v>
    <v>535</v>
    <v>Denigomodu District</v>
    <v>393</v>
    <v>21</v>
    <v>Map</v>
    <v>22</v>
    <v>536</v>
    <v>NR-08</v>
    <v>3186</v>
    <v>3187</v>
    <v>3155</v>
    <v>Denigomodu is a district in the western part of the island of Nauru. It is the most populous district in Nauru. It houses the expatriate housing compound "The Location". This makes it Nauru's largest settlement by population. As of 1999 25.7% of ...</v>
    <v>3188</v>
    <v>3189</v>
    <v>Denigomodu District</v>
    <v>3190</v>
    <v>Denigomodu District</v>
  </rv>
  <rv s="2">
    <v>92</v>
    <v>22</v>
    <v>524</v>
    <v>3</v>
    <v>0</v>
    <v>Image of Nauru</v>
  </rv>
  <rv s="8">
    <v>en-IN</v>
    <v>avyrtc</v>
    <v>268435456</v>
    <v>1</v>
    <v>Powered by Refinitiv</v>
    <v>42</v>
    <v>USD/PLN</v>
    <v>43</v>
    <v>537</v>
    <v>Finance</v>
    <v>45</v>
    <v>4.2019000000000002</v>
    <v>3.5649999999999999</v>
    <v>8.3000000000000001E-3</v>
    <v>2.2780000000000001E-3</v>
    <v>PLN</v>
    <v>USD</v>
    <v>3.6541000000000001</v>
    <v>Currency Pair</v>
    <v>45957.217766203707</v>
    <v>3.6455000000000002</v>
    <v>US Dollar/Polish Zloty FX Spot Rate</v>
    <v>3.6456</v>
    <v>3.6442999999999999</v>
    <v>3.6526000000000001</v>
    <v>USDPLN</v>
    <v>USD/PLN</v>
  </rv>
  <rv s="9">
    <v>3193</v>
  </rv>
  <rv s="0">
    <v>536870912</v>
    <v>Nepal</v>
    <v>bd25e121-3806-b6fe-1af9-3f5745ae2708</v>
    <v>en-IN</v>
    <v>Map</v>
  </rv>
  <rv s="1">
    <fb>0.287478200209278</fb>
    <v>24</v>
  </rv>
  <rv s="1">
    <fb>147181.254346</fb>
    <v>25</v>
  </rv>
  <rv s="1">
    <fb>112000</fb>
    <v>25</v>
  </rv>
  <rv s="1">
    <fb>19.887</fb>
    <v>26</v>
  </rv>
  <rv s="1">
    <fb>977</fb>
    <v>27</v>
  </rv>
  <rv s="0">
    <v>536870912</v>
    <v>Kathmandu</v>
    <v>8c342aa7-7eee-ebe4-9909-39edc49959d8</v>
    <v>en-IN</v>
    <v>Map</v>
  </rv>
  <rv s="1">
    <fb>9105.1610000000001</fb>
    <v>25</v>
  </rv>
  <rv s="1">
    <fb>188.72997716222099</fb>
    <v>28</v>
  </rv>
  <rv s="1">
    <fb>5.5686854778492501E-2</fb>
    <v>24</v>
  </rv>
  <rv s="1">
    <fb>146.46786481666501</fb>
    <v>25</v>
  </rv>
  <rv s="1">
    <fb>1.917</fb>
    <v>26</v>
  </rv>
  <rv s="1">
    <fb>0.25364492500871999</fb>
    <v>24</v>
  </rv>
  <rv s="1">
    <fb>15.482679402670501</fb>
    <v>29</v>
  </rv>
  <rv s="1">
    <fb>0.91</fb>
    <v>30</v>
  </rv>
  <rv s="1">
    <fb>30641380604.298401</fb>
    <v>31</v>
  </rv>
  <rv s="1">
    <fb>1.4214347000000001</fb>
    <v>24</v>
  </rv>
  <rv s="1">
    <fb>0.1241086</fb>
    <v>24</v>
  </rv>
  <rv s="2">
    <v>95</v>
    <v>22</v>
    <v>539</v>
    <v>7</v>
    <v>0</v>
    <v>Image of Nepal</v>
  </rv>
  <rv s="1">
    <fb>26.7</fb>
    <v>29</v>
  </rv>
  <rv s="0">
    <v>805306368</v>
    <v>Ram Chandra Poudel (President)</v>
    <v>92bdb8bc-9ee8-f693-6801-e521c6564ef4</v>
    <v>en-IN</v>
    <v>Generic</v>
  </rv>
  <rv s="0">
    <v>805306368</v>
    <v>Ram Sahaya Yadav (Vice president)</v>
    <v>145d7e4e-a306-9780-bef2-90d044619a98</v>
    <v>en-IN</v>
    <v>Generic</v>
  </rv>
  <rv s="0">
    <v>805306368</v>
    <v>Pushpa Kamal Dahal (Prime minister)</v>
    <v>4750fd53-3f2f-5755-fdb6-93dc6e8622f4</v>
    <v>en-IN</v>
    <v>Generic</v>
  </rv>
  <rv s="0">
    <v>805306368</v>
    <v>Bishowambhar Prasad Shrestha (Chief justice)</v>
    <v>d2cb73a7-424c-e197-dba9-56ffb9e79f8f</v>
    <v>en-IN</v>
    <v>Generic</v>
  </rv>
  <rv s="3">
    <v>169</v>
  </rv>
  <rv s="4">
    <v>https://www.bing.com/search?q=nepal&amp;form=skydnc</v>
    <v>Learn more on Bing</v>
  </rv>
  <rv s="1">
    <fb>70.477999999999994</fb>
    <v>29</v>
  </rv>
  <rv s="1">
    <fb>186</fb>
    <v>29</v>
  </rv>
  <rv s="1">
    <fb>0.36</fb>
    <v>30</v>
  </rv>
  <rv s="3">
    <v>170</v>
  </rv>
  <rv s="1">
    <fb>0.6040867741</fb>
    <v>24</v>
  </rv>
  <rv s="1">
    <fb>0.74860000000000004</fb>
    <v>26</v>
  </rv>
  <rv s="1">
    <fb>30547580</fb>
    <v>25</v>
  </rv>
  <rv s="1">
    <fb>0.41499999999999998</fb>
    <v>24</v>
  </rv>
  <rv s="1">
    <fb>0.83805000305175792</fb>
    <v>24</v>
  </rv>
  <rv s="1">
    <fb>0.207023851874477</fb>
    <v>24</v>
  </rv>
  <rv s="3">
    <v>171</v>
  </rv>
  <rv s="1">
    <fb>0.41799999999999998</fb>
    <v>24</v>
  </rv>
  <rv s="1">
    <fb>1.4069999456405601E-2</fb>
    <v>32</v>
  </rv>
  <rv s="1">
    <fb>5765513</fb>
    <v>25</v>
  </rv>
  <rv s="62">
    <v>#VALUE!</v>
    <v>en-IN</v>
    <v>bd25e121-3806-b6fe-1af9-3f5745ae2708</v>
    <v>536870912</v>
    <v>1</v>
    <v>542</v>
    <v>543</v>
    <v>Nepal</v>
    <v>20</v>
    <v>21</v>
    <v>Map</v>
    <v>22</v>
    <v>544</v>
    <v>NP</v>
    <v>3196</v>
    <v>3197</v>
    <v>3198</v>
    <v>3199</v>
    <v>3200</v>
    <v>3201</v>
    <v>3202</v>
    <v>3203</v>
    <v>3204</v>
    <v>NPR</v>
    <v>Nepal, officially the Federal Democratic Republic of Nepal, is a landlocked country in South Asia. It is mainly situated in the Himalayas, but also includes parts of the Indo-Gangetic Plain. It borders the Tibet Autonomous Region of China to the ...</v>
    <v>3205</v>
    <v>3206</v>
    <v>3207</v>
    <v>3208</v>
    <v>3209</v>
    <v>3210</v>
    <v>3211</v>
    <v>3212</v>
    <v>3213</v>
    <v>3214</v>
    <v>3201</v>
    <v>3219</v>
    <v>3220</v>
    <v>3221</v>
    <v>3222</v>
    <v>3223</v>
    <v>Nepal</v>
    <v>Sayaun Thunga Phulka</v>
    <v>3224</v>
    <v>नेपाल</v>
    <v>3225</v>
    <v>3226</v>
    <v>3227</v>
    <v>1167</v>
    <v>707</v>
    <v>3228</v>
    <v>815</v>
    <v>2104</v>
    <v>817</v>
    <v>2177</v>
    <v>3229</v>
    <v>3230</v>
    <v>3231</v>
    <v>3232</v>
    <v>3233</v>
    <v>Nepal</v>
    <v>3234</v>
    <v>mdp/vdpid/178</v>
  </rv>
  <rv s="0">
    <v>536870912</v>
    <v>Kathmandu District</v>
    <v>a34bcb9a-ec30-9787-40d9-bf11d6c8767f</v>
    <v>en-IN</v>
    <v>Map</v>
  </rv>
  <rv s="1">
    <fb>50.67</fb>
    <v>25</v>
  </rv>
  <rv s="2">
    <v>96</v>
    <v>22</v>
    <v>546</v>
    <v>7</v>
    <v>0</v>
    <v>Image of Kathmandu</v>
  </rv>
  <rv s="1">
    <fb>27.71</fb>
    <v>37</v>
  </rv>
  <rv s="0">
    <v>805306368</v>
    <v>Balen Shah (Mayor)</v>
    <v>cec33e0a-39bd-b841-e3ba-d292296f612d</v>
    <v>en-IN</v>
    <v>Generic</v>
  </rv>
  <rv s="3">
    <v>172</v>
  </rv>
  <rv s="4">
    <v>https://www.bing.com/search?q=kathmandu&amp;form=skydnc</v>
    <v>Learn more on Bing</v>
  </rv>
  <rv s="1">
    <fb>85.32</fb>
    <v>37</v>
  </rv>
  <rv s="1">
    <fb>845767</fb>
    <v>25</v>
  </rv>
  <rv s="63">
    <v>#VALUE!</v>
    <v>en-IN</v>
    <v>8c342aa7-7eee-ebe4-9909-39edc49959d8</v>
    <v>536870912</v>
    <v>1</v>
    <v>547</v>
    <v>548</v>
    <v>Kathmandu</v>
    <v>20</v>
    <v>21</v>
    <v>Map</v>
    <v>22</v>
    <v>362</v>
    <v>3236</v>
    <v>3237</v>
    <v>3195</v>
    <v>Kathmandu, officially Kathmandu Metropolitan City, is the capital and most populous city of Nepal with 845,767 inhabitants living in 105,649 households as of the 2021 Nepal census and 2.9 million people in its urban agglomeration. It is located ...</v>
    <v>3238</v>
    <v>3239</v>
    <v>3241</v>
    <v>3242</v>
    <v>3243</v>
    <v>Kathmandu</v>
    <v>3244</v>
    <v>3231</v>
    <v>Kathmandu</v>
    <v>mdp/vdpid/7419724212996145153</v>
  </rv>
  <rv s="2">
    <v>95</v>
    <v>22</v>
    <v>539</v>
    <v>3</v>
    <v>0</v>
    <v>Image of Nepal</v>
  </rv>
  <rv s="8">
    <v>en-IN</v>
    <v>avq2cw</v>
    <v>268435456</v>
    <v>1</v>
    <v>Powered by Refinitiv</v>
    <v>42</v>
    <v>PLN/USD</v>
    <v>43</v>
    <v>62</v>
    <v>Finance</v>
    <v>45</v>
    <v>0.28039999999999998</v>
    <v>0.2379</v>
    <v>-1E-4</v>
    <v>-3.6540000000000005E-4</v>
    <v>USD</v>
    <v>PLN</v>
    <v>0.27429999999999999</v>
    <v>Currency Pair</v>
    <v>45957.217766203707</v>
    <v>0.2737</v>
    <v>Polish Zloty/US Dollar FX Cross Rate</v>
    <v>0.2737</v>
    <v>0.2737</v>
    <v>0.27360000000000001</v>
    <v>PLNUSD</v>
    <v>PLN/USD</v>
  </rv>
  <rv s="9">
    <v>3247</v>
  </rv>
  <rv s="4">
    <v>https://www.bing.com/financeapi/forcetrigger?t=a24vsm&amp;q=XNYS%3aUL&amp;form=skydnc</v>
    <v>Learn more on Bing</v>
  </rv>
  <rv s="10">
    <v>en-IN</v>
    <v>a24vsm</v>
    <v>268435456</v>
    <v>1</v>
    <v>Powered by Refinitiv</v>
    <v>46</v>
    <v>UNILEVER PLC (XNYS:UL)</v>
    <v>47</v>
    <v>48</v>
    <v>Finance</v>
    <v>49</v>
    <v>65.66</v>
    <v>54.32</v>
    <v>0.3785</v>
    <v>0.35</v>
    <v>-5.744E-3</v>
    <v>5.6159999999999995E-3</v>
    <v>-0.36</v>
    <v>USD</v>
    <v>Unilever PLC is a United Kingdom-based fast-moving consumer goods (FMCG) company. The Company operates through five segments: Beauty &amp; Wellbeing, Personal Care, Home Care, Foods, and Ice Cream. The Beauty &amp; Wellbeing segment sells hair care (shampoo, conditioner, styling), skin care (face, hand and body moisturizers) and includes Prestige Beauty and Health &amp; Wellbeing. The Personal Care segment sells skin cleansing (soap, shower), deodorant and oral care (toothpaste, toothbrush, mouthwash) products. The Home Care segment sells fabric care (washing powders and liquids, rinse conditioners) and a range of cleaning products. The Foods segment sells cooking aids &amp; mini-meals (soups, bouillons, seasonings), condiments (mayonnaise, ketchup) and Unilever Food Solutions. The Ice Cream segment includes ice cream products. It offers K18, which is a biotech hair care brand. Its subsidiaries include Unilever de Argentina S.A., Unilever Australia Limited, Unilever Canada Inc., and others.</v>
    <v>120040</v>
    <v>New York Stock Exchange</v>
    <v>XNYS</v>
    <v>XNYS</v>
    <v>Unilever House, Blackfriars, LONDON, EC4P 4BQ GB</v>
    <v>62.81</v>
    <v>Personal &amp; Household Products &amp; Services</v>
    <v>Stock</v>
    <v>45954.958333333336</v>
    <v>3249</v>
    <v>62.185000000000002</v>
    <v>152487000000</v>
    <v>UNILEVER PLC</v>
    <v>UNILEVER PLC</v>
    <v>62.45</v>
    <v>23.778600000000001</v>
    <v>62.32</v>
    <v>62.67</v>
    <v>62.31</v>
    <v>2451885000</v>
    <v>UL</v>
    <v>UNILEVER PLC (XNYS:UL)</v>
    <v>3029894</v>
    <v>3116376</v>
    <v>1894</v>
  </rv>
  <rv s="9">
    <v>3250</v>
  </rv>
  <rv s="0">
    <v>536870912</v>
    <v>Netherlands</v>
    <v>bf5c1a4b-df0b-09dc-dce0-e3fb0c898dd3</v>
    <v>en-IN</v>
    <v>Map</v>
  </rv>
  <rv s="1">
    <fb>0.53309587414663095</fb>
    <v>24</v>
  </rv>
  <rv s="1">
    <fb>41543</fb>
    <v>25</v>
  </rv>
  <rv s="1">
    <fb>41000</fb>
    <v>25</v>
  </rv>
  <rv s="1">
    <fb>9.6999999999999993</fb>
    <v>26</v>
  </rv>
  <rv s="1">
    <fb>31</fb>
    <v>27</v>
  </rv>
  <rv s="0">
    <v>536870912</v>
    <v>Amsterdam</v>
    <v>0b840501-8599-9528-5b22-13589caf205a</v>
    <v>en-IN</v>
    <v>Map</v>
  </rv>
  <rv s="1">
    <fb>170779.524</fb>
    <v>25</v>
  </rv>
  <rv s="1">
    <fb>115.907994941178</fb>
    <v>28</v>
  </rv>
  <rv s="1">
    <fb>2.6336991024959299E-2</fb>
    <v>24</v>
  </rv>
  <rv s="1">
    <fb>6712.7747582450002</fb>
    <v>25</v>
  </rv>
  <rv s="1">
    <fb>1.59</fb>
    <v>26</v>
  </rv>
  <rv s="1">
    <fb>0.11178391395177099</fb>
    <v>24</v>
  </rv>
  <rv s="1">
    <fb>93.461004609605595</fb>
    <v>29</v>
  </rv>
  <rv s="1">
    <fb>1.68</fb>
    <v>30</v>
  </rv>
  <rv s="1">
    <fb>909070395160.78296</fb>
    <v>31</v>
  </rv>
  <rv s="1">
    <fb>1.0422962</fb>
    <v>24</v>
  </rv>
  <rv s="1">
    <fb>0.84980450000000007</fb>
    <v>24</v>
  </rv>
  <rv s="2">
    <v>97</v>
    <v>22</v>
    <v>550</v>
    <v>7</v>
    <v>0</v>
    <v>Image of Netherlands</v>
  </rv>
  <rv s="0">
    <v>805306368</v>
    <v>Willem-Alexander of the Netherlands (Monarch)</v>
    <v>70912573-f10f-4d1d-a8f8-220566451e74</v>
    <v>en-IN</v>
    <v>Generic</v>
  </rv>
  <rv s="0">
    <v>805306368</v>
    <v>Mark Rutte (Prime minister)</v>
    <v>673e1b90-ad19-15cc-dd94-53646495b541</v>
    <v>en-IN</v>
    <v>Generic</v>
  </rv>
  <rv s="3">
    <v>173</v>
  </rv>
  <rv s="4">
    <v>https://www.bing.com/search?q=netherlands&amp;form=skydnc</v>
    <v>Learn more on Bing</v>
  </rv>
  <rv s="1">
    <fb>81.760975609756102</fb>
    <v>29</v>
  </rv>
  <rv s="1">
    <fb>1100105440292.49</fb>
    <v>31</v>
  </rv>
  <rv s="1">
    <fb>10.29</fb>
    <v>30</v>
  </rv>
  <rv s="3">
    <v>174</v>
  </rv>
  <rv s="1">
    <fb>0.1225176999</fb>
    <v>24</v>
  </rv>
  <rv s="1">
    <fb>3.6053999999999999</fb>
    <v>26</v>
  </rv>
  <rv s="1">
    <fb>17703090</fb>
    <v>25</v>
  </rv>
  <rv s="1">
    <fb>0.376</fb>
    <v>24</v>
  </rv>
  <rv s="1">
    <fb>0.13800000000000001</fb>
    <v>24</v>
  </rv>
  <rv s="1">
    <fb>0.63619998931884802</fb>
    <v>24</v>
  </rv>
  <rv s="0">
    <v>536870912</v>
    <v>Groningen</v>
    <v>d523b02d-2f28-981e-9282-8f6cddd23d80</v>
    <v>en-IN</v>
    <v>Map</v>
  </rv>
  <rv s="0">
    <v>536870912</v>
    <v>Friesland</v>
    <v>d3c60b92-e27c-cc6a-6ef5-f0937e506af0</v>
    <v>en-IN</v>
    <v>Map</v>
  </rv>
  <rv s="0">
    <v>536870912</v>
    <v>Gelderland</v>
    <v>47e59e29-1b92-c09c-0310-bba63a79744b</v>
    <v>en-IN</v>
    <v>Map</v>
  </rv>
  <rv s="0">
    <v>536870912</v>
    <v>South Holland</v>
    <v>a189b2b4-4c8d-e909-49ed-1b6f571a33c2</v>
    <v>en-IN</v>
    <v>Map</v>
  </rv>
  <rv s="0">
    <v>536870912</v>
    <v>North Holland</v>
    <v>1cbd1d08-fab6-2da6-0edd-41aa626502c2</v>
    <v>en-IN</v>
    <v>Map</v>
  </rv>
  <rv s="0">
    <v>536870912</v>
    <v>Overijssel</v>
    <v>c80fa63b-8b0d-7117-09f7-f3b063ba8e8c</v>
    <v>en-IN</v>
    <v>Map</v>
  </rv>
  <rv s="0">
    <v>536870912</v>
    <v>North Brabant</v>
    <v>67287e9d-748b-ece4-4770-99ec69c94b1a</v>
    <v>en-IN</v>
    <v>Map</v>
  </rv>
  <rv s="0">
    <v>536870912</v>
    <v>Limburg</v>
    <v>ba5627ab-eb52-6b56-c39c-399bd1e23825</v>
    <v>en-IN</v>
    <v>Map</v>
  </rv>
  <rv s="0">
    <v>536870912</v>
    <v>Flevoland</v>
    <v>994d48a1-a44d-0664-1089-99ddd4d7e63d</v>
    <v>en-IN</v>
    <v>Map</v>
  </rv>
  <rv s="0">
    <v>536870912</v>
    <v>Zeeland</v>
    <v>b07124fd-c9f8-1712-1bd3-030b62afdd3d</v>
    <v>en-IN</v>
    <v>Map</v>
  </rv>
  <rv s="0">
    <v>536870912</v>
    <v>Drenthe</v>
    <v>598e815b-602f-15c5-256e-a36860ffc830</v>
    <v>en-IN</v>
    <v>Map</v>
  </rv>
  <rv s="0">
    <v>536870912</v>
    <v>Utrecht</v>
    <v>555963f7-e818-0e35-b5c8-1a97c8e78ed7</v>
    <v>en-IN</v>
    <v>Map</v>
  </rv>
  <rv s="0">
    <v>536870912</v>
    <v>Bonaire</v>
    <v>07f27f8a-d073-328d-927f-a0db18eedf7c</v>
    <v>en-IN</v>
    <v>Map</v>
  </rv>
  <rv s="0">
    <v>536870912</v>
    <v>Sint Eustatius</v>
    <v>bd1174e8-c3f5-aee0-f4bd-67475d9dfe98</v>
    <v>en-IN</v>
    <v>Map</v>
  </rv>
  <rv s="3">
    <v>175</v>
  </rv>
  <rv s="1">
    <fb>0.230359193787393</fb>
    <v>24</v>
  </rv>
  <rv s="3">
    <v>176</v>
  </rv>
  <rv s="1">
    <fb>3.1960000991821301E-2</fb>
    <v>32</v>
  </rv>
  <rv s="1">
    <fb>15924729</fb>
    <v>25</v>
  </rv>
  <rv s="5">
    <v>#VALUE!</v>
    <v>en-IN</v>
    <v>bf5c1a4b-df0b-09dc-dce0-e3fb0c898dd3</v>
    <v>536870912</v>
    <v>1</v>
    <v>553</v>
    <v>18</v>
    <v>Netherlands</v>
    <v>20</v>
    <v>21</v>
    <v>Map</v>
    <v>22</v>
    <v>554</v>
    <v>NL</v>
    <v>3253</v>
    <v>3254</v>
    <v>3255</v>
    <v>3256</v>
    <v>3257</v>
    <v>3258</v>
    <v>3259</v>
    <v>3260</v>
    <v>3261</v>
    <v>EUR</v>
    <v>The Netherlands, informally Holland, is a country located in northwestern Europe with overseas territories in the Caribbean. It is the largest of four constituent countries of the Kingdom of the Netherlands. The Netherlands consists of twelve ...</v>
    <v>3262</v>
    <v>3263</v>
    <v>3264</v>
    <v>3265</v>
    <v>3266</v>
    <v>3267</v>
    <v>3268</v>
    <v>3269</v>
    <v>3270</v>
    <v>1296</v>
    <v>3258</v>
    <v>3273</v>
    <v>3274</v>
    <v>3275</v>
    <v>3276</v>
    <v>403</v>
    <v>3277</v>
    <v>Netherlands</v>
    <v>Wilhelmus</v>
    <v>3278</v>
    <v>Nederland</v>
    <v>3279</v>
    <v>3280</v>
    <v>3281</v>
    <v>1588</v>
    <v>1847</v>
    <v>3282</v>
    <v>815</v>
    <v>333</v>
    <v>3283</v>
    <v>2623</v>
    <v>3284</v>
    <v>3299</v>
    <v>3300</v>
    <v>3301</v>
    <v>411</v>
    <v>3302</v>
    <v>Netherlands</v>
    <v>3303</v>
    <v>mdp/vdpid/176</v>
  </rv>
  <rv s="0">
    <v>536870912</v>
    <v>Amsterdam</v>
    <v>932643fc-35be-4e28-93fd-e26c5579eba3</v>
    <v>en-IN</v>
    <v>Map</v>
  </rv>
  <rv s="1">
    <fb>219</fb>
    <v>25</v>
  </rv>
  <rv s="0">
    <v>536870912</v>
    <v>Dutch Republic</v>
    <v>2746288d-527e-de36-876d-a7386efcc2df</v>
    <v>en-IN</v>
    <v>Map</v>
  </rv>
  <rv s="2">
    <v>98</v>
    <v>22</v>
    <v>555</v>
    <v>7</v>
    <v>0</v>
    <v>Image of Amsterdam</v>
  </rv>
  <rv s="1">
    <fb>52.372777777777799</fb>
    <v>37</v>
  </rv>
  <rv s="0">
    <v>805306368</v>
    <v>Femke Halsema (Mayor)</v>
    <v>559283ff-2e7e-6d20-ef0a-8903e2f919f1</v>
    <v>en-IN</v>
    <v>Generic</v>
  </rv>
  <rv s="3">
    <v>177</v>
  </rv>
  <rv s="4">
    <v>https://www.bing.com/search?q=amsterdam&amp;form=skydnc</v>
    <v>Learn more on Bing</v>
  </rv>
  <rv s="1">
    <fb>4.8936111111111096</fb>
    <v>37</v>
  </rv>
  <rv s="1">
    <fb>921468</fb>
    <v>25</v>
  </rv>
  <rv s="21">
    <v>#VALUE!</v>
    <v>en-IN</v>
    <v>0b840501-8599-9528-5b22-13589caf205a</v>
    <v>536870912</v>
    <v>1</v>
    <v>556</v>
    <v>120</v>
    <v>Amsterdam</v>
    <v>20</v>
    <v>21</v>
    <v>Map</v>
    <v>22</v>
    <v>235</v>
    <v>3289</v>
    <v>3305</v>
    <v>3306</v>
    <v>3307</v>
    <v>Amsterdam is the capital and most populated city of the Netherlands, with The Hague being the seat of government. It has a population of 921,402 within the city proper, 1,457,018 in the urban area and 2,480,394 in the metropolitan area. Located ...</v>
    <v>3308</v>
    <v>3309</v>
    <v>3311</v>
    <v>3312</v>
    <v>3313</v>
    <v>Amsterdam</v>
    <v>3314</v>
    <v>Amsterdam</v>
    <v>mdp/vdpid/7009530453665251330</v>
  </rv>
  <rv s="2">
    <v>97</v>
    <v>22</v>
    <v>550</v>
    <v>3</v>
    <v>0</v>
    <v>Image of Netherlands</v>
  </rv>
  <rv s="8">
    <v>en-IN</v>
    <v>avymoc</v>
    <v>268435456</v>
    <v>1</v>
    <v>Powered by Refinitiv</v>
    <v>42</v>
    <v>USD/CZK</v>
    <v>43</v>
    <v>557</v>
    <v>Finance</v>
    <v>45</v>
    <v>24.757999999999999</v>
    <v>20.39</v>
    <v>4.0000000000000001E-3</v>
    <v>1.9140000000000002E-4</v>
    <v>CZK</v>
    <v>USD</v>
    <v>20.913</v>
    <v>Currency Pair</v>
    <v>45957.217499999999</v>
    <v>20.873999999999999</v>
    <v>US Dollar/Czech Koruna FX Spot Rate</v>
    <v>20.895</v>
    <v>20.895</v>
    <v>20.899000000000001</v>
    <v>USDCZK</v>
    <v>USD/CZK</v>
  </rv>
  <rv s="9">
    <v>3317</v>
  </rv>
  <rv s="4">
    <v>https://www.bing.com/financeapi/forcetrigger?t=a1w8ec&amp;q=XNYS%3aJNJ&amp;form=skydnc</v>
    <v>Learn more on Bing</v>
  </rv>
  <rv s="10">
    <v>en-IN</v>
    <v>a1w8ec</v>
    <v>268435456</v>
    <v>1</v>
    <v>Powered by Refinitiv</v>
    <v>46</v>
    <v>JOHNSON &amp; JOHNSON (XNYS:JNJ)</v>
    <v>47</v>
    <v>48</v>
    <v>Finance</v>
    <v>49</v>
    <v>194.48</v>
    <v>140.68</v>
    <v>0.3674</v>
    <v>-2.0699999999999998</v>
    <v>7.8780000000000007E-4</v>
    <v>-1.0754999999999999E-2</v>
    <v>0.15</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138100</v>
    <v>New York Stock Exchange</v>
    <v>XNYS</v>
    <v>XNYS</v>
    <v>One Johnson &amp; Johnson Plaza, NEW BRUNSWICK, NJ, 08933 US</v>
    <v>192.31</v>
    <v>Pharmaceuticals</v>
    <v>Stock</v>
    <v>45954.995947245312</v>
    <v>3319</v>
    <v>189.42</v>
    <v>464849400000</v>
    <v>JOHNSON &amp; JOHNSON</v>
    <v>JOHNSON &amp; JOHNSON</v>
    <v>192.2</v>
    <v>18.377199999999998</v>
    <v>192.47</v>
    <v>190.4</v>
    <v>190.55</v>
    <v>2409295000</v>
    <v>JNJ</v>
    <v>JOHNSON &amp; JOHNSON (XNYS:JNJ)</v>
    <v>6903379</v>
    <v>9256826</v>
    <v>1887</v>
  </rv>
  <rv s="9">
    <v>3320</v>
  </rv>
  <rv s="0">
    <v>536870912</v>
    <v>New Zealand</v>
    <v>6517d967-9362-4c0d-83d2-cf369fa5fcda</v>
    <v>en-IN</v>
    <v>Map</v>
  </rv>
  <rv s="1">
    <fb>0.40450419657437997</fb>
    <v>24</v>
  </rv>
  <rv s="1">
    <fb>268021</fb>
    <v>25</v>
  </rv>
  <rv s="1">
    <fb>11.98</fb>
    <v>26</v>
  </rv>
  <rv s="1">
    <fb>64</fb>
    <v>27</v>
  </rv>
  <rv s="0">
    <v>536870912</v>
    <v>Wellington</v>
    <v>32f22f58-aa8d-2985-7edd-15665cf5d1d4</v>
    <v>en-IN</v>
    <v>Map</v>
  </rv>
  <rv s="1">
    <fb>34381.792000000001</fb>
    <v>25</v>
  </rv>
  <rv s="1">
    <fb>114.24091176441399</fb>
    <v>28</v>
  </rv>
  <rv s="1">
    <fb>1.61963190184049E-2</fb>
    <v>24</v>
  </rv>
  <rv s="1">
    <fb>9026.32104131095</fb>
    <v>25</v>
  </rv>
  <rv s="1">
    <fb>1.71</fb>
    <v>26</v>
  </rv>
  <rv s="1">
    <fb>0.385560753306464</fb>
    <v>24</v>
  </rv>
  <rv s="1">
    <fb>59.749168536122298</fb>
    <v>29</v>
  </rv>
  <rv s="1">
    <fb>1.4</fb>
    <v>30</v>
  </rv>
  <rv s="1">
    <fb>206928765543.935</fb>
    <v>31</v>
  </rv>
  <rv s="1">
    <fb>0.99974760000000007</fb>
    <v>24</v>
  </rv>
  <rv s="1">
    <fb>0.82033219999999996</fb>
    <v>24</v>
  </rv>
  <rv s="2">
    <v>99</v>
    <v>22</v>
    <v>559</v>
    <v>7</v>
    <v>0</v>
    <v>Image of New Zealand</v>
  </rv>
  <rv s="1">
    <fb>4.7</fb>
    <v>29</v>
  </rv>
  <rv s="0">
    <v>536870912</v>
    <v>Auckland</v>
    <v>49fabed5-6ff0-6935-ebef-34c7b83444c6</v>
    <v>en-IN</v>
    <v>Map</v>
  </rv>
  <rv s="0">
    <v>805306368</v>
    <v>Chris Hipkins (Prime minister)</v>
    <v>7282c59e-228e-3f51-c7f9-2fd13c7d5eb0</v>
    <v>en-IN</v>
    <v>Generic</v>
  </rv>
  <rv s="3">
    <v>178</v>
  </rv>
  <rv s="4">
    <v>https://www.bing.com/search?q=new+zealand&amp;form=skydnc</v>
    <v>Learn more on Bing</v>
  </rv>
  <rv s="1">
    <fb>81.858536585365897</fb>
    <v>29</v>
  </rv>
  <rv s="1">
    <fb>107879780000</fb>
    <v>31</v>
  </rv>
  <rv s="1">
    <fb>9</fb>
    <v>29</v>
  </rv>
  <rv s="1">
    <fb>11.49</fb>
    <v>30</v>
  </rv>
  <rv s="3">
    <v>179</v>
  </rv>
  <rv s="1">
    <fb>0.1262851619</fb>
    <v>24</v>
  </rv>
  <rv s="1">
    <fb>3.5897999999999999</fb>
    <v>26</v>
  </rv>
  <rv s="1">
    <fb>5124100</fb>
    <v>25</v>
  </rv>
  <rv s="1">
    <fb>0.69907997131347699</fb>
    <v>24</v>
  </rv>
  <rv s="0">
    <v>536870912</v>
    <v>Northland Region</v>
    <v>2665962f-608c-e3a6-90ac-6dae5fcfa89a</v>
    <v>en-IN</v>
    <v>Map</v>
  </rv>
  <rv s="0">
    <v>536870912</v>
    <v>Auckland Region</v>
    <v>d8789fe9-89c8-cf4c-4ab2-749138d529af</v>
    <v>en-IN</v>
    <v>Map</v>
  </rv>
  <rv s="0">
    <v>536870912</v>
    <v>Waikato Region</v>
    <v>66746262-e3dd-ecd0-3365-023774ad95f3</v>
    <v>en-IN</v>
    <v>Map</v>
  </rv>
  <rv s="0">
    <v>536870912</v>
    <v>Gisborne District</v>
    <v>979bc9a8-a9fe-f6f1-4e5a-eda4cdb2aa39</v>
    <v>en-IN</v>
    <v>Map</v>
  </rv>
  <rv s="0">
    <v>536870912</v>
    <v>Taranaki Region</v>
    <v>63a5cf5c-10da-bf8e-86f5-0eae79126fd5</v>
    <v>en-IN</v>
    <v>Map</v>
  </rv>
  <rv s="0">
    <v>536870912</v>
    <v>Manawatū-Whanganui Region</v>
    <v>12b5d5c7-22b1-fad0-7588-ee18879fcaf1</v>
    <v>en-IN</v>
    <v>Map</v>
  </rv>
  <rv s="0">
    <v>536870912</v>
    <v>Hawke's Bay Region</v>
    <v>3fbdf1b6-a72b-cb02-0247-761081d3eb9b</v>
    <v>en-IN</v>
    <v>Map</v>
  </rv>
  <rv s="0">
    <v>536870912</v>
    <v>Marlborough District</v>
    <v>da16a0fa-e7d9-7398-48d7-25300defd7a1</v>
    <v>en-IN</v>
    <v>Map</v>
  </rv>
  <rv s="0">
    <v>536870912</v>
    <v>Tasman District</v>
    <v>7594ce17-48d4-850a-d609-fff5294ec8a8</v>
    <v>en-IN</v>
    <v>Map</v>
  </rv>
  <rv s="0">
    <v>536870912</v>
    <v>West Coast Region</v>
    <v>3ff3be7b-ae84-7078-9f30-e95a8ff9130d</v>
    <v>en-IN</v>
    <v>Map</v>
  </rv>
  <rv s="0">
    <v>536870912</v>
    <v>Canterbury Region</v>
    <v>0e1a0dee-2d50-4b7e-a077-88d33118ccb8</v>
    <v>en-IN</v>
    <v>Map</v>
  </rv>
  <rv s="0">
    <v>536870912</v>
    <v>Otago Region</v>
    <v>17e97a96-3af4-d536-b6c0-a3027228ac45</v>
    <v>en-IN</v>
    <v>Map</v>
  </rv>
  <rv s="0">
    <v>536870912</v>
    <v>Southland Region</v>
    <v>4fd239d4-c566-75fc-eb92-c963e312af8b</v>
    <v>en-IN</v>
    <v>Map</v>
  </rv>
  <rv s="3">
    <v>180</v>
  </rv>
  <rv s="1">
    <fb>0.28975427581727603</fb>
    <v>24</v>
  </rv>
  <rv s="1">
    <fb>0.34600000000000003</fb>
    <v>24</v>
  </rv>
  <rv s="1">
    <fb>4.0689997673034703E-2</fb>
    <v>32</v>
  </rv>
  <rv s="1">
    <fb>4258860</fb>
    <v>25</v>
  </rv>
  <rv s="32">
    <v>#VALUE!</v>
    <v>en-IN</v>
    <v>6517d967-9362-4c0d-83d2-cf369fa5fcda</v>
    <v>536870912</v>
    <v>1</v>
    <v>562</v>
    <v>207</v>
    <v>New Zealand</v>
    <v>20</v>
    <v>21</v>
    <v>Map</v>
    <v>22</v>
    <v>563</v>
    <v>NZ</v>
    <v>3323</v>
    <v>3324</v>
    <v>380</v>
    <v>3325</v>
    <v>3326</v>
    <v>3327</v>
    <v>3328</v>
    <v>3329</v>
    <v>3330</v>
    <v>NZD</v>
    <v>New Zealand is an island country in the southwestern Pacific Ocean. It consists of two main landmasses—the North Island and the South Island —and over 700 smaller islands. It is the sixth-largest island country by area and lies east of Australia ...</v>
    <v>3331</v>
    <v>3332</v>
    <v>3333</v>
    <v>3334</v>
    <v>3335</v>
    <v>3336</v>
    <v>3337</v>
    <v>3338</v>
    <v>3339</v>
    <v>3340</v>
    <v>3341</v>
    <v>3343</v>
    <v>3344</v>
    <v>3345</v>
    <v>3346</v>
    <v>3347</v>
    <v>3348</v>
    <v>New Zealand</v>
    <v>God Defend New Zealand</v>
    <v>3349</v>
    <v>New Zealand</v>
    <v>3350</v>
    <v>3351</v>
    <v>3352</v>
    <v>3353</v>
    <v>3367</v>
    <v>3368</v>
    <v>3369</v>
    <v>3370</v>
    <v>New Zealand</v>
    <v>3371</v>
    <v>mdp/vdpid/183</v>
  </rv>
  <rv s="1">
    <fb>444</fb>
    <v>25</v>
  </rv>
  <rv s="2">
    <v>100</v>
    <v>22</v>
    <v>564</v>
    <v>7</v>
    <v>0</v>
    <v>Image of Wellington</v>
  </rv>
  <rv s="1">
    <fb>-41.288888888888998</fb>
    <v>37</v>
  </rv>
  <rv s="0">
    <v>805306368</v>
    <v>Tory Whanau (Mayor)</v>
    <v>1dbe780f-ee6c-dc19-3794-34c7d8f96cdc</v>
    <v>en-IN</v>
    <v>Generic</v>
  </rv>
  <rv s="3">
    <v>181</v>
  </rv>
  <rv s="4">
    <v>https://www.bing.com/search?q=wellington+new+zealand&amp;form=skydnc</v>
    <v>Learn more on Bing</v>
  </rv>
  <rv s="1">
    <fb>174.77722222221999</fb>
    <v>37</v>
  </rv>
  <rv s="1">
    <fb>215100</fb>
    <v>25</v>
  </rv>
  <rv s="22">
    <v>#VALUE!</v>
    <v>en-IN</v>
    <v>32f22f58-aa8d-2985-7edd-15665cf5d1d4</v>
    <v>536870912</v>
    <v>1</v>
    <v>565</v>
    <v>131</v>
    <v>Wellington</v>
    <v>20</v>
    <v>21</v>
    <v>Map</v>
    <v>22</v>
    <v>189</v>
    <v>3373</v>
    <v>3322</v>
    <v>Wellington is the capital city of New Zealand. It is located at the south-western tip of the North Island, between Cook Strait and the Remutaka Range. Wellington is the third-largest city in New Zealand, and is the administrative centre of the ...</v>
    <v>3374</v>
    <v>3375</v>
    <v>3377</v>
    <v>3378</v>
    <v>3379</v>
    <v>Wellington</v>
    <v>3380</v>
    <v>Wellington</v>
    <v>mdp/vdpid/8933186409641017345</v>
  </rv>
  <rv s="1">
    <fb>559</fb>
    <v>25</v>
  </rv>
  <rv s="2">
    <v>101</v>
    <v>22</v>
    <v>566</v>
    <v>7</v>
    <v>0</v>
    <v>Image of Auckland</v>
  </rv>
  <rv s="1">
    <fb>-36.85</fb>
    <v>37</v>
  </rv>
  <rv s="0">
    <v>805306368</v>
    <v>Wayne Brown (Mayor)</v>
    <v>6be8bbd4-02b7-8c54-86d4-b8b500f11d80</v>
    <v>en-IN</v>
    <v>Generic</v>
  </rv>
  <rv s="3">
    <v>182</v>
  </rv>
  <rv s="4">
    <v>https://www.bing.com/search?q=auckland+new+zealand&amp;form=skydnc</v>
    <v>Learn more on Bing</v>
  </rv>
  <rv s="1">
    <fb>174.78333333333001</fb>
    <v>37</v>
  </rv>
  <rv s="1">
    <fb>1470100</fb>
    <v>25</v>
  </rv>
  <rv s="3">
    <v>183</v>
  </rv>
  <rv s="24">
    <v>#VALUE!</v>
    <v>en-IN</v>
    <v>49fabed5-6ff0-6935-ebef-34c7b83444c6</v>
    <v>536870912</v>
    <v>1</v>
    <v>567</v>
    <v>152</v>
    <v>Auckland</v>
    <v>20</v>
    <v>21</v>
    <v>Map</v>
    <v>22</v>
    <v>189</v>
    <v>3355</v>
    <v>3382</v>
    <v>3322</v>
    <v>Auckland is a large metropolitan city in the North Island of New Zealand. Auckland is the most populous urban area in New Zealand and the fifth largest city in Oceania. It has an urban population of about 1,478,800. It is located in the greater ...</v>
    <v>3383</v>
    <v>3384</v>
    <v>3386</v>
    <v>3387</v>
    <v>3388</v>
    <v>Auckland</v>
    <v>3389</v>
    <v>3390</v>
    <v>Auckland</v>
    <v>mdp/vdpid/8929526486428286977</v>
  </rv>
  <rv s="2">
    <v>99</v>
    <v>22</v>
    <v>559</v>
    <v>3</v>
    <v>0</v>
    <v>Image of New Zealand</v>
  </rv>
  <rv s="8">
    <v>en-IN</v>
    <v>av6xrw</v>
    <v>268435456</v>
    <v>1</v>
    <v>Powered by Refinitiv</v>
    <v>42</v>
    <v>CZK/USD</v>
    <v>43</v>
    <v>62</v>
    <v>Finance</v>
    <v>45</v>
    <v>4.9009999999999998E-2</v>
    <v>4.036E-2</v>
    <v>1.0000000000000001E-5</v>
    <v>2.0939999999999999E-4</v>
    <v>USD</v>
    <v>CZK</v>
    <v>4.7910000000000001E-2</v>
    <v>Currency Pair</v>
    <v>45957.217499999999</v>
    <v>4.7820000000000001E-2</v>
    <v>Czech Koruna/US Dollar FX Cross Rate</v>
    <v>4.7759999999999997E-2</v>
    <v>4.7759999999999997E-2</v>
    <v>4.777E-2</v>
    <v>CZKUSD</v>
    <v>CZK/USD</v>
  </rv>
  <rv s="9">
    <v>3393</v>
  </rv>
  <rv s="4">
    <v>https://www.bing.com/financeapi/forcetrigger?t=a23www&amp;q=XNYS%3aT&amp;form=skydnc</v>
    <v>Learn more on Bing</v>
  </rv>
  <rv s="10">
    <v>en-IN</v>
    <v>a23www</v>
    <v>268435456</v>
    <v>1</v>
    <v>Powered by Refinitiv</v>
    <v>46</v>
    <v>AT&amp;T INC. (XNYS:T)</v>
    <v>47</v>
    <v>48</v>
    <v>Finance</v>
    <v>49</v>
    <v>29.79</v>
    <v>21.38</v>
    <v>0.40260000000000001</v>
    <v>0.52</v>
    <v>-2.3869999999999997E-5</v>
    <v>2.1120999999999997E-2</v>
    <v>-5.9999999999999995E-4</v>
    <v>USD</v>
    <v>AT&amp;T Inc. is a holding company. The Company is a provider of telecommunications and technology services globally. The Company’s segments include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Internet Protocol (IP) Voice and managed professional services, as well as legacy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135670</v>
    <v>New York Stock Exchange</v>
    <v>XNYS</v>
    <v>XNYS</v>
    <v>208 S. Akard St, DALLAS, TX, 75202 US</v>
    <v>25.19</v>
    <v>Telecommunications Services</v>
    <v>Stock</v>
    <v>45954.999828645312</v>
    <v>3395</v>
    <v>24.57</v>
    <v>181635000000</v>
    <v>AT&amp;T INC.</v>
    <v>AT&amp;T INC.</v>
    <v>24.635000000000002</v>
    <v>8.1585000000000001</v>
    <v>24.62</v>
    <v>25.14</v>
    <v>25.139399999999998</v>
    <v>7109000000</v>
    <v>T</v>
    <v>AT&amp;T INC. (XNYS:T)</v>
    <v>80553704</v>
    <v>47288601</v>
    <v>1983</v>
  </rv>
  <rv s="9">
    <v>3396</v>
  </rv>
  <rv s="0">
    <v>536870912</v>
    <v>Nicaragua</v>
    <v>69beb9ab-56a0-e052-4bf5-5aac6f9d8bc4</v>
    <v>en-IN</v>
    <v>Map</v>
  </rv>
  <rv s="1">
    <fb>0.42089080937344198</fb>
    <v>24</v>
  </rv>
  <rv s="1">
    <fb>130375</fb>
    <v>25</v>
  </rv>
  <rv s="1">
    <fb>20.640999999999998</fb>
    <v>26</v>
  </rv>
  <rv s="1">
    <fb>505</fb>
    <v>27</v>
  </rv>
  <rv s="0">
    <v>536870912</v>
    <v>Managua</v>
    <v>a2ab3b13-a211-525f-4c89-5ec78fab662f</v>
    <v>en-IN</v>
    <v>Map</v>
  </rv>
  <rv s="1">
    <fb>5592.1750000000002</fb>
    <v>25</v>
  </rv>
  <rv s="1">
    <fb>162.739607236815</fb>
    <v>28</v>
  </rv>
  <rv s="1">
    <fb>5.3762899084413E-2</fb>
    <v>24</v>
  </rv>
  <rv s="1">
    <fb>568.31381080701397</fb>
    <v>25</v>
  </rv>
  <rv s="1">
    <fb>2.4039999999999999</fb>
    <v>26</v>
  </rv>
  <rv s="1">
    <fb>0.25876682732258599</fb>
    <v>24</v>
  </rv>
  <rv s="1">
    <fb>40.6953920569917</fb>
    <v>29</v>
  </rv>
  <rv s="1">
    <fb>12520915291.183701</fb>
    <v>31</v>
  </rv>
  <rv s="1">
    <fb>1.2064043</fb>
    <v>24</v>
  </rv>
  <rv s="1">
    <fb>0.17423739999999999</fb>
    <v>24</v>
  </rv>
  <rv s="2">
    <v>102</v>
    <v>22</v>
    <v>569</v>
    <v>7</v>
    <v>0</v>
    <v>Image of Nicaragua</v>
  </rv>
  <rv s="1">
    <fb>15.7</fb>
    <v>29</v>
  </rv>
  <rv s="0">
    <v>805306368</v>
    <v>Daniel Ortega (President)</v>
    <v>ac55a86e-637b-881b-bf5a-b4ef15e8fa9c</v>
    <v>en-IN</v>
    <v>Generic</v>
  </rv>
  <rv s="0">
    <v>805306368</v>
    <v>Rosario Murillo (Vice president)</v>
    <v>09da9873-a16b-b570-19b5-b4d6beb3e2f5</v>
    <v>en-IN</v>
    <v>Generic</v>
  </rv>
  <rv s="3">
    <v>184</v>
  </rv>
  <rv s="4">
    <v>https://www.bing.com/search?q=nicaragua&amp;form=skydnc</v>
    <v>Learn more on Bing</v>
  </rv>
  <rv s="1">
    <fb>74.275000000000006</fb>
    <v>29</v>
  </rv>
  <rv s="1">
    <fb>98</fb>
    <v>29</v>
  </rv>
  <rv s="3">
    <v>185</v>
  </rv>
  <rv s="1">
    <fb>0.35988268679999996</fb>
    <v>24</v>
  </rv>
  <rv s="1">
    <fb>0.97750000000000004</fb>
    <v>26</v>
  </rv>
  <rv s="1">
    <fb>6948392</fb>
    <v>25</v>
  </rv>
  <rv s="1">
    <fb>0.52100000000000002</fb>
    <v>24</v>
  </rv>
  <rv s="1">
    <fb>0.13699999999999998</fb>
    <v>24</v>
  </rv>
  <rv s="1">
    <fb>0.66404998779296909</fb>
    <v>24</v>
  </rv>
  <rv s="0">
    <v>536870912</v>
    <v>Boaco Department</v>
    <v>f4a2997d-6569-deac-bd36-1d9768d518db</v>
    <v>en-IN</v>
    <v>Map</v>
  </rv>
  <rv s="0">
    <v>536870912</v>
    <v>Carazo Department</v>
    <v>b62e3414-410f-d232-ca00-d86157c9c0fe</v>
    <v>en-IN</v>
    <v>Map</v>
  </rv>
  <rv s="0">
    <v>536870912</v>
    <v>Chinandega Department</v>
    <v>14f90df8-68f9-84d9-a362-3345b849bb38</v>
    <v>en-IN</v>
    <v>Map</v>
  </rv>
  <rv s="0">
    <v>536870912</v>
    <v>Chontales Department</v>
    <v>1eed54b8-e6d3-bfd5-63ee-cc9a5b0041d7</v>
    <v>en-IN</v>
    <v>Map</v>
  </rv>
  <rv s="0">
    <v>536870912</v>
    <v>Estelí Department</v>
    <v>dfd7438e-3ec0-15c9-87fe-fc72effd4a92</v>
    <v>en-IN</v>
    <v>Map</v>
  </rv>
  <rv s="0">
    <v>536870912</v>
    <v>Granada Department</v>
    <v>5e3471d8-4752-03dd-5cd5-dd61e1ee616c</v>
    <v>en-IN</v>
    <v>Map</v>
  </rv>
  <rv s="0">
    <v>536870912</v>
    <v>Jinotega Department</v>
    <v>60398820-edbb-ec8a-84c4-b5ac8549d71e</v>
    <v>en-IN</v>
    <v>Map</v>
  </rv>
  <rv s="0">
    <v>536870912</v>
    <v>León Department</v>
    <v>a0f42223-6d04-d9d7-7b62-12425cccc416</v>
    <v>en-IN</v>
    <v>Map</v>
  </rv>
  <rv s="0">
    <v>536870912</v>
    <v>Madriz Department</v>
    <v>81728ee1-79f6-9b76-c5cc-ee37f878b3a0</v>
    <v>en-IN</v>
    <v>Map</v>
  </rv>
  <rv s="0">
    <v>536870912</v>
    <v>Managua Department</v>
    <v>617c016b-1093-0490-3463-34b0e746c50d</v>
    <v>en-IN</v>
    <v>Map</v>
  </rv>
  <rv s="0">
    <v>536870912</v>
    <v>Masaya Department</v>
    <v>375fbc9c-cbcf-1580-6076-ec3acfdd9353</v>
    <v>en-IN</v>
    <v>Map</v>
  </rv>
  <rv s="0">
    <v>536870912</v>
    <v>Matagalpa Department</v>
    <v>bda587c9-d64e-df8e-4b77-d9ba64a91c5e</v>
    <v>en-IN</v>
    <v>Map</v>
  </rv>
  <rv s="0">
    <v>536870912</v>
    <v>Nueva Segovia Department</v>
    <v>3e264ac6-d062-e9da-1ef9-6cdee93cd8d0</v>
    <v>en-IN</v>
    <v>Map</v>
  </rv>
  <rv s="0">
    <v>536870912</v>
    <v>Rivas Department</v>
    <v>d3c0a132-7da8-49f2-a7a1-f47797b6b409</v>
    <v>en-IN</v>
    <v>Map</v>
  </rv>
  <rv s="0">
    <v>536870912</v>
    <v>Río San Juan Department</v>
    <v>d3ff03b5-049c-549d-a0ce-006ec8b69962</v>
    <v>en-IN</v>
    <v>Map</v>
  </rv>
  <rv s="0">
    <v>536870912</v>
    <v>North Caribbean Coast Autonomous Region</v>
    <v>1d653296-e843-a712-1c4f-a638d23e4441</v>
    <v>en-IN</v>
    <v>Map</v>
  </rv>
  <rv s="0">
    <v>536870912</v>
    <v>South Caribbean Coast Autonomous Region</v>
    <v>89d65d77-37fc-6893-ed2e-4c5f37a4d6cb</v>
    <v>en-IN</v>
    <v>Map</v>
  </rv>
  <rv s="3">
    <v>186</v>
  </rv>
  <rv s="1">
    <fb>0.15588586333905899</fb>
    <v>24</v>
  </rv>
  <rv s="1">
    <fb>0.60599999999999998</fb>
    <v>24</v>
  </rv>
  <rv s="1">
    <fb>6.8369998931884807E-2</fb>
    <v>32</v>
  </rv>
  <rv s="1">
    <fb>3846137</fb>
    <v>25</v>
  </rv>
  <rv s="13">
    <v>#VALUE!</v>
    <v>en-IN</v>
    <v>69beb9ab-56a0-e052-4bf5-5aac6f9d8bc4</v>
    <v>536870912</v>
    <v>1</v>
    <v>572</v>
    <v>78</v>
    <v>Nicaragua</v>
    <v>20</v>
    <v>21</v>
    <v>Map</v>
    <v>22</v>
    <v>573</v>
    <v>NI</v>
    <v>3399</v>
    <v>3400</v>
    <v>2780</v>
    <v>3401</v>
    <v>3402</v>
    <v>3403</v>
    <v>3404</v>
    <v>3405</v>
    <v>3406</v>
    <v>NIC</v>
    <v>Nicaragua, officially the Republic of Nicaragua, is the largest country in Central America, bordered by Honduras to the north, the Caribbean to the east, Costa Rica to the south, and the Pacific Ocean to the west. Managua is the country's ...</v>
    <v>3407</v>
    <v>3408</v>
    <v>3409</v>
    <v>3410</v>
    <v>3209</v>
    <v>3411</v>
    <v>3412</v>
    <v>3413</v>
    <v>3414</v>
    <v>3415</v>
    <v>3403</v>
    <v>3418</v>
    <v>3419</v>
    <v>3420</v>
    <v>3421</v>
    <v>3018</v>
    <v>Nicaragua</v>
    <v>Salve a ti</v>
    <v>3422</v>
    <v>la République du Nicaragua</v>
    <v>3423</v>
    <v>3424</v>
    <v>3425</v>
    <v>2486</v>
    <v>973</v>
    <v>3426</v>
    <v>2488</v>
    <v>503</v>
    <v>651</v>
    <v>3427</v>
    <v>3428</v>
    <v>3446</v>
    <v>3447</v>
    <v>3448</v>
    <v>3449</v>
    <v>Nicaragua</v>
    <v>3450</v>
    <v>mdp/vdpid/182</v>
  </rv>
  <rv s="1">
    <fb>267.2</fb>
    <v>25</v>
  </rv>
  <rv s="2">
    <v>103</v>
    <v>22</v>
    <v>574</v>
    <v>7</v>
    <v>0</v>
    <v>Image of Managua</v>
  </rv>
  <rv s="1">
    <fb>12.1543722222222</fb>
    <v>37</v>
  </rv>
  <rv s="0">
    <v>805306368</v>
    <v>Reyna Rueda (Mayor)</v>
    <v>f441be5c-135d-e7d7-d802-943ae8013364</v>
    <v>en-IN</v>
    <v>Generic</v>
  </rv>
  <rv s="3">
    <v>187</v>
  </rv>
  <rv s="4">
    <v>https://www.bing.com/search?q=managua&amp;form=skydnc</v>
    <v>Learn more on Bing</v>
  </rv>
  <rv s="1">
    <fb>-86.273769444444397</fb>
    <v>37</v>
  </rv>
  <rv s="1">
    <fb>937489</fb>
    <v>25</v>
  </rv>
  <rv s="14">
    <v>#VALUE!</v>
    <v>en-IN</v>
    <v>a2ab3b13-a211-525f-4c89-5ec78fab662f</v>
    <v>536870912</v>
    <v>1</v>
    <v>575</v>
    <v>82</v>
    <v>Managua</v>
    <v>20</v>
    <v>21</v>
    <v>Map</v>
    <v>22</v>
    <v>536</v>
    <v>3438</v>
    <v>3452</v>
    <v>3398</v>
    <v>Managua is the capital and largest city of Nicaragua, and one of the largest cities in Central America. Located on the shores of Lake Managua, the city had an estimated population of 1,055,247 as of 2020, and a population of 1,401,687 in its ...</v>
    <v>3453</v>
    <v>3454</v>
    <v>3456</v>
    <v>3457</v>
    <v>3458</v>
    <v>Managua</v>
    <v>3459</v>
    <v>Managua</v>
    <v>mdp/vdpid/5554971700908523521</v>
  </rv>
  <rv s="2">
    <v>102</v>
    <v>22</v>
    <v>569</v>
    <v>3</v>
    <v>0</v>
    <v>Image of Nicaragua</v>
  </rv>
  <rv s="8">
    <v>en-IN</v>
    <v>avyo2w</v>
    <v>268435456</v>
    <v>1</v>
    <v>Powered by Refinitiv</v>
    <v>42</v>
    <v>USD/HUF</v>
    <v>43</v>
    <v>576</v>
    <v>Finance</v>
    <v>45</v>
    <v>406.62</v>
    <v>326.52999999999997</v>
    <v>0.03</v>
    <v>8.947999999999999E-5</v>
    <v>HUF</v>
    <v>USD</v>
    <v>335.54</v>
    <v>Currency Pair</v>
    <v>45957.217812499999</v>
    <v>334.79</v>
    <v>US Dollar/Hungarian Forint FX Spot Rate</v>
    <v>335.29</v>
    <v>335.26</v>
    <v>335.29</v>
    <v>USDHUF</v>
    <v>USD/HUF</v>
  </rv>
  <rv s="9">
    <v>3462</v>
  </rv>
  <rv s="4">
    <v>http://pt.wikipedia.org/wiki/Oracle_Corporation</v>
    <v>Wikipedia</v>
  </rv>
  <rv s="16">
    <v>460</v>
    <v>3464</v>
  </rv>
  <rv s="17">
    <v>99</v>
    <v>https://www.bing.com/th?id=AMMS_672116c618c664d13b2515d6587ba357&amp;qlt=95</v>
    <v>3465</v>
    <v>0</v>
    <v>https://www.bing.com/images/search?form=xlimg&amp;q=oracle+corporation</v>
    <v>Image of ORACLE CORPORATION</v>
  </rv>
  <rv s="4">
    <v>https://www.bing.com/financeapi/forcetrigger?t=a1zbec&amp;q=XNYS%3aORCL&amp;form=skydnc</v>
    <v>Learn more on Bing</v>
  </rv>
  <rv s="18">
    <v>en-IN</v>
    <v>a1zbec</v>
    <v>268435456</v>
    <v>1</v>
    <v>Powered by Refinitiv</v>
    <v>95</v>
    <v>ORACLE CORPORATION (XNYS:ORCL)</v>
    <v>97</v>
    <v>98</v>
    <v>Finance</v>
    <v>49</v>
    <v>345.72</v>
    <v>118.86</v>
    <v>1.5237000000000001</v>
    <v>3.26</v>
    <v>2.8870000000000002E-4</v>
    <v>1.1639999999999999E-2</v>
    <v>8.1799999999999998E-2</v>
    <v>USD</v>
    <v>Oracle Corporation offers integrated suites of applications plus secure, autonomous infrastructure in the Oracle Cloud. The Company operates through three businesses: cloud and license, hardware and service. Its cloud and license business is engaged in the sale, marketing and delivery of its enterprise applications and infrastructure technologies through cloud and on-premise deployment models including its cloud services and license support offerings, and its cloud license and on-premise license offerings. Its hardware business provides infrastructure technologies including Oracle Engineered Systems, servers, storage, industry-specific hardware, operating systems, virtualization, management and other hardware-related software to support diverse IT environments. Its services business provides services to customers and partners to help maximize the performance of their investments in Oracle applications and infrastructure technologies.</v>
    <v>162000</v>
    <v>New York Stock Exchange</v>
    <v>XNYS</v>
    <v>XNYS</v>
    <v>2300 Oracle Way, AUSTIN, TX, 78741 US</v>
    <v>287.19</v>
    <v>3466</v>
    <v>Software &amp; IT Services</v>
    <v>Stock</v>
    <v>45954.999962453126</v>
    <v>3467</v>
    <v>282.245</v>
    <v>777297100000</v>
    <v>ORACLE CORPORATION</v>
    <v>ORACLE CORPORATION</v>
    <v>285.92</v>
    <v>65.577500000000001</v>
    <v>280.07</v>
    <v>283.33</v>
    <v>283.41180000000003</v>
    <v>2850793000</v>
    <v>ORCL</v>
    <v>ORACLE CORPORATION (XNYS:ORCL)</v>
    <v>13194896</v>
    <v>26002169</v>
    <v>2005</v>
  </rv>
  <rv s="9">
    <v>3468</v>
  </rv>
  <rv s="0">
    <v>536870912</v>
    <v>Niger</v>
    <v>1e2e2e3e-477e-d95f-bbf4-3ccf31b3f684</v>
    <v>en-IN</v>
    <v>Map</v>
  </rv>
  <rv s="1">
    <fb>0.36063787795058</fb>
    <v>24</v>
  </rv>
  <rv s="1">
    <fb>1267000</fb>
    <v>25</v>
  </rv>
  <rv s="1">
    <fb>10000</fb>
    <v>25</v>
  </rv>
  <rv s="1">
    <fb>46.079000000000001</fb>
    <v>26</v>
  </rv>
  <rv s="1">
    <fb>227</fb>
    <v>27</v>
  </rv>
  <rv s="0">
    <v>536870912</v>
    <v>Niamey</v>
    <v>29005fbc-3404-89a3-0cf4-d85e20f4b1f2</v>
    <v>en-IN</v>
    <v>Map</v>
  </rv>
  <rv s="1">
    <fb>109.323686827592</fb>
    <v>28</v>
  </rv>
  <rv s="1">
    <fb>-2.48979265070851E-2</fb>
    <v>24</v>
  </rv>
  <rv s="1">
    <fb>51.195008439899901</fb>
    <v>25</v>
  </rv>
  <rv s="1">
    <fb>6.9130000000000003</fb>
    <v>26</v>
  </rv>
  <rv s="1">
    <fb>8.9176598688398209E-3</fb>
    <v>24</v>
  </rv>
  <rv s="1">
    <fb>24.060368154274201</fb>
    <v>29</v>
  </rv>
  <rv s="1">
    <fb>0.88</fb>
    <v>30</v>
  </rv>
  <rv s="1">
    <fb>12928145120.0296</fb>
    <v>31</v>
  </rv>
  <rv s="1">
    <fb>0.74736199999999997</fb>
    <v>24</v>
  </rv>
  <rv s="1">
    <fb>4.4143499999999995E-2</fb>
    <v>24</v>
  </rv>
  <rv s="2">
    <v>104</v>
    <v>22</v>
    <v>578</v>
    <v>7</v>
    <v>0</v>
    <v>Image of Niger</v>
  </rv>
  <rv s="1">
    <fb>48</fb>
    <v>29</v>
  </rv>
  <rv s="0">
    <v>805306368</v>
    <v>Ali Lamine Zeine (Prime minister)</v>
    <v>865ad091-813c-ac33-6861-161961856d39</v>
    <v>en-IN</v>
    <v>Generic</v>
  </rv>
  <rv s="3">
    <v>188</v>
  </rv>
  <rv s="4">
    <v>https://www.bing.com/search?q=niger&amp;form=skydnc</v>
    <v>Learn more on Bing</v>
  </rv>
  <rv s="1">
    <fb>62.024000000000001</fb>
    <v>29</v>
  </rv>
  <rv s="1">
    <fb>509</fb>
    <v>29</v>
  </rv>
  <rv s="1">
    <fb>0.28999999999999998</fb>
    <v>30</v>
  </rv>
  <rv s="3">
    <v>189</v>
  </rv>
  <rv s="1">
    <fb>0.52270877110000002</fb>
    <v>24</v>
  </rv>
  <rv s="1">
    <fb>4.3299999999999998E-2</fb>
    <v>26</v>
  </rv>
  <rv s="1">
    <fb>26207977</fb>
    <v>25</v>
  </rv>
  <rv s="1">
    <fb>0.27</fb>
    <v>24</v>
  </rv>
  <rv s="1">
    <fb>7.8E-2</fb>
    <v>24</v>
  </rv>
  <rv s="1">
    <fb>0.11800000000000001</fb>
    <v>24</v>
  </rv>
  <rv s="1">
    <fb>0.72041999816894497</fb>
    <v>24</v>
  </rv>
  <rv s="0">
    <v>536870912</v>
    <v>Agadez Region</v>
    <v>3cb7ca31-9f95-2c9d-da4b-97dc21d6b0c6</v>
    <v>en-IN</v>
    <v>Map</v>
  </rv>
  <rv s="0">
    <v>536870912</v>
    <v>Diffa Region</v>
    <v>5ddbcdb9-c58e-cf5b-203c-466824bf69a3</v>
    <v>en-IN</v>
    <v>Map</v>
  </rv>
  <rv s="0">
    <v>536870912</v>
    <v>Dosso Region</v>
    <v>d45c67fb-dacc-1fcc-db30-e79ef9c2deb2</v>
    <v>en-IN</v>
    <v>Map</v>
  </rv>
  <rv s="0">
    <v>536870912</v>
    <v>Maradi Region</v>
    <v>6d284c2f-6f07-570f-a4df-7c5173553215</v>
    <v>en-IN</v>
    <v>Map</v>
  </rv>
  <rv s="0">
    <v>536870912</v>
    <v>Tahoua Region</v>
    <v>a53edab2-3d59-f8e8-6b8d-c83092840f8d</v>
    <v>en-IN</v>
    <v>Map</v>
  </rv>
  <rv s="0">
    <v>536870912</v>
    <v>Tillabéri Region</v>
    <v>279174a4-e5ed-e70e-f7df-72ad01266353</v>
    <v>en-IN</v>
    <v>Map</v>
  </rv>
  <rv s="0">
    <v>536870912</v>
    <v>Zinder Region</v>
    <v>b2ff7346-5f64-439d-a3b7-834da06e28f8</v>
    <v>en-IN</v>
    <v>Map</v>
  </rv>
  <rv s="3">
    <v>190</v>
  </rv>
  <rv s="1">
    <fb>0.117645285971099</fb>
    <v>24</v>
  </rv>
  <rv s="1">
    <fb>0.47200000000000003</fb>
    <v>24</v>
  </rv>
  <rv s="1">
    <fb>4.7499999403953601E-3</fb>
    <v>32</v>
  </rv>
  <rv s="1">
    <fb>3850231</fb>
    <v>25</v>
  </rv>
  <rv s="13">
    <v>#VALUE!</v>
    <v>en-IN</v>
    <v>1e2e2e3e-477e-d95f-bbf4-3ccf31b3f684</v>
    <v>536870912</v>
    <v>1</v>
    <v>581</v>
    <v>78</v>
    <v>Niger</v>
    <v>20</v>
    <v>21</v>
    <v>Map</v>
    <v>22</v>
    <v>582</v>
    <v>NE</v>
    <v>3471</v>
    <v>3472</v>
    <v>3473</v>
    <v>3474</v>
    <v>3475</v>
    <v>3476</v>
    <v>2784</v>
    <v>3477</v>
    <v>3478</v>
    <v>XOF</v>
    <v>Niger or the Niger, officially the Republic of the Niger, is a landlocked country in West Africa. It is a unitary state bordered by Libya to the northeast, Chad to the east, Nigeria to the south, Benin and Burkina Faso to the southwest, Mali to ...</v>
    <v>3479</v>
    <v>3480</v>
    <v>3481</v>
    <v>3482</v>
    <v>3483</v>
    <v>3484</v>
    <v>3485</v>
    <v>3486</v>
    <v>3487</v>
    <v>3488</v>
    <v>3476</v>
    <v>3490</v>
    <v>3491</v>
    <v>3492</v>
    <v>3493</v>
    <v>3494</v>
    <v>Niger</v>
    <v>La Nigérienne</v>
    <v>3495</v>
    <v>Jamhuriyar Nijar</v>
    <v>3496</v>
    <v>3497</v>
    <v>3498</v>
    <v>409</v>
    <v>3499</v>
    <v>814</v>
    <v>1234</v>
    <v>3500</v>
    <v>3501</v>
    <v>1025</v>
    <v>3502</v>
    <v>3510</v>
    <v>3511</v>
    <v>3512</v>
    <v>3513</v>
    <v>Niger</v>
    <v>3514</v>
    <v>mdp/vdpid/173</v>
  </rv>
  <rv s="1">
    <fb>239.3</fb>
    <v>25</v>
  </rv>
  <rv s="2">
    <v>105</v>
    <v>22</v>
    <v>584</v>
    <v>7</v>
    <v>0</v>
    <v>Image of Niamey</v>
  </rv>
  <rv s="0">
    <v>805306368</v>
    <v>Assane Seydou Sanda (Mayor)</v>
    <v>b6189275-8b63-2231-87d5-861554be5f6d</v>
    <v>en-IN</v>
    <v>Generic</v>
  </rv>
  <rv s="3">
    <v>191</v>
  </rv>
  <rv s="4">
    <v>https://www.bing.com/search?q=niamey&amp;form=skydnc</v>
    <v>Learn more on Bing</v>
  </rv>
  <rv s="1">
    <fb>1026848</fb>
    <v>25</v>
  </rv>
  <rv s="33">
    <v>#VALUE!</v>
    <v>en-IN</v>
    <v>29005fbc-3404-89a3-0cf4-d85e20f4b1f2</v>
    <v>536870912</v>
    <v>1</v>
    <v>585</v>
    <v>222</v>
    <v>Niamey</v>
    <v>20</v>
    <v>21</v>
    <v>Map</v>
    <v>22</v>
    <v>414</v>
    <v>NE-8</v>
    <v>3516</v>
    <v>3470</v>
    <v>Niamey is the capital and largest city of Niger. Niamey lies on the Niger River, primarily situated on the east bank. Niamey's population was counted as 1,026,848 as of the 2012 census. As of 2017, population projections show the capital ...</v>
    <v>3517</v>
    <v>3519</v>
    <v>3520</v>
    <v>Niamey</v>
    <v>3521</v>
    <v>Niamey</v>
    <v>mdp/vdpid/7283645577353494529</v>
  </rv>
  <rv s="2">
    <v>104</v>
    <v>22</v>
    <v>578</v>
    <v>3</v>
    <v>0</v>
    <v>Image of Niger</v>
  </rv>
  <rv s="8">
    <v>en-IN</v>
    <v>avc477</v>
    <v>268435456</v>
    <v>1</v>
    <v>Powered by Refinitiv</v>
    <v>42</v>
    <v>HUF/USD</v>
    <v>43</v>
    <v>62</v>
    <v>Finance</v>
    <v>45</v>
    <v>3.0599999999999998E-3</v>
    <v>2.457E-3</v>
    <v>0</v>
    <v>0</v>
    <v>USD</v>
    <v>HUF</v>
    <v>2.9870000000000001E-3</v>
    <v>Currency Pair</v>
    <v>45957.217800925922</v>
    <v>2.98E-3</v>
    <v>Hungarian Forint/US Dollar FX Cross Rate</v>
    <v>2.9789999999999999E-3</v>
    <v>2.9789999999999999E-3</v>
    <v>2.9789999999999999E-3</v>
    <v>HUFUSD</v>
    <v>HUF/USD</v>
  </rv>
  <rv s="9">
    <v>3524</v>
  </rv>
  <rv s="4">
    <v>https://www.bing.com/financeapi/forcetrigger?t=a1mou2&amp;q=XNAS%3aAAPL&amp;form=skydnc</v>
    <v>Learn more on Bing</v>
  </rv>
  <rv s="10">
    <v>en-IN</v>
    <v>a1mou2</v>
    <v>268435456</v>
    <v>1</v>
    <v>Powered by Refinitiv</v>
    <v>46</v>
    <v>APPLE INC. (XNAS:AAPL)</v>
    <v>47</v>
    <v>48</v>
    <v>Finance</v>
    <v>49</v>
    <v>265.29000000000002</v>
    <v>169.21010000000001</v>
    <v>1.0834999999999999</v>
    <v>3.24</v>
    <v>6.8490000000000001E-4</v>
    <v>1.2482E-2</v>
    <v>0.18</v>
    <v>USD</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Nasdaq Stock Market</v>
    <v>XNAS</v>
    <v>XNAS</v>
    <v>One Apple Park Way, CUPERTINO, CA, 95014 US</v>
    <v>264.13</v>
    <v>Computers, Phones &amp; Household Electronics</v>
    <v>Stock</v>
    <v>45954.999963008595</v>
    <v>3526</v>
    <v>259.18</v>
    <v>3835499000000</v>
    <v>APPLE INC.</v>
    <v>APPLE INC.</v>
    <v>261.19</v>
    <v>36.249400000000001</v>
    <v>259.58</v>
    <v>262.82</v>
    <v>263</v>
    <v>14840390000</v>
    <v>AAPL</v>
    <v>APPLE INC. (XNAS:AAPL)</v>
    <v>38253717</v>
    <v>52650930</v>
    <v>1977</v>
  </rv>
  <rv s="9">
    <v>3527</v>
  </rv>
  <rv s="0">
    <v>536870912</v>
    <v>Nigeria</v>
    <v>f8afbbd6-9c3e-02be-7cb2-eac695e2da02</v>
    <v>en-IN</v>
    <v>Map</v>
  </rv>
  <rv s="1">
    <fb>0.77736420830725605</fb>
    <v>24</v>
  </rv>
  <rv s="1">
    <fb>923768</fb>
    <v>25</v>
  </rv>
  <rv s="1">
    <fb>215000</fb>
    <v>25</v>
  </rv>
  <rv s="1">
    <fb>37.905000000000001</fb>
    <v>26</v>
  </rv>
  <rv s="1">
    <fb>234</fb>
    <v>27</v>
  </rv>
  <rv s="0">
    <v>536870912</v>
    <v>Abuja</v>
    <v>c82a7acc-0007-36fc-7343-e970618e072d</v>
    <v>en-IN</v>
    <v>Map</v>
  </rv>
  <rv s="1">
    <fb>120369.27499999999</fb>
    <v>25</v>
  </rv>
  <rv s="1">
    <fb>267.51151513417602</fb>
    <v>28</v>
  </rv>
  <rv s="1">
    <fb>0.113967949687168</fb>
    <v>24</v>
  </rv>
  <rv s="1">
    <fb>144.525462223266</fb>
    <v>25</v>
  </rv>
  <rv s="1">
    <fb>5.3869999999999996</fb>
    <v>26</v>
  </rv>
  <rv s="1">
    <fb>7.2283890579880203E-2</fb>
    <v>24</v>
  </rv>
  <rv s="1">
    <fb>18.876766756620999</fb>
    <v>29</v>
  </rv>
  <rv s="1">
    <fb>0.46</fb>
    <v>30</v>
  </rv>
  <rv s="1">
    <fb>448120428858.76898</fb>
    <v>31</v>
  </rv>
  <rv s="1">
    <fb>0.84725640000000002</fb>
    <v>24</v>
  </rv>
  <rv s="1">
    <fb>0.1017443</fb>
    <v>24</v>
  </rv>
  <rv s="2">
    <v>106</v>
    <v>22</v>
    <v>587</v>
    <v>7</v>
    <v>0</v>
    <v>Image of Nigeria</v>
  </rv>
  <rv s="1">
    <fb>75.7</fb>
    <v>29</v>
  </rv>
  <rv s="0">
    <v>536870912</v>
    <v>Lagos</v>
    <v>f9b45ba3-39cb-62a0-eb5c-1209a05fb3da</v>
    <v>en-IN</v>
    <v>Map</v>
  </rv>
  <rv s="0">
    <v>805306368</v>
    <v>Bola Tinubu (President)</v>
    <v>0bab946b-fc6e-b461-0758-014e137942c4</v>
    <v>en-IN</v>
    <v>Generic</v>
  </rv>
  <rv s="0">
    <v>805306368</v>
    <v>Kashim Shettima (Vice president)</v>
    <v>c19ad62c-de0d-617d-28ae-10ab8db975f8</v>
    <v>en-IN</v>
    <v>Generic</v>
  </rv>
  <rv s="0">
    <v>805306368</v>
    <v>Tajudeen Abbas (Speaker)</v>
    <v>d3886a52-f1ee-65f9-9ef4-fdfa53130483</v>
    <v>en-IN</v>
    <v>Generic</v>
  </rv>
  <rv s="0">
    <v>805306368</v>
    <v>Olukayode Ariwoola (Chief justice)</v>
    <v>18742ddc-a7ec-f278-6577-7c548cba250d</v>
    <v>en-IN</v>
    <v>Generic</v>
  </rv>
  <rv s="3">
    <v>192</v>
  </rv>
  <rv s="4">
    <v>https://www.bing.com/search?q=nigeria&amp;form=skydnc</v>
    <v>Learn more on Bing</v>
  </rv>
  <rv s="1">
    <fb>54.332000000000001</fb>
    <v>29</v>
  </rv>
  <rv s="1">
    <fb>43921600000</fb>
    <v>31</v>
  </rv>
  <rv s="1">
    <fb>917</fb>
    <v>29</v>
  </rv>
  <rv s="1">
    <fb>0.72238616980000003</fb>
    <v>24</v>
  </rv>
  <rv s="1">
    <fb>0.38059999999999999</fb>
    <v>26</v>
  </rv>
  <rv s="1">
    <fb>218541212</fb>
    <v>25</v>
  </rv>
  <rv s="1">
    <fb>0.49</fb>
    <v>24</v>
  </rv>
  <rv s="1">
    <fb>9.6999999999999989E-2</fb>
    <v>24</v>
  </rv>
  <rv s="1">
    <fb>0.14400000000000002</fb>
    <v>24</v>
  </rv>
  <rv s="1">
    <fb>0.52907001495361294</fb>
    <v>24</v>
  </rv>
  <rv s="0">
    <v>536870912</v>
    <v>Abia State</v>
    <v>69b8a646-2ce1-bbd4-2133-6a3e8ccd7216</v>
    <v>en-IN</v>
    <v>Map</v>
  </rv>
  <rv s="0">
    <v>536870912</v>
    <v>Adamawa State</v>
    <v>89e5889b-a771-6d19-8318-bdbc1b461471</v>
    <v>en-IN</v>
    <v>Map</v>
  </rv>
  <rv s="0">
    <v>536870912</v>
    <v>Akwa Ibom State</v>
    <v>db375712-d1b5-7800-f3bf-f5682e9c4b9f</v>
    <v>en-IN</v>
    <v>Map</v>
  </rv>
  <rv s="0">
    <v>536870912</v>
    <v>Anambra State</v>
    <v>a4e8fb7a-e9a1-e893-4f70-23580f99b653</v>
    <v>en-IN</v>
    <v>Map</v>
  </rv>
  <rv s="0">
    <v>536870912</v>
    <v>Bauchi State</v>
    <v>72aa6eb8-97d7-2620-c490-937972d163b7</v>
    <v>en-IN</v>
    <v>Map</v>
  </rv>
  <rv s="0">
    <v>536870912</v>
    <v>Bayelsa State</v>
    <v>df2489d2-29f0-e5cd-4972-a1eae029e08e</v>
    <v>en-IN</v>
    <v>Map</v>
  </rv>
  <rv s="0">
    <v>536870912</v>
    <v>Benue State</v>
    <v>da448603-05b5-1cc7-5b90-e2f74bcb7e4b</v>
    <v>en-IN</v>
    <v>Map</v>
  </rv>
  <rv s="0">
    <v>536870912</v>
    <v>Borno State</v>
    <v>f2c07e45-570f-e47c-13ec-ca77b5c8fadc</v>
    <v>en-IN</v>
    <v>Map</v>
  </rv>
  <rv s="0">
    <v>536870912</v>
    <v>Cross River State</v>
    <v>ae57951f-2c0a-25da-f239-0d304fb7957b</v>
    <v>en-IN</v>
    <v>Map</v>
  </rv>
  <rv s="0">
    <v>536870912</v>
    <v>Delta State</v>
    <v>2bf2d4ef-c065-a0b4-022f-0e19dee39b09</v>
    <v>en-IN</v>
    <v>Map</v>
  </rv>
  <rv s="0">
    <v>536870912</v>
    <v>Ebonyi State</v>
    <v>4c7ea440-73b2-dafe-8923-4db635cf8052</v>
    <v>en-IN</v>
    <v>Map</v>
  </rv>
  <rv s="0">
    <v>536870912</v>
    <v>Edo State</v>
    <v>9746883b-174d-225c-3658-96453ede7f6d</v>
    <v>en-IN</v>
    <v>Map</v>
  </rv>
  <rv s="0">
    <v>536870912</v>
    <v>Ekiti State</v>
    <v>0c095d44-2cfe-b1f5-cd64-79be6091a31b</v>
    <v>en-IN</v>
    <v>Map</v>
  </rv>
  <rv s="0">
    <v>536870912</v>
    <v>Enugu State</v>
    <v>3b086e6a-3058-6d2a-de5f-baecb67e0cba</v>
    <v>en-IN</v>
    <v>Map</v>
  </rv>
  <rv s="0">
    <v>536870912</v>
    <v>Gombe State</v>
    <v>c151d028-70dc-772d-4ea0-e039483e1792</v>
    <v>en-IN</v>
    <v>Map</v>
  </rv>
  <rv s="0">
    <v>536870912</v>
    <v>Imo State</v>
    <v>f23675dc-04a2-53d5-4cf1-d0b7dbeb81f0</v>
    <v>en-IN</v>
    <v>Map</v>
  </rv>
  <rv s="0">
    <v>536870912</v>
    <v>Jigawa State</v>
    <v>ad936f43-f8d5-695e-67fe-01235468d235</v>
    <v>en-IN</v>
    <v>Map</v>
  </rv>
  <rv s="0">
    <v>536870912</v>
    <v>Kaduna State</v>
    <v>a7b69a0f-8fdd-f577-c080-676a34d982f5</v>
    <v>en-IN</v>
    <v>Map</v>
  </rv>
  <rv s="0">
    <v>536870912</v>
    <v>Kano State</v>
    <v>2aa68b5e-36e3-9059-a512-620918fc1982</v>
    <v>en-IN</v>
    <v>Map</v>
  </rv>
  <rv s="0">
    <v>536870912</v>
    <v>Katsina State</v>
    <v>1ba9a23e-5c1c-5d07-a6f9-d9dd468364e6</v>
    <v>en-IN</v>
    <v>Map</v>
  </rv>
  <rv s="0">
    <v>536870912</v>
    <v>Kebbi State</v>
    <v>fd975f01-e997-df8c-4f64-1fee0565999f</v>
    <v>en-IN</v>
    <v>Map</v>
  </rv>
  <rv s="0">
    <v>536870912</v>
    <v>Kogi State</v>
    <v>5d30659c-4b14-04f8-8ac5-87b90f387204</v>
    <v>en-IN</v>
    <v>Map</v>
  </rv>
  <rv s="0">
    <v>536870912</v>
    <v>Kwara State</v>
    <v>90b9bd60-65cf-3dfc-cae9-f9b1c9144511</v>
    <v>en-IN</v>
    <v>Map</v>
  </rv>
  <rv s="0">
    <v>536870912</v>
    <v>Lagos State</v>
    <v>6b2d76ff-8165-4482-0d57-dd54baace481</v>
    <v>en-IN</v>
    <v>Map</v>
  </rv>
  <rv s="0">
    <v>536870912</v>
    <v>Nasarawa State</v>
    <v>54e320be-1f01-765f-270a-0e37cfc1e3d3</v>
    <v>en-IN</v>
    <v>Map</v>
  </rv>
  <rv s="0">
    <v>536870912</v>
    <v>Niger State</v>
    <v>5aaa0ce5-04d0-4e26-26b1-0e9999d947b5</v>
    <v>en-IN</v>
    <v>Map</v>
  </rv>
  <rv s="0">
    <v>536870912</v>
    <v>Ogun State</v>
    <v>89c68e8c-3fbe-ea3a-5b78-bbe7a4b8a425</v>
    <v>en-IN</v>
    <v>Map</v>
  </rv>
  <rv s="0">
    <v>536870912</v>
    <v>Ondo State</v>
    <v>74a24d20-a917-b2f1-c213-f1e7d4e97b6b</v>
    <v>en-IN</v>
    <v>Map</v>
  </rv>
  <rv s="0">
    <v>536870912</v>
    <v>Osun State</v>
    <v>2c145d0d-29b4-3b0c-65ca-7da5ed30592a</v>
    <v>en-IN</v>
    <v>Map</v>
  </rv>
  <rv s="0">
    <v>536870912</v>
    <v>Oyo State</v>
    <v>712d990a-9716-897a-2f3f-75a7abe71338</v>
    <v>en-IN</v>
    <v>Map</v>
  </rv>
  <rv s="0">
    <v>536870912</v>
    <v>Plateau State</v>
    <v>1553fa7c-b7d1-d2b8-d1fa-0d027642e02e</v>
    <v>en-IN</v>
    <v>Map</v>
  </rv>
  <rv s="0">
    <v>536870912</v>
    <v>Rivers State</v>
    <v>89671e89-503e-c579-0555-aa21f65a113c</v>
    <v>en-IN</v>
    <v>Map</v>
  </rv>
  <rv s="0">
    <v>536870912</v>
    <v>Sokoto State</v>
    <v>8cef5263-b25e-1f7a-dcc4-b85f5a2d81f4</v>
    <v>en-IN</v>
    <v>Map</v>
  </rv>
  <rv s="0">
    <v>536870912</v>
    <v>Taraba State</v>
    <v>ab8e951e-d2de-b17d-556a-131a8a77c6e8</v>
    <v>en-IN</v>
    <v>Map</v>
  </rv>
  <rv s="0">
    <v>536870912</v>
    <v>Yobe State</v>
    <v>2daeda9e-391e-81ce-fbc9-6f5a21e532eb</v>
    <v>en-IN</v>
    <v>Map</v>
  </rv>
  <rv s="0">
    <v>536870912</v>
    <v>Zamfara State</v>
    <v>67d27c6a-27da-4f16-656d-b93176fee807</v>
    <v>en-IN</v>
    <v>Map</v>
  </rv>
  <rv s="0">
    <v>536870912</v>
    <v>Federal Capital Territory</v>
    <v>58b26f4f-fe98-5f41-4126-771b8d675bec</v>
    <v>en-IN</v>
    <v>Map</v>
  </rv>
  <rv s="3">
    <v>193</v>
  </rv>
  <rv s="1">
    <fb>1.4825336684568799E-2</fb>
    <v>24</v>
  </rv>
  <rv s="1">
    <fb>0.34799999999999998</fb>
    <v>24</v>
  </rv>
  <rv s="1">
    <fb>8.0959997177124002E-2</fb>
    <v>32</v>
  </rv>
  <rv s="1">
    <fb>102806948</fb>
    <v>25</v>
  </rv>
  <rv s="19">
    <v>#VALUE!</v>
    <v>en-IN</v>
    <v>f8afbbd6-9c3e-02be-7cb2-eac695e2da02</v>
    <v>536870912</v>
    <v>1</v>
    <v>590</v>
    <v>105</v>
    <v>Nigeria</v>
    <v>20</v>
    <v>21</v>
    <v>Map</v>
    <v>22</v>
    <v>591</v>
    <v>NG</v>
    <v>3530</v>
    <v>3531</v>
    <v>3532</v>
    <v>3533</v>
    <v>3534</v>
    <v>3535</v>
    <v>3536</v>
    <v>3537</v>
    <v>3538</v>
    <v>NGN</v>
    <v>Nigeria, officially the Federal Republic of Nigeria, is a country in West Africa. It is situated between the Sahel to the north and the Gulf of Guinea to the south in the Atlantic Ocean. It covers an area of 923,769 square kilometres, and with a ...</v>
    <v>3539</v>
    <v>3540</v>
    <v>3541</v>
    <v>3542</v>
    <v>3543</v>
    <v>3544</v>
    <v>3545</v>
    <v>3546</v>
    <v>3547</v>
    <v>3548</v>
    <v>3549</v>
    <v>3554</v>
    <v>3555</v>
    <v>3556</v>
    <v>3557</v>
    <v>3558</v>
    <v>3018</v>
    <v>Nigeria</v>
    <v>Arise, O Compatriots</v>
    <v>1974</v>
    <v>Federal Republic of Nigeria</v>
    <v>3559</v>
    <v>3560</v>
    <v>3561</v>
    <v>1734</v>
    <v>1027</v>
    <v>3562</v>
    <v>2488</v>
    <v>2489</v>
    <v>3563</v>
    <v>3564</v>
    <v>3565</v>
    <v>3603</v>
    <v>3604</v>
    <v>3605</v>
    <v>3606</v>
    <v>Nigeria</v>
    <v>3607</v>
    <v>mdp/vdpid/175</v>
  </rv>
  <rv s="1">
    <fb>713</fb>
    <v>25</v>
  </rv>
  <rv s="2">
    <v>107</v>
    <v>22</v>
    <v>593</v>
    <v>7</v>
    <v>0</v>
    <v>Image of Abuja</v>
  </rv>
  <rv s="1">
    <fb>9.0555555555555998</fb>
    <v>37</v>
  </rv>
  <rv s="4">
    <v>https://www.bing.com/search?q=abuja&amp;form=skydnc</v>
    <v>Learn more on Bing</v>
  </rv>
  <rv s="1">
    <fb>7.4913888888889</fb>
    <v>37</v>
  </rv>
  <rv s="1">
    <fb>1568853</fb>
    <v>25</v>
  </rv>
  <rv s="64">
    <v>#VALUE!</v>
    <v>en-IN</v>
    <v>c82a7acc-0007-36fc-7343-e970618e072d</v>
    <v>536870912</v>
    <v>1</v>
    <v>594</v>
    <v>595</v>
    <v>Abuja</v>
    <v>393</v>
    <v>21</v>
    <v>Map</v>
    <v>22</v>
    <v>153</v>
    <v>3602</v>
    <v>3609</v>
    <v>3529</v>
    <v>Abuja is the capital and eighth most populous city of Nigeria. Situated at the centre of the country within the Federal Capital Territory, it is a planned city built mainly in the 1980s based on a master plan by International Planning ...</v>
    <v>3610</v>
    <v>3611</v>
    <v>3612</v>
    <v>3613</v>
    <v>Abuja</v>
    <v>3614</v>
    <v>Abuja</v>
  </rv>
  <rv s="1">
    <fb>1171.28</fb>
    <v>25</v>
  </rv>
  <rv s="2">
    <v>108</v>
    <v>22</v>
    <v>596</v>
    <v>7</v>
    <v>0</v>
    <v>Image of Lagos</v>
  </rv>
  <rv s="1">
    <fb>6.45</fb>
    <v>37</v>
  </rv>
  <rv s="0">
    <v>805306368</v>
    <v>Femi Hamzat (Deputy Governor)</v>
    <v>8e2031a4-e932-84fb-0642-8706513e4fab</v>
    <v>en-IN</v>
    <v>Generic</v>
  </rv>
  <rv s="3">
    <v>194</v>
  </rv>
  <rv s="4">
    <v>https://www.bing.com/search?q=lagos+nigeria&amp;form=skydnc</v>
    <v>Learn more on Bing</v>
  </rv>
  <rv s="1">
    <fb>3.4</fb>
    <v>37</v>
  </rv>
  <rv s="1">
    <fb>15070000</fb>
    <v>25</v>
  </rv>
  <rv s="14">
    <v>#VALUE!</v>
    <v>en-IN</v>
    <v>f9b45ba3-39cb-62a0-eb5c-1209a05fb3da</v>
    <v>536870912</v>
    <v>1</v>
    <v>597</v>
    <v>82</v>
    <v>Lagos</v>
    <v>20</v>
    <v>21</v>
    <v>Map</v>
    <v>22</v>
    <v>94</v>
    <v>3589</v>
    <v>3616</v>
    <v>3529</v>
    <v>Lagos or Lagos City is the most populous city in Nigeria, with an estimated population of 21 million in 2015. The estimated population for Lagos was more than 26 million in 2023; and around 30 million for the Lagos metropolitan area. Lagos is ...</v>
    <v>3617</v>
    <v>3618</v>
    <v>3620</v>
    <v>3621</v>
    <v>3622</v>
    <v>Lagos</v>
    <v>3623</v>
    <v>Lagos</v>
    <v>mdp/vdpid/7297835138170224641</v>
  </rv>
  <rv s="2">
    <v>106</v>
    <v>22</v>
    <v>587</v>
    <v>3</v>
    <v>0</v>
    <v>Image of Nigeria</v>
  </rv>
  <rv s="8">
    <v>en-IN</v>
    <v>avyoh7</v>
    <v>268435456</v>
    <v>1</v>
    <v>Powered by Refinitiv</v>
    <v>42</v>
    <v>USD/ILS</v>
    <v>43</v>
    <v>598</v>
    <v>Finance</v>
    <v>45</v>
    <v>3.8363</v>
    <v>3.2345000000000002</v>
    <v>-2.3E-3</v>
    <v>-7.0250000000000011E-4</v>
    <v>ILS</v>
    <v>USD</v>
    <v>3.2730000000000001</v>
    <v>Currency Pair</v>
    <v>45957.217060185183</v>
    <v>3.2709999999999999</v>
    <v>US Dollar/Israeli Shekel FX Spot Rate</v>
    <v>3.2686999999999999</v>
    <v>3.2738</v>
    <v>3.2715000000000001</v>
    <v>USDILS</v>
    <v>USD/ILS</v>
  </rv>
  <rv s="9">
    <v>3626</v>
  </rv>
  <rv s="0">
    <v>536870912</v>
    <v>North Korea</v>
    <v>70c7ed0d-5dca-f7cc-34bb-5ae867fd452f</v>
    <v>en-IN</v>
    <v>Map</v>
  </rv>
  <rv s="1">
    <fb>0.218420396976995</fb>
    <v>24</v>
  </rv>
  <rv s="1">
    <fb>120540</fb>
    <v>25</v>
  </rv>
  <rv s="1">
    <fb>1469000</fb>
    <v>25</v>
  </rv>
  <rv s="1">
    <fb>13.89</fb>
    <v>26</v>
  </rv>
  <rv s="1">
    <fb>850</fb>
    <v>27</v>
  </rv>
  <rv s="0">
    <v>536870912</v>
    <v>Pyongyang</v>
    <v>095320b9-78d4-c400-4d94-1076b17f187a</v>
    <v>en-IN</v>
    <v>Map</v>
  </rv>
  <rv s="1">
    <fb>28283.571</fb>
    <v>25</v>
  </rv>
  <rv s="1">
    <fb>601.69004785425295</fb>
    <v>25</v>
  </rv>
  <rv s="1">
    <fb>1.9039999999999999</fb>
    <v>26</v>
  </rv>
  <rv s="1">
    <fb>0.407275143260527</fb>
    <v>24</v>
  </rv>
  <rv s="1">
    <fb>62.051994763566697</fb>
    <v>29</v>
  </rv>
  <rv s="1">
    <fb>0.57999999999999996</fb>
    <v>30</v>
  </rv>
  <rv s="1">
    <fb>32100000000</fb>
    <v>31</v>
  </rv>
  <rv s="1">
    <fb>1.1277927999999999</fb>
    <v>24</v>
  </rv>
  <rv s="1">
    <fb>0.2702157</fb>
    <v>24</v>
  </rv>
  <rv s="2">
    <v>109</v>
    <v>22</v>
    <v>600</v>
    <v>7</v>
    <v>0</v>
    <v>Image of North Korea</v>
  </rv>
  <rv s="1">
    <fb>13.7</fb>
    <v>29</v>
  </rv>
  <rv s="0">
    <v>805306368</v>
    <v>Kim Jong Un (General secretary)</v>
    <v>d57eabf0-daef-45bf-ba07-2cf9b6b1a94b</v>
    <v>en-IN</v>
    <v>Generic</v>
  </rv>
  <rv s="0">
    <v>805306368</v>
    <v>Kim Jong Un (President)</v>
    <v>d57eabf0-daef-45bf-ba07-2cf9b6b1a94b</v>
    <v>en-IN</v>
    <v>Generic</v>
  </rv>
  <rv s="0">
    <v>805306368</v>
    <v>Kim Tok Hun (Premier)</v>
    <v>5113b53e-f8f8-c8ec-18d2-346218717970</v>
    <v>en-IN</v>
    <v>Generic</v>
  </rv>
  <rv s="3">
    <v>195</v>
  </rv>
  <rv s="4">
    <v>https://www.bing.com/search?q=north+korea&amp;form=skydnc</v>
    <v>Learn more on Bing</v>
  </rv>
  <rv s="1">
    <fb>72.094999999999999</fb>
    <v>29</v>
  </rv>
  <rv s="1">
    <fb>89</fb>
    <v>29</v>
  </rv>
  <rv s="3">
    <v>196</v>
  </rv>
  <rv s="1">
    <fb>3.6745000000000001</fb>
    <v>26</v>
  </rv>
  <rv s="1">
    <fb>26069416</fb>
    <v>25</v>
  </rv>
  <rv s="1">
    <fb>0.80370002746582003</fb>
    <v>24</v>
  </rv>
  <rv s="0">
    <v>536870912</v>
    <v>South Pyongan Province</v>
    <v>6e9c5823-1b93-0e95-2268-42b399f10059</v>
    <v>en-IN</v>
    <v>Map</v>
  </rv>
  <rv s="0">
    <v>536870912</v>
    <v>North Pyongan Province</v>
    <v>43129a62-1940-d975-587d-4bd82d022cc8</v>
    <v>en-IN</v>
    <v>Map</v>
  </rv>
  <rv s="0">
    <v>536870912</v>
    <v>Chagang Province</v>
    <v>fbfb4096-0369-32b4-6fff-1f388d93fbc0</v>
    <v>en-IN</v>
    <v>Map</v>
  </rv>
  <rv s="0">
    <v>536870912</v>
    <v>South Hwanghae Province</v>
    <v>9c2bdbb7-3c25-8e4f-ee18-adc019702044</v>
    <v>en-IN</v>
    <v>Map</v>
  </rv>
  <rv s="0">
    <v>536870912</v>
    <v>North Hwanghae Province</v>
    <v>a8eda1ec-9a17-fe44-ebd5-c1962063104f</v>
    <v>en-IN</v>
    <v>Map</v>
  </rv>
  <rv s="0">
    <v>536870912</v>
    <v>Kangwon Province</v>
    <v>aaa3d519-15c9-0a79-3422-9bf41158cae0</v>
    <v>en-IN</v>
    <v>Map</v>
  </rv>
  <rv s="0">
    <v>536870912</v>
    <v>South Hamgyong Province</v>
    <v>b8285b7a-4943-8027-52af-e40a076bb4e0</v>
    <v>en-IN</v>
    <v>Map</v>
  </rv>
  <rv s="0">
    <v>536870912</v>
    <v>North Hamgyong Province</v>
    <v>3c625d6a-4332-51c4-5f83-46d52be20ef3</v>
    <v>en-IN</v>
    <v>Map</v>
  </rv>
  <rv s="0">
    <v>536870912</v>
    <v>Ryanggang Province</v>
    <v>629cf9d1-8c89-877f-8ce5-bab4d78c2d91</v>
    <v>en-IN</v>
    <v>Map</v>
  </rv>
  <rv s="0">
    <v>536870912</v>
    <v>Rason</v>
    <v>93d23b53-cde8-1a54-d5aa-0cdcb78b1e15</v>
    <v>en-IN</v>
    <v>Map</v>
  </rv>
  <rv s="0">
    <v>536870912</v>
    <v>Nampho</v>
    <v>e5efa20e-5406-5f63-655c-ee130176b513</v>
    <v>en-IN</v>
    <v>Map</v>
  </rv>
  <rv s="3">
    <v>197</v>
  </rv>
  <rv s="1">
    <fb>2.7400000095367402E-2</fb>
    <v>32</v>
  </rv>
  <rv s="1">
    <fb>15947412</fb>
    <v>25</v>
  </rv>
  <rv s="65">
    <v>#VALUE!</v>
    <v>en-IN</v>
    <v>70c7ed0d-5dca-f7cc-34bb-5ae867fd452f</v>
    <v>536870912</v>
    <v>1</v>
    <v>604</v>
    <v>605</v>
    <v>North Korea</v>
    <v>20</v>
    <v>21</v>
    <v>Map</v>
    <v>22</v>
    <v>606</v>
    <v>KP</v>
    <v>3629</v>
    <v>3630</v>
    <v>3631</v>
    <v>3632</v>
    <v>3633</v>
    <v>3634</v>
    <v>3635</v>
    <v>KPW</v>
    <v>North Korea, officially the Democratic People's Republic of Korea, is a country in East Asia. It constitutes the northern half of the Korean Peninsula and borders China and Russia to the north at the Yalu and Tumen rivers, and South Korea to the ...</v>
    <v>3636</v>
    <v>3637</v>
    <v>3638</v>
    <v>3639</v>
    <v>3640</v>
    <v>3641</v>
    <v>3642</v>
    <v>3643</v>
    <v>3644</v>
    <v>3645</v>
    <v>3634</v>
    <v>3649</v>
    <v>3650</v>
    <v>3651</v>
    <v>3652</v>
    <v>North Korea</v>
    <v>Aegukka</v>
    <v>3653</v>
    <v>조선민주주의인민공화국</v>
    <v>3654</v>
    <v>3655</v>
    <v>3656</v>
    <v>3668</v>
    <v>3669</v>
    <v>North Korea</v>
    <v>3670</v>
    <v>mdp/vdpid/131</v>
  </rv>
  <rv s="1">
    <fb>3194</fb>
    <v>25</v>
  </rv>
  <rv s="0">
    <v>536870912</v>
    <v>Korea under Japanese rule</v>
    <v>362999d1-9c14-c4f5-53ea-76ab0766f3f5</v>
    <v>en-IN</v>
    <v>Map</v>
  </rv>
  <rv s="2">
    <v>110</v>
    <v>22</v>
    <v>607</v>
    <v>7</v>
    <v>0</v>
    <v>Image of Pyongyang</v>
  </rv>
  <rv s="4">
    <v>https://www.bing.com/search?q=pyongyang&amp;form=skydnc</v>
    <v>Learn more on Bing</v>
  </rv>
  <rv s="1">
    <fb>2863000</fb>
    <v>25</v>
  </rv>
  <rv s="26">
    <v>#VALUE!</v>
    <v>en-IN</v>
    <v>095320b9-78d4-c400-4d94-1076b17f187a</v>
    <v>536870912</v>
    <v>1</v>
    <v>609</v>
    <v>166</v>
    <v>Pyongyang</v>
    <v>20</v>
    <v>21</v>
    <v>Map</v>
    <v>22</v>
    <v>153</v>
    <v>KP-01</v>
    <v>3672</v>
    <v>3673</v>
    <v>Pyongyang is the capital and largest city of North Korea, where it is sometimes labeled as the "Capital of the Revolution". Pyongyang is located on the Taedong River about 109 km upstream from its mouth on the Yellow Sea. According to the 2008 ...</v>
    <v>3674</v>
    <v>3675</v>
    <v>Pyongyang</v>
    <v>3676</v>
    <v>Pyongyang</v>
    <v>mdp/vdpid/7831929550123565057</v>
  </rv>
  <rv s="2">
    <v>109</v>
    <v>22</v>
    <v>600</v>
    <v>3</v>
    <v>0</v>
    <v>Image of North Korea</v>
  </rv>
  <rv s="8">
    <v>en-IN</v>
    <v>avdm9c</v>
    <v>268435456</v>
    <v>1</v>
    <v>Powered by Refinitiv</v>
    <v>42</v>
    <v>ILS/USD</v>
    <v>43</v>
    <v>62</v>
    <v>Finance</v>
    <v>45</v>
    <v>0.30890000000000001</v>
    <v>0.26</v>
    <v>4.84E-4</v>
    <v>1.5890000000000001E-3</v>
    <v>USD</v>
    <v>ILS</v>
    <v>0.30570000000000003</v>
    <v>Currency Pair</v>
    <v>45957.217060185183</v>
    <v>0.30549999999999999</v>
    <v>Israeli Shekel/US Dollar FX Cross Rate</v>
    <v>0.3049</v>
    <v>0.30459999999999998</v>
    <v>0.30509999999999998</v>
    <v>ILSUSD</v>
    <v>ILS/USD</v>
  </rv>
  <rv s="9">
    <v>3679</v>
  </rv>
  <rv s="4">
    <v>https://www.bing.com/financeapi/forcetrigger?t=a1o4ec&amp;q=XNYS%3aBA&amp;form=skydnc</v>
    <v>Learn more on Bing</v>
  </rv>
  <rv s="27">
    <v>en-IN</v>
    <v>a1o4ec</v>
    <v>268435456</v>
    <v>1</v>
    <v>Powered by Refinitiv</v>
    <v>167</v>
    <v>THE BOEING COMPANY (XNYS:BA)</v>
    <v>47</v>
    <v>168</v>
    <v>Finance</v>
    <v>49</v>
    <v>242.68989999999999</v>
    <v>128.8801</v>
    <v>1.4432</v>
    <v>3.58</v>
    <v>6.7769999999999994E-4</v>
    <v>1.6438999999999999E-2</v>
    <v>0.15</v>
    <v>USD</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172000</v>
    <v>New York Stock Exchange</v>
    <v>XNYS</v>
    <v>XNYS</v>
    <v>929 Long Bridge Drive, ARLINGTON, VA, 22202 US</v>
    <v>221.74</v>
    <v>Aerospace &amp; Defense</v>
    <v>Stock</v>
    <v>45954.999847233594</v>
    <v>3681</v>
    <v>218.51</v>
    <v>163776200000</v>
    <v>THE BOEING COMPANY</v>
    <v>THE BOEING COMPANY</v>
    <v>219.04</v>
    <v>217.77</v>
    <v>221.35</v>
    <v>221.5</v>
    <v>756157700</v>
    <v>BA</v>
    <v>THE BOEING COMPANY (XNYS:BA)</v>
    <v>5238106</v>
    <v>8010287</v>
    <v>1934</v>
  </rv>
  <rv s="9">
    <v>3682</v>
  </rv>
  <rv s="0">
    <v>536870912</v>
    <v>North Macedonia</v>
    <v>d33b7a6b-3c3e-ee43-7793-52058921000a</v>
    <v>en-IN</v>
    <v>Map</v>
  </rv>
  <rv s="1">
    <fb>25713</fb>
    <v>25</v>
  </rv>
  <rv s="1">
    <fb>389</fb>
    <v>27</v>
  </rv>
  <rv s="0">
    <v>536870912</v>
    <v>Skopje</v>
    <v>1801752c-771c-78d5-76fc-41b82750ecfe</v>
    <v>en-IN</v>
    <v>Map</v>
  </rv>
  <rv s="1">
    <fb>10220781069</fb>
    <v>31</v>
  </rv>
  <rv s="2">
    <v>111</v>
    <v>22</v>
    <v>611</v>
    <v>7</v>
    <v>0</v>
    <v>Image of North Macedonia</v>
  </rv>
  <rv s="0">
    <v>805306368</v>
    <v>Stevo Pendarovski (President)</v>
    <v>68b2df1d-e128-4a59-6d3a-5337f5948dee</v>
    <v>en-IN</v>
    <v>Generic</v>
  </rv>
  <rv s="0">
    <v>805306368</v>
    <v>Dimitar Kovačevski (Prime minister)</v>
    <v>e5ce669d-cb3a-f539-b9fa-dc0e4618bd5c</v>
    <v>en-IN</v>
    <v>Generic</v>
  </rv>
  <rv s="3">
    <v>198</v>
  </rv>
  <rv s="4">
    <v>https://www.bing.com/search?q=republic+of+macedonia&amp;form=skydnc</v>
    <v>Learn more on Bing</v>
  </rv>
  <rv s="3">
    <v>199</v>
  </rv>
  <rv s="1">
    <fb>0.355695926</fb>
    <v>24</v>
  </rv>
  <rv s="1">
    <fb>2057679</fb>
    <v>25</v>
  </rv>
  <rv s="0">
    <v>536870912</v>
    <v>Berovo Municipality</v>
    <v>3f2bb898-b4da-3c1a-a75d-ace5e48f91dd</v>
    <v>en-IN</v>
    <v>Map</v>
  </rv>
  <rv s="0">
    <v>536870912</v>
    <v>Češinovo-Obleševo Municipality</v>
    <v>b763f1e4-a0e5-b109-1e56-a0b1b13d94de</v>
    <v>en-IN</v>
    <v>Map</v>
  </rv>
  <rv s="0">
    <v>536870912</v>
    <v>Delčevo Municipality</v>
    <v>8fe5293a-b9f8-ace2-6ac4-38cc583e659f</v>
    <v>en-IN</v>
    <v>Map</v>
  </rv>
  <rv s="0">
    <v>536870912</v>
    <v>Karbinci Municipality</v>
    <v>6436bd0a-983e-463a-c758-a597a02b3be9</v>
    <v>en-IN</v>
    <v>Map</v>
  </rv>
  <rv s="0">
    <v>536870912</v>
    <v>Kočani Municipality</v>
    <v>c6d6c880-1cdb-9483-04a7-0b477531146c</v>
    <v>en-IN</v>
    <v>Map</v>
  </rv>
  <rv s="0">
    <v>536870912</v>
    <v>Kratovo Municipality</v>
    <v>dd25066b-c30d-b2be-4200-a0accc71c351</v>
    <v>en-IN</v>
    <v>Map</v>
  </rv>
  <rv s="0">
    <v>536870912</v>
    <v>Kriva Palanka Municipality</v>
    <v>8fb81fad-fe93-a929-4d70-8b2c783ed78d</v>
    <v>en-IN</v>
    <v>Map</v>
  </rv>
  <rv s="0">
    <v>536870912</v>
    <v>Kumanovo Municipality</v>
    <v>7c6377e7-2d34-9aae-0720-60021a233de7</v>
    <v>en-IN</v>
    <v>Map</v>
  </rv>
  <rv s="0">
    <v>536870912</v>
    <v>Lozovo Municipality</v>
    <v>5877fa90-d22e-760a-4c68-14af66cc773c</v>
    <v>en-IN</v>
    <v>Map</v>
  </rv>
  <rv s="0">
    <v>536870912</v>
    <v>Makedonska Kamenica Municipality</v>
    <v>cb948ed7-e751-c84e-da61-e797e4fed171</v>
    <v>en-IN</v>
    <v>Map</v>
  </rv>
  <rv s="0">
    <v>536870912</v>
    <v>Pehčevo Municipality</v>
    <v>44cddf87-a0e5-d549-45d8-dfe75a973432</v>
    <v>en-IN</v>
    <v>Map</v>
  </rv>
  <rv s="0">
    <v>536870912</v>
    <v>Probištip Municipality</v>
    <v>6d564c70-b76e-4935-a432-aa7a38cb9b8f</v>
    <v>en-IN</v>
    <v>Map</v>
  </rv>
  <rv s="0">
    <v>536870912</v>
    <v>Štip Municipality</v>
    <v>e606d52a-e423-190d-4535-08daeebeea91</v>
    <v>en-IN</v>
    <v>Map</v>
  </rv>
  <rv s="0">
    <v>536870912</v>
    <v>Sveti Nikole Municipality</v>
    <v>e33efcd0-450b-abbc-feb1-c6aff2869edb</v>
    <v>en-IN</v>
    <v>Map</v>
  </rv>
  <rv s="0">
    <v>536870912</v>
    <v>Vinica Municipality</v>
    <v>b45f3e9b-d061-e747-0832-4657071942ad</v>
    <v>en-IN</v>
    <v>Map</v>
  </rv>
  <rv s="0">
    <v>536870912</v>
    <v>Zrnovci Municipality</v>
    <v>a83d4ba2-31fd-36ec-9298-03f37af866f9</v>
    <v>en-IN</v>
    <v>Map</v>
  </rv>
  <rv s="0">
    <v>536870912</v>
    <v>Lipkovo Municipality</v>
    <v>f4c9bda6-940b-462a-0153-9bf8240ec32d</v>
    <v>en-IN</v>
    <v>Map</v>
  </rv>
  <rv s="0">
    <v>536870912</v>
    <v>Rankovce Municipality</v>
    <v>bb185451-a36a-2e24-d330-576bb2e5bf10</v>
    <v>en-IN</v>
    <v>Map</v>
  </rv>
  <rv s="0">
    <v>536870912</v>
    <v>Staro Nagoričane Municipality</v>
    <v>36a70229-634d-da34-10a0-b3b484e6c85f</v>
    <v>en-IN</v>
    <v>Map</v>
  </rv>
  <rv s="0">
    <v>536870912</v>
    <v>Bitola Municipality</v>
    <v>27c3d35b-dc09-df20-8f64-98e12919b8de</v>
    <v>en-IN</v>
    <v>Map</v>
  </rv>
  <rv s="0">
    <v>536870912</v>
    <v>Demir Hisar Municipality</v>
    <v>a41d7036-44f8-176a-7205-9c9f0f2f0bba</v>
    <v>en-IN</v>
    <v>Map</v>
  </rv>
  <rv s="0">
    <v>536870912</v>
    <v>Dolneni Municipality</v>
    <v>0d28f5da-2d90-1f49-ef3e-b8d4fb3634f0</v>
    <v>en-IN</v>
    <v>Map</v>
  </rv>
  <rv s="0">
    <v>536870912</v>
    <v>Krivogaštani Municipality</v>
    <v>51a11200-f4df-e9fb-71f8-c3b51bfdb2b9</v>
    <v>en-IN</v>
    <v>Map</v>
  </rv>
  <rv s="0">
    <v>536870912</v>
    <v>Kruševo Municipality</v>
    <v>c004d9f6-00dc-2342-3e15-31d51a720b22</v>
    <v>en-IN</v>
    <v>Map</v>
  </rv>
  <rv s="0">
    <v>536870912</v>
    <v>Mogila Municipality</v>
    <v>592e41f4-07c7-4922-12e0-ae1f1022e4b4</v>
    <v>en-IN</v>
    <v>Map</v>
  </rv>
  <rv s="0">
    <v>536870912</v>
    <v>Novaci Municipality</v>
    <v>e8159a29-0733-eba2-e3c2-a09f786e1d5b</v>
    <v>en-IN</v>
    <v>Map</v>
  </rv>
  <rv s="0">
    <v>536870912</v>
    <v>Prilep Municipality</v>
    <v>c89c2cf5-2fd2-4603-96cc-2937dd2859e6</v>
    <v>en-IN</v>
    <v>Map</v>
  </rv>
  <rv s="0">
    <v>536870912</v>
    <v>Resen Municipality</v>
    <v>3c0fc9cd-3015-98a1-6bca-c6623d269b22</v>
    <v>en-IN</v>
    <v>Map</v>
  </rv>
  <rv s="0">
    <v>536870912</v>
    <v>Bogovinje Municipality</v>
    <v>2a2d65ec-4de8-eca7-a7df-260d981a998a</v>
    <v>en-IN</v>
    <v>Map</v>
  </rv>
  <rv s="0">
    <v>536870912</v>
    <v>Jegunovce Municipality</v>
    <v>feee739c-d923-3fc3-c5fc-f3ccc5294f97</v>
    <v>en-IN</v>
    <v>Map</v>
  </rv>
  <rv s="0">
    <v>536870912</v>
    <v>Mavrovo and Rostuša Municipality</v>
    <v>de67644e-46ae-d8b3-db89-599e3d3f054b</v>
    <v>en-IN</v>
    <v>Map</v>
  </rv>
  <rv s="0">
    <v>536870912</v>
    <v>Tearce Municipality</v>
    <v>dc7491ec-5b41-780e-7cab-0a2c7d85ffa7</v>
    <v>en-IN</v>
    <v>Map</v>
  </rv>
  <rv s="0">
    <v>536870912</v>
    <v>Tetovo Municipality</v>
    <v>6df0070f-e1e9-fbfa-1701-c700afa305ef</v>
    <v>en-IN</v>
    <v>Map</v>
  </rv>
  <rv s="0">
    <v>536870912</v>
    <v>Vrapčište Municipality</v>
    <v>1cd9dea6-1031-5c60-af29-ea04633e9959</v>
    <v>en-IN</v>
    <v>Map</v>
  </rv>
  <rv s="0">
    <v>536870912</v>
    <v>Želino Municipality</v>
    <v>49d0d122-5c4c-8b80-1d21-fb40bbfa22a3</v>
    <v>en-IN</v>
    <v>Map</v>
  </rv>
  <rv s="0">
    <v>536870912</v>
    <v>Aerodrom Municipality</v>
    <v>9c852cc4-260d-6936-420a-4ae82254a9b2</v>
    <v>en-IN</v>
    <v>Map</v>
  </rv>
  <rv s="0">
    <v>536870912</v>
    <v>Aračinovo Municipality</v>
    <v>5251121c-7b06-08bc-8340-3efdf2c62562</v>
    <v>en-IN</v>
    <v>Map</v>
  </rv>
  <rv s="0">
    <v>536870912</v>
    <v>Butel Municipality</v>
    <v>4efa6d8e-d15d-3041-de36-5cbfa3537101</v>
    <v>en-IN</v>
    <v>Map</v>
  </rv>
  <rv s="0">
    <v>536870912</v>
    <v>Čair Municipality</v>
    <v>e61d1e46-bbd8-2625-1d69-c8563b40059e</v>
    <v>en-IN</v>
    <v>Map</v>
  </rv>
  <rv s="0">
    <v>536870912</v>
    <v>Centar Municipality</v>
    <v>f35c8631-4bc1-1533-89b2-4871bafbb891</v>
    <v>en-IN</v>
    <v>Map</v>
  </rv>
  <rv s="0">
    <v>536870912</v>
    <v>Čučer-Sandevo Municipality</v>
    <v>43e14f47-968d-23e6-64fe-3d11a8211115</v>
    <v>en-IN</v>
    <v>Map</v>
  </rv>
  <rv s="0">
    <v>536870912</v>
    <v>Gazi Baba Municipality</v>
    <v>9c038ad7-92e0-ae8d-b40f-7c91b895b680</v>
    <v>en-IN</v>
    <v>Map</v>
  </rv>
  <rv s="0">
    <v>536870912</v>
    <v>Ǵorče Petrov Municipality</v>
    <v>db06302d-6edc-5867-808d-25cf4a1f3043</v>
    <v>en-IN</v>
    <v>Map</v>
  </rv>
  <rv s="0">
    <v>536870912</v>
    <v>Ilinden Municipality</v>
    <v>a93958e6-30bc-91fe-ff72-ed02fa1946ef</v>
    <v>en-IN</v>
    <v>Map</v>
  </rv>
  <rv s="0">
    <v>536870912</v>
    <v>Karpoš Municipality</v>
    <v>e46cff7f-88c8-2706-a56d-215901e39ed2</v>
    <v>en-IN</v>
    <v>Map</v>
  </rv>
  <rv s="0">
    <v>536870912</v>
    <v>Petrovec Municipality</v>
    <v>c037fe03-c086-fc7a-b01e-eeb0ccc7f418</v>
    <v>en-IN</v>
    <v>Map</v>
  </rv>
  <rv s="0">
    <v>536870912</v>
    <v>Sopište Municipality</v>
    <v>c8c5b4e7-5890-7fe3-b397-c70c86ec2840</v>
    <v>en-IN</v>
    <v>Map</v>
  </rv>
  <rv s="0">
    <v>536870912</v>
    <v>Studeničani Municipality</v>
    <v>b90a1d2e-08b1-239d-a438-46a4c4c08bc3</v>
    <v>en-IN</v>
    <v>Map</v>
  </rv>
  <rv s="0">
    <v>536870912</v>
    <v>Zelenikovo Municipality</v>
    <v>a398c91f-3b23-8e50-bc64-e076be507c4d</v>
    <v>en-IN</v>
    <v>Map</v>
  </rv>
  <rv s="0">
    <v>536870912</v>
    <v>Bogdanci Municipality</v>
    <v>cced382b-5a16-0cb5-5bbb-5ae0f6cf6493</v>
    <v>en-IN</v>
    <v>Map</v>
  </rv>
  <rv s="0">
    <v>536870912</v>
    <v>Bosilovo Municipality</v>
    <v>f1c85dbb-681d-b7ba-d300-db8357908bd8</v>
    <v>en-IN</v>
    <v>Map</v>
  </rv>
  <rv s="0">
    <v>536870912</v>
    <v>Gevgelija Municipality</v>
    <v>186e2049-4195-ee91-6e85-dcafb79dd6e0</v>
    <v>en-IN</v>
    <v>Map</v>
  </rv>
  <rv s="0">
    <v>536870912</v>
    <v>Konče Municipality</v>
    <v>64553aeb-1852-9c05-f6fe-30f976c7183d</v>
    <v>en-IN</v>
    <v>Map</v>
  </rv>
  <rv s="0">
    <v>536870912</v>
    <v>Novo Selo Municipality</v>
    <v>1002f970-1f8c-2f75-06b3-0a8d4681a488</v>
    <v>en-IN</v>
    <v>Map</v>
  </rv>
  <rv s="0">
    <v>536870912</v>
    <v>Radoviš Municipality</v>
    <v>01e028a5-b2c5-d274-4db3-688a501fec23</v>
    <v>en-IN</v>
    <v>Map</v>
  </rv>
  <rv s="0">
    <v>536870912</v>
    <v>Dojran Municipality</v>
    <v>b3b89a4d-10e4-e90b-1f8e-b2cbf5a76cd9</v>
    <v>en-IN</v>
    <v>Map</v>
  </rv>
  <rv s="0">
    <v>536870912</v>
    <v>Strumica Municipality</v>
    <v>41ab0d5a-54f0-c8c5-f628-41b3476cb286</v>
    <v>en-IN</v>
    <v>Map</v>
  </rv>
  <rv s="0">
    <v>536870912</v>
    <v>Valandovo Municipality</v>
    <v>4724c948-53bf-3c27-c67b-3e412c43cd56</v>
    <v>en-IN</v>
    <v>Map</v>
  </rv>
  <rv s="0">
    <v>536870912</v>
    <v>Vasilevo Municipality</v>
    <v>36e4c9ad-4e28-1743-d59c-c82238f6a60a</v>
    <v>en-IN</v>
    <v>Map</v>
  </rv>
  <rv s="0">
    <v>536870912</v>
    <v>Centar Župa Municipality</v>
    <v>3b6b2cfc-6f17-f5a2-dca3-93ce5159c683</v>
    <v>en-IN</v>
    <v>Map</v>
  </rv>
  <rv s="0">
    <v>536870912</v>
    <v>Debar Municipality</v>
    <v>c59e98ec-cd56-7bb3-f492-1eba24190f6c</v>
    <v>en-IN</v>
    <v>Map</v>
  </rv>
  <rv s="0">
    <v>536870912</v>
    <v>Debarca Municipality</v>
    <v>789a8249-8d75-5b18-16e3-181518902147</v>
    <v>en-IN</v>
    <v>Map</v>
  </rv>
  <rv s="0">
    <v>536870912</v>
    <v>Kičevo Municipality</v>
    <v>9719a08c-3337-9bed-99ac-73590d047381</v>
    <v>en-IN</v>
    <v>Map</v>
  </rv>
  <rv s="0">
    <v>536870912</v>
    <v>Makedonski Brod Municipality</v>
    <v>e417c362-75fc-d4ae-d459-1f195777e666</v>
    <v>en-IN</v>
    <v>Map</v>
  </rv>
  <rv s="0">
    <v>536870912</v>
    <v>Ohrid Municipality</v>
    <v>683aa773-56ca-f40a-2a52-f70a2761fa3e</v>
    <v>en-IN</v>
    <v>Map</v>
  </rv>
  <rv s="0">
    <v>536870912</v>
    <v>Plasnica Municipality</v>
    <v>212db54f-7483-d8ca-ba6d-3562a99adc5d</v>
    <v>en-IN</v>
    <v>Map</v>
  </rv>
  <rv s="0">
    <v>536870912</v>
    <v>Struga Municipality</v>
    <v>734cef51-ec28-465d-814b-b344274d9f2e</v>
    <v>en-IN</v>
    <v>Map</v>
  </rv>
  <rv s="0">
    <v>536870912</v>
    <v>Vevčani Municipality</v>
    <v>b9d08f31-b5ce-eb86-0039-6c8f095d16bf</v>
    <v>en-IN</v>
    <v>Map</v>
  </rv>
  <rv s="0">
    <v>536870912</v>
    <v>Čaška Municipality</v>
    <v>2cbad885-bff9-deff-1dc1-876e0c36abe5</v>
    <v>en-IN</v>
    <v>Map</v>
  </rv>
  <rv s="0">
    <v>536870912</v>
    <v>Demir Kapija Municipality</v>
    <v>a529aaec-172c-f2dc-06ad-627ccabb0480</v>
    <v>en-IN</v>
    <v>Map</v>
  </rv>
  <rv s="0">
    <v>536870912</v>
    <v>Gradsko Municipality</v>
    <v>dec2bcd2-a40a-7fc1-15a4-e96d2e0efe80</v>
    <v>en-IN</v>
    <v>Map</v>
  </rv>
  <rv s="0">
    <v>536870912</v>
    <v>Kavadarci Municipality</v>
    <v>12bd4bae-9dc0-5c68-e4b6-cf8fa3a63e63</v>
    <v>en-IN</v>
    <v>Map</v>
  </rv>
  <rv s="0">
    <v>536870912</v>
    <v>Negotino Municipality</v>
    <v>94d39729-0caf-ca91-c40f-55fab8bd6113</v>
    <v>en-IN</v>
    <v>Map</v>
  </rv>
  <rv s="0">
    <v>536870912</v>
    <v>Rosoman Municipality</v>
    <v>8749cbd2-37cf-4ce8-27ea-1be5d05b938d</v>
    <v>en-IN</v>
    <v>Map</v>
  </rv>
  <rv s="0">
    <v>536870912</v>
    <v>Veles Municipality</v>
    <v>2453451e-b2cb-b4a3-c79f-60c840d4aac9</v>
    <v>en-IN</v>
    <v>Map</v>
  </rv>
  <rv s="0">
    <v>536870912</v>
    <v>Gostivar Municipality</v>
    <v>8ed03d69-eae7-53c4-489d-1fb873f823c4</v>
    <v>en-IN</v>
    <v>Map</v>
  </rv>
  <rv s="3">
    <v>200</v>
  </rv>
  <rv s="66">
    <v>#VALUE!</v>
    <v>en-IN</v>
    <v>d33b7a6b-3c3e-ee43-7793-52058921000a</v>
    <v>536870912</v>
    <v>1</v>
    <v>613</v>
    <v>614</v>
    <v>North Macedonia</v>
    <v>20</v>
    <v>21</v>
    <v>Map</v>
    <v>22</v>
    <v>615</v>
    <v>3685</v>
    <v>3686</v>
    <v>3687</v>
    <v>MKD</v>
    <v>North Macedonia, officially the Republic of North Macedonia, is a landlocked country in Southeast Europe. It shares land borders with Kosovo to the northwest, Serbia to the north, Bulgaria to the east, Greece to the south, and Albania to the ...</v>
    <v>3688</v>
    <v>3689</v>
    <v>3687</v>
    <v>3692</v>
    <v>3693</v>
    <v>North Macedonia</v>
    <v>Denes nad Makedonija</v>
    <v>3694</v>
    <v>Δημοκρατία της Βόρειας Μακεδονίας</v>
    <v>3695</v>
    <v>3696</v>
    <v>3773</v>
    <v>1074</v>
    <v>North Macedonia</v>
    <v>mdp/vdpid/19618</v>
  </rv>
  <rv s="1">
    <fb>571.46</fb>
    <v>25</v>
  </rv>
  <rv s="2">
    <v>112</v>
    <v>22</v>
    <v>616</v>
    <v>7</v>
    <v>0</v>
    <v>Image of Skopje</v>
  </rv>
  <rv s="0">
    <v>805306368</v>
    <v>Danela Arsovska (Mayor)</v>
    <v>8e2fd9b6-7df9-19e7-8d1d-b3811e4cbc09</v>
    <v>en-IN</v>
    <v>Generic</v>
  </rv>
  <rv s="3">
    <v>201</v>
  </rv>
  <rv s="4">
    <v>https://www.bing.com/search?q=skopje&amp;form=skydnc</v>
    <v>Learn more on Bing</v>
  </rv>
  <rv s="1">
    <fb>526502</fb>
    <v>25</v>
  </rv>
  <rv s="3">
    <v>202</v>
  </rv>
  <rv s="67">
    <v>#VALUE!</v>
    <v>en-IN</v>
    <v>1801752c-771c-78d5-76fc-41b82750ecfe</v>
    <v>536870912</v>
    <v>1</v>
    <v>618</v>
    <v>619</v>
    <v>Skopje</v>
    <v>20</v>
    <v>21</v>
    <v>Map</v>
    <v>22</v>
    <v>362</v>
    <v>MK-85</v>
    <v>3775</v>
    <v>362</v>
    <v>Skopje is the capital and largest city of North Macedonia. It is the country's political, cultural, economic, and academic centre. Skopje lies in the Skopje Basin. Scupi is attested for the first time in the second century CE as a city in Roman ...</v>
    <v>3776</v>
    <v>3778</v>
    <v>3779</v>
    <v>Skopje</v>
    <v>3780</v>
    <v>3781</v>
    <v>Skopje</v>
    <v>mdp/vdpid/7218862242538717185</v>
  </rv>
  <rv s="2">
    <v>111</v>
    <v>22</v>
    <v>611</v>
    <v>3</v>
    <v>0</v>
    <v>Image of North Macedonia</v>
  </rv>
  <rv s="59">
    <v>en-IN</v>
    <v>avym4c</v>
    <v>268435456</v>
    <v>1</v>
    <v>Powered by Refinitiv</v>
    <v>511</v>
    <v>USD/CLP</v>
    <v>43</v>
    <v>620</v>
    <v>Finance</v>
    <v>45</v>
    <v>1019.13</v>
    <v>913</v>
    <v>0</v>
    <v>0</v>
    <v>CLP</v>
    <v>USD</v>
    <v>Currency Pair</v>
    <v>45954.923634259256</v>
    <v>US Dollar/Chilean Peso FX Spot Rate</v>
    <v>941.18</v>
    <v>941.18</v>
    <v>USDCLP</v>
    <v>USD/CLP</v>
  </rv>
  <rv s="9">
    <v>3784</v>
  </rv>
  <rv s="4">
    <v>https://en.wikipedia.org/wiki/Microsoft</v>
    <v>Wikipedia</v>
  </rv>
  <rv s="16">
    <v>460</v>
    <v>3786</v>
  </rv>
  <rv s="17">
    <v>99</v>
    <v>https://www.bing.com/th?id=AMMS_e6e837c7bf3a77408619758b7447855a&amp;qlt=95</v>
    <v>3787</v>
    <v>0</v>
    <v>https://www.bing.com/images/search?form=xlimg&amp;q=microsoft</v>
    <v>Image of MICROSOFT CORPORATION</v>
  </rv>
  <rv s="4">
    <v>https://www.bing.com/financeapi/forcetrigger?t=a1xzim&amp;q=XNAS%3aMSFT&amp;form=skydnc</v>
    <v>Learn more on Bing</v>
  </rv>
  <rv s="18">
    <v>en-IN</v>
    <v>a1xzim</v>
    <v>268435456</v>
    <v>1</v>
    <v>Powered by Refinitiv</v>
    <v>95</v>
    <v>MICROSOFT CORPORATION (XNAS:MSFT)</v>
    <v>97</v>
    <v>98</v>
    <v>Finance</v>
    <v>49</v>
    <v>555.45000000000005</v>
    <v>344.79</v>
    <v>1.0196000000000001</v>
    <v>3.05</v>
    <v>1.2989999999999998E-3</v>
    <v>5.8589999999999996E-3</v>
    <v>0.68</v>
    <v>USD</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Nasdaq Stock Market</v>
    <v>XNAS</v>
    <v>XNAS</v>
    <v>One Microsoft Way, REDMOND, WA, 98052 US</v>
    <v>525.34500000000003</v>
    <v>3788</v>
    <v>Software &amp; IT Services</v>
    <v>Stock</v>
    <v>45954.999993089841</v>
    <v>3789</v>
    <v>520.71</v>
    <v>3869220000000</v>
    <v>MICROSOFT CORPORATION</v>
    <v>MICROSOFT CORPORATION</v>
    <v>522.79</v>
    <v>38.384799999999998</v>
    <v>520.55999999999995</v>
    <v>523.61</v>
    <v>524.29</v>
    <v>7433087000</v>
    <v>MSFT</v>
    <v>MICROSOFT CORPORATION (XNAS:MSFT)</v>
    <v>15532360</v>
    <v>18732124</v>
    <v>1993</v>
  </rv>
  <rv s="9">
    <v>3790</v>
  </rv>
  <rv s="0">
    <v>536870912</v>
    <v>Norway</v>
    <v>51b69cb2-1924-e989-590b-712a7070a30f</v>
    <v>en-IN</v>
    <v>Map</v>
  </rv>
  <rv s="1">
    <fb>2.6940783293922001E-2</fb>
    <v>24</v>
  </rv>
  <rv s="1">
    <fb>385207</fb>
    <v>25</v>
  </rv>
  <rv s="1">
    <fb>23000</fb>
    <v>25</v>
  </rv>
  <rv s="1">
    <fb>10.4</fb>
    <v>26</v>
  </rv>
  <rv s="1">
    <fb>47</fb>
    <v>27</v>
  </rv>
  <rv s="0">
    <v>536870912</v>
    <v>Oslo</v>
    <v>962ca6d0-04b2-b258-d6d5-ec31f6cc1d83</v>
    <v>en-IN</v>
    <v>Map</v>
  </rv>
  <rv s="1">
    <fb>41022.728999999999</fb>
    <v>25</v>
  </rv>
  <rv s="1">
    <fb>120.269658854402</fb>
    <v>28</v>
  </rv>
  <rv s="1">
    <fb>2.1677300330540498E-2</fb>
    <v>24</v>
  </rv>
  <rv s="1">
    <fb>22999.934595128299</fb>
    <v>25</v>
  </rv>
  <rv s="1">
    <fb>1.56</fb>
    <v>26</v>
  </rv>
  <rv s="1">
    <fb>0.331778599014523</fb>
    <v>24</v>
  </rv>
  <rv s="1">
    <fb>56.951628649981103</fb>
    <v>29</v>
  </rv>
  <rv s="1">
    <fb>1.78</fb>
    <v>30</v>
  </rv>
  <rv s="1">
    <fb>403336363636.36401</fb>
    <v>31</v>
  </rv>
  <rv s="1">
    <fb>1.0026021000000001</fb>
    <v>24</v>
  </rv>
  <rv s="1">
    <fb>0.81992350000000003</fb>
    <v>24</v>
  </rv>
  <rv s="2">
    <v>113</v>
    <v>22</v>
    <v>622</v>
    <v>7</v>
    <v>0</v>
    <v>Image of Norway</v>
  </rv>
  <rv s="1">
    <fb>2.1</fb>
    <v>29</v>
  </rv>
  <rv s="0">
    <v>805306368</v>
    <v>Harald V (Monarch)</v>
    <v>d501cea3-4c13-36b0-0641-e2d6452188bc</v>
    <v>en-IN</v>
    <v>Generic</v>
  </rv>
  <rv s="0">
    <v>805306368</v>
    <v>Jonas Gahr Støre (Prime minister)</v>
    <v>22a97b4b-1d69-8ed3-e2ba-75ec00cac6ad</v>
    <v>en-IN</v>
    <v>Generic</v>
  </rv>
  <rv s="0">
    <v>805306368</v>
    <v>Toril Marie Øie (Chief justice)</v>
    <v>ef71223b-60e9-6b7e-eed9-1343c144235c</v>
    <v>en-IN</v>
    <v>Generic</v>
  </rv>
  <rv s="3">
    <v>203</v>
  </rv>
  <rv s="4">
    <v>https://www.bing.com/search?q=norway&amp;form=skydnc</v>
    <v>Learn more on Bing</v>
  </rv>
  <rv s="1">
    <fb>82.758536585365903</fb>
    <v>29</v>
  </rv>
  <rv s="1">
    <fb>295548630000</fb>
    <v>31</v>
  </rv>
  <rv s="3">
    <v>204</v>
  </rv>
  <rv s="1">
    <fb>0.14272576140000001</fb>
    <v>24</v>
  </rv>
  <rv s="1">
    <fb>2.9163999999999999</fb>
    <v>26</v>
  </rv>
  <rv s="1">
    <fb>5457127</fb>
    <v>25</v>
  </rv>
  <rv s="1">
    <fb>0.14300000000000002</fb>
    <v>24</v>
  </rv>
  <rv s="1">
    <fb>0.18</fb>
    <v>24</v>
  </rv>
  <rv s="1">
    <fb>0.63804000854492204</fb>
    <v>24</v>
  </rv>
  <rv s="0">
    <v>536870912</v>
    <v>Akershus</v>
    <v>5be911ff-2030-92a4-37f2-690abaa42056</v>
    <v>en-IN</v>
    <v>Map</v>
  </rv>
  <rv s="0">
    <v>536870912</v>
    <v>Østfold</v>
    <v>61a32360-8194-db60-82a1-1e0c5086e63a</v>
    <v>en-IN</v>
    <v>Map</v>
  </rv>
  <rv s="0">
    <v>536870912</v>
    <v>Vestfold</v>
    <v>5e401c8e-2c02-1ce2-5adb-d8b619814f47</v>
    <v>en-IN</v>
    <v>Map</v>
  </rv>
  <rv s="0">
    <v>536870912</v>
    <v>Telemark</v>
    <v>85c1e229-f4df-f952-b782-45dc389f825e</v>
    <v>en-IN</v>
    <v>Map</v>
  </rv>
  <rv s="0">
    <v>536870912</v>
    <v>Buskerud</v>
    <v>076bb117-59ff-07f7-e641-39689d26f94a</v>
    <v>en-IN</v>
    <v>Map</v>
  </rv>
  <rv s="0">
    <v>536870912</v>
    <v>Rogaland</v>
    <v>986d3e77-c553-606b-9d2f-776a1c989ba2</v>
    <v>en-IN</v>
    <v>Map</v>
  </rv>
  <rv s="0">
    <v>536870912</v>
    <v>Møre og Romsdal</v>
    <v>701c8996-b876-44d1-7f9c-2b299bcf08c6</v>
    <v>en-IN</v>
    <v>Map</v>
  </rv>
  <rv s="0">
    <v>536870912</v>
    <v>Nordland</v>
    <v>35304f96-e4b8-aa47-fc00-57db63d0c883</v>
    <v>en-IN</v>
    <v>Map</v>
  </rv>
  <rv s="0">
    <v>536870912</v>
    <v>Troms</v>
    <v>7ac3993c-4024-2260-60bb-061627473b63</v>
    <v>en-IN</v>
    <v>Map</v>
  </rv>
  <rv s="0">
    <v>536870912</v>
    <v>Finnmark</v>
    <v>1cfcd8b0-45c9-4672-8d35-bc11dabfcfd7</v>
    <v>en-IN</v>
    <v>Map</v>
  </rv>
  <rv s="0">
    <v>536870912</v>
    <v>Svalbard</v>
    <v>e0bdceb6-73d9-342d-a32c-dfba0b579752</v>
    <v>en-IN</v>
    <v>Map</v>
  </rv>
  <rv s="0">
    <v>536870912</v>
    <v>Jan Mayen</v>
    <v>f56eb1ba-33b5-1e64-ae2b-258d8244ad2c</v>
    <v>en-IN</v>
    <v>Map</v>
  </rv>
  <rv s="0">
    <v>536870912</v>
    <v>Bouvet Island</v>
    <v>0df9c34a-d3f0-c09f-d594-0d17e4ce27da</v>
    <v>en-IN</v>
    <v>Map</v>
  </rv>
  <rv s="3">
    <v>205</v>
  </rv>
  <rv s="1">
    <fb>0.238617503950879</fb>
    <v>24</v>
  </rv>
  <rv s="1">
    <fb>0.36200000000000004</fb>
    <v>24</v>
  </rv>
  <rv s="1">
    <fb>3.3459999561309801E-2</fb>
    <v>32</v>
  </rv>
  <rv s="1">
    <fb>4418218</fb>
    <v>25</v>
  </rv>
  <rv s="68">
    <v>#VALUE!</v>
    <v>en-IN</v>
    <v>51b69cb2-1924-e989-590b-712a7070a30f</v>
    <v>536870912</v>
    <v>1</v>
    <v>625</v>
    <v>626</v>
    <v>Norway</v>
    <v>20</v>
    <v>21</v>
    <v>Map</v>
    <v>22</v>
    <v>627</v>
    <v>NO</v>
    <v>3793</v>
    <v>3794</v>
    <v>3795</v>
    <v>3796</v>
    <v>3797</v>
    <v>3798</v>
    <v>3799</v>
    <v>3800</v>
    <v>3801</v>
    <v>NOK</v>
    <v>Norway, formally the Kingdom of Norway, is a Nordic country in Northern Europe, situated on the Scandinavian Peninsula. The remote Arctic island of Jan Mayen and the archipelago of Svalbard also form part of Norway. Bouvet Island, located in the ...</v>
    <v>3802</v>
    <v>3803</v>
    <v>3804</v>
    <v>3805</v>
    <v>3806</v>
    <v>3807</v>
    <v>3808</v>
    <v>3809</v>
    <v>3810</v>
    <v>3811</v>
    <v>3798</v>
    <v>3815</v>
    <v>3816</v>
    <v>3817</v>
    <v>3818</v>
    <v>561</v>
    <v>Norway</v>
    <v>Ja, vi elsker dette landet</v>
    <v>3819</v>
    <v>Kongeriket Norge</v>
    <v>3820</v>
    <v>3821</v>
    <v>3822</v>
    <v>1308</v>
    <v>1734</v>
    <v>2620</v>
    <v>37</v>
    <v>1524</v>
    <v>3823</v>
    <v>3824</v>
    <v>3825</v>
    <v>3839</v>
    <v>3840</v>
    <v>1074</v>
    <v>3841</v>
    <v>3842</v>
    <v>Norway</v>
    <v>3843</v>
    <v>mdp/vdpid/177</v>
  </rv>
  <rv s="1">
    <fb>454.12</fb>
    <v>25</v>
  </rv>
  <rv s="0">
    <v>536870912</v>
    <v>Kingdom of Norway (1814)</v>
    <v>3a3bad49-bee8-868e-2ec2-d1d12f66f885</v>
    <v>en-IN</v>
    <v>Map</v>
  </rv>
  <rv s="2">
    <v>114</v>
    <v>22</v>
    <v>628</v>
    <v>7</v>
    <v>0</v>
    <v>Image of Oslo</v>
  </rv>
  <rv s="0">
    <v>805306368</v>
    <v>Marianne Borgen (Mayor)</v>
    <v>5b758cfa-b845-e6a8-a291-e2b3c9a2571d</v>
    <v>en-IN</v>
    <v>Generic</v>
  </rv>
  <rv s="3">
    <v>206</v>
  </rv>
  <rv s="4">
    <v>https://www.bing.com/search?q=oslo+norway&amp;form=skydnc</v>
    <v>Learn more on Bing</v>
  </rv>
  <rv s="1">
    <fb>711300</fb>
    <v>25</v>
  </rv>
  <rv s="67">
    <v>#VALUE!</v>
    <v>en-IN</v>
    <v>962ca6d0-04b2-b258-d6d5-ec31f6cc1d83</v>
    <v>536870912</v>
    <v>1</v>
    <v>630</v>
    <v>619</v>
    <v>Oslo</v>
    <v>20</v>
    <v>21</v>
    <v>Map</v>
    <v>22</v>
    <v>235</v>
    <v>NO-03</v>
    <v>3845</v>
    <v>3846</v>
    <v>Oslo is the capital and most populous city of Norway. It constitutes both a county and a municipality. The municipality of Oslo had a population of 709,037 in 2022, while the city's greater urban area had a population of 1,064,235 in 2022, and ...</v>
    <v>3847</v>
    <v>3849</v>
    <v>3850</v>
    <v>Oslo</v>
    <v>3851</v>
    <v>1074</v>
    <v>Oslo</v>
    <v>mdp/vdpid/6997386894287831041</v>
  </rv>
  <rv s="2">
    <v>113</v>
    <v>22</v>
    <v>622</v>
    <v>3</v>
    <v>0</v>
    <v>Image of Norway</v>
  </rv>
  <rv s="59">
    <v>en-IN</v>
    <v>av4thw</v>
    <v>268435456</v>
    <v>1</v>
    <v>Powered by Refinitiv</v>
    <v>511</v>
    <v>CLP/USD</v>
    <v>43</v>
    <v>522</v>
    <v>Finance</v>
    <v>45</v>
    <v>1.09E-3</v>
    <v>9.7999999999999997E-4</v>
    <v>0</v>
    <v>0</v>
    <v>USD</v>
    <v>CLP</v>
    <v>Currency Pair</v>
    <v>45954.923634259256</v>
    <v>Chilean Peso/US Dollar FX Cross Rate</v>
    <v>1.0610000000000001E-3</v>
    <v>1.0610000000000001E-3</v>
    <v>CLPUSD</v>
    <v>CLP/USD</v>
  </rv>
  <rv s="9">
    <v>3854</v>
  </rv>
  <rv s="4">
    <v>https://www.bing.com/financeapi/forcetrigger?t=afgjdm&amp;q=XFRA%3aNESM&amp;form=skydnc</v>
    <v>Learn more on Bing</v>
  </rv>
  <rv s="69">
    <v>en-IN</v>
    <v>afgjdm</v>
    <v>268435456</v>
    <v>1</v>
    <v>Powered by Refinitiv</v>
    <v>631</v>
    <v>Nestle Ltd. (XFRA:NESM)</v>
    <v>47</v>
    <v>632</v>
    <v>Finance</v>
    <v>461</v>
    <v>0.49709999999999999</v>
    <v>-0.8</v>
    <v>-9.1739999999999999E-3</v>
    <v>EUR</v>
    <v>Nestle SA is a Switzerland-based company primarily engaged in food manufacturing industry. The Company's segments are Zone North America (NA), Zone Europe (EUR), Zone Asia, Oceania and Africa (AOA), Zone Latin America (LATAM), Zone Greater China (GC), Nestle Health Science and Nespresso. The Company's product categories include powdered and liquid beverages; water; milk products and ice cream; nutrition and health science; prepared dishes and cooking aids; confectionery, and PetCare. The Company's brand portfolio includes, but is not limited to Purina, Cailler, Cini Minis, KitKat, Nespresso and Nescafe. It operates in over 180 countries throughout the world. It has sales in various countries, including the United States, Greater China Region, Brazil, Mexico, Germany, the United Kingdom, Italy, Canada, France, Turkey, Ukraine, Georgia, Hungary, Malta, Romania, Spain and Switzerland.</v>
    <v>277000</v>
    <v>Deutsche Boerse AG</v>
    <v>XFRA</v>
    <v>XFRA</v>
    <v>Ave Nesele 55, Ch-1800, VEVEY, VAUD, 1800 CH</v>
    <v>87</v>
    <v>Food &amp; Tobacco</v>
    <v>Stock</v>
    <v>45954.836805555555</v>
    <v>3856</v>
    <v>86.4</v>
    <v>264869200000</v>
    <v>Nestle Ltd.</v>
    <v>Nestle Ltd.</v>
    <v>87</v>
    <v>20.41</v>
    <v>87.2</v>
    <v>86.4</v>
    <v>2576520000</v>
    <v>NESM</v>
    <v>Nestle Ltd. (XFRA:NESM)</v>
    <v>570</v>
    <v>656940</v>
    <v>1905</v>
  </rv>
  <rv s="9">
    <v>3857</v>
  </rv>
  <rv s="35">
    <v>12</v>
    <v>52 week high</v>
    <v>0</v>
  </rv>
  <rv s="35">
    <v>12</v>
    <v>52 week low</v>
    <v>0</v>
  </rv>
  <rv s="0">
    <v>536870912</v>
    <v>Oman</v>
    <v>80c2f3b5-3d4f-9573-2b4d-e73c7d67832b</v>
    <v>en-IN</v>
    <v>Map</v>
  </rv>
  <rv s="1">
    <fb>4.6397415185783497E-2</fb>
    <v>24</v>
  </rv>
  <rv s="1">
    <fb>309500</fb>
    <v>25</v>
  </rv>
  <rv s="1">
    <fb>47000</fb>
    <v>25</v>
  </rv>
  <rv s="1">
    <fb>19.189</fb>
    <v>26</v>
  </rv>
  <rv s="1">
    <fb>968</fb>
    <v>27</v>
  </rv>
  <rv s="0">
    <v>536870912</v>
    <v>Muscat</v>
    <v>94c369e9-23a3-9c59-e2c3-e9026f64b420</v>
    <v>en-IN</v>
    <v>Map</v>
  </rv>
  <rv s="1">
    <fb>63457.434999999998</fb>
    <v>25</v>
  </rv>
  <rv s="1">
    <fb>113.52928579077</fb>
    <v>28</v>
  </rv>
  <rv s="1">
    <fb>1.3379505745318198E-3</fb>
    <v>24</v>
  </rv>
  <rv s="1">
    <fb>6445.5734171620397</fb>
    <v>25</v>
  </rv>
  <rv s="1">
    <fb>2.8879999999999999</fb>
    <v>26</v>
  </rv>
  <rv s="1">
    <fb>6.4620355411954791E-5</fb>
    <v>24</v>
  </rv>
  <rv s="1">
    <fb>99.963168651852996</fb>
    <v>29</v>
  </rv>
  <rv s="1">
    <fb>76983094928.4785</fb>
    <v>31</v>
  </rv>
  <rv s="1">
    <fb>1.0339206000000001</fb>
    <v>24</v>
  </rv>
  <rv s="1">
    <fb>0.38036209999999998</fb>
    <v>24</v>
  </rv>
  <rv s="2">
    <v>115</v>
    <v>22</v>
    <v>634</v>
    <v>7</v>
    <v>0</v>
    <v>Image of Oman</v>
  </rv>
  <rv s="1">
    <fb>9.8000000000000007</fb>
    <v>29</v>
  </rv>
  <rv s="3">
    <v>207</v>
  </rv>
  <rv s="4">
    <v>https://www.bing.com/search?q=oman&amp;form=skydnc</v>
    <v>Learn more on Bing</v>
  </rv>
  <rv s="1">
    <fb>77.632999999999996</fb>
    <v>29</v>
  </rv>
  <rv s="1">
    <fb>17119480000</fb>
    <v>31</v>
  </rv>
  <rv s="1">
    <fb>4.33</fb>
    <v>30</v>
  </rv>
  <rv s="1">
    <fb>6.3663297800000004E-2</fb>
    <v>24</v>
  </rv>
  <rv s="1">
    <fb>2.0030999999999999</fb>
    <v>26</v>
  </rv>
  <rv s="1">
    <fb>4576298</fb>
    <v>25</v>
  </rv>
  <rv s="1">
    <fb>0.72369003295898393</fb>
    <v>24</v>
  </rv>
  <rv s="0">
    <v>536870912</v>
    <v>Ad Dakhiliyah Governorate</v>
    <v>507aca11-2bcf-7637-0d56-a19fddc08b60</v>
    <v>en-IN</v>
    <v>Map</v>
  </rv>
  <rv s="0">
    <v>536870912</v>
    <v>Ad Dhahirah Governorate</v>
    <v>a981bed9-9e09-b441-6ed1-45b40fd2c43b</v>
    <v>en-IN</v>
    <v>Map</v>
  </rv>
  <rv s="0">
    <v>536870912</v>
    <v>Al Batinah North Governorate</v>
    <v>c3841398-bbf3-c711-4598-d86e986af0d8</v>
    <v>en-IN</v>
    <v>Map</v>
  </rv>
  <rv s="0">
    <v>536870912</v>
    <v>Al Batinah South Governorate</v>
    <v>daa3b674-1912-4b3e-f69c-de4f0cd993cd</v>
    <v>en-IN</v>
    <v>Map</v>
  </rv>
  <rv s="0">
    <v>536870912</v>
    <v>Al Buraimi Governorate</v>
    <v>134b6720-8e35-94fa-1147-7c4a8204beba</v>
    <v>en-IN</v>
    <v>Map</v>
  </rv>
  <rv s="0">
    <v>536870912</v>
    <v>Al Wusta Governorate</v>
    <v>89c825f1-a648-e985-ffc1-79b78cd83d1f</v>
    <v>en-IN</v>
    <v>Map</v>
  </rv>
  <rv s="0">
    <v>536870912</v>
    <v>Ash Sharqiyah North Governorate</v>
    <v>26562e12-b4c9-6003-fee2-a918264dfdd4</v>
    <v>en-IN</v>
    <v>Map</v>
  </rv>
  <rv s="0">
    <v>536870912</v>
    <v>Ash Sharqiyah South Governorate</v>
    <v>313d2755-e186-571e-c85f-b9d13b19e01b</v>
    <v>en-IN</v>
    <v>Map</v>
  </rv>
  <rv s="0">
    <v>536870912</v>
    <v>Dhofar Governorate</v>
    <v>ea26f1ab-d429-67da-185a-a1a2406ab507</v>
    <v>en-IN</v>
    <v>Map</v>
  </rv>
  <rv s="0">
    <v>536870912</v>
    <v>Muscat Governorate</v>
    <v>475dad8b-c55b-0f3f-8c26-cdcd1678c422</v>
    <v>en-IN</v>
    <v>Map</v>
  </rv>
  <rv s="0">
    <v>536870912</v>
    <v>Musandam Governorate</v>
    <v>93ebe90c-9d4c-44bf-3df0-0fad831f3acd</v>
    <v>en-IN</v>
    <v>Map</v>
  </rv>
  <rv s="3">
    <v>208</v>
  </rv>
  <rv s="1">
    <fb>2.5237216657880902E-2</fb>
    <v>24</v>
  </rv>
  <rv s="1">
    <fb>0.27399999999999997</fb>
    <v>24</v>
  </rv>
  <rv s="1">
    <fb>2.6710000038147001E-2</fb>
    <v>32</v>
  </rv>
  <rv s="1">
    <fb>4250777</fb>
    <v>25</v>
  </rv>
  <rv s="32">
    <v>#VALUE!</v>
    <v>en-IN</v>
    <v>80c2f3b5-3d4f-9573-2b4d-e73c7d67832b</v>
    <v>536870912</v>
    <v>1</v>
    <v>637</v>
    <v>207</v>
    <v>Oman</v>
    <v>20</v>
    <v>21</v>
    <v>Map</v>
    <v>22</v>
    <v>638</v>
    <v>OM</v>
    <v>3862</v>
    <v>3863</v>
    <v>3864</v>
    <v>3865</v>
    <v>3866</v>
    <v>3867</v>
    <v>3868</v>
    <v>3869</v>
    <v>3870</v>
    <v>OMR</v>
    <v>Oman, officially the Sultanate of Oman, is a country located in West Asia. It is situated on the southeastern coast of the Arabian Peninsula, and spans the mouth of the Persian Gulf. It shares land borders with Saudi Arabia, United Arab ...</v>
    <v>3871</v>
    <v>3872</v>
    <v>3873</v>
    <v>3874</v>
    <v>2019</v>
    <v>3875</v>
    <v>3876</v>
    <v>3877</v>
    <v>3878</v>
    <v>3879</v>
    <v>3867</v>
    <v>3880</v>
    <v>3881</v>
    <v>3882</v>
    <v>3883</v>
    <v>1302</v>
    <v>3884</v>
    <v>Oman</v>
    <v>As-Salam as-Sultani</v>
    <v>808</v>
    <v>سلطنة عُمان</v>
    <v>3885</v>
    <v>3886</v>
    <v>3887</v>
    <v>3888</v>
    <v>3900</v>
    <v>3901</v>
    <v>3902</v>
    <v>3903</v>
    <v>Oman</v>
    <v>3904</v>
    <v>mdp/vdpid/164</v>
  </rv>
  <rv s="1">
    <fb>3500</fb>
    <v>25</v>
  </rv>
  <rv s="2">
    <v>116</v>
    <v>22</v>
    <v>639</v>
    <v>7</v>
    <v>0</v>
    <v>Image of Muscat</v>
  </rv>
  <rv s="1">
    <fb>23.613888888889001</fb>
    <v>37</v>
  </rv>
  <rv s="4">
    <v>https://www.bing.com/search?q=muscat+oman&amp;form=skydnc</v>
    <v>Learn more on Bing</v>
  </rv>
  <rv s="1">
    <fb>58.592222222221999</fb>
    <v>37</v>
  </rv>
  <rv s="1">
    <fb>1421409</fb>
    <v>25</v>
  </rv>
  <rv s="29">
    <v>#VALUE!</v>
    <v>en-IN</v>
    <v>94c369e9-23a3-9c59-e2c3-e9026f64b420</v>
    <v>536870912</v>
    <v>1</v>
    <v>640</v>
    <v>188</v>
    <v>Muscat</v>
    <v>20</v>
    <v>21</v>
    <v>Map</v>
    <v>22</v>
    <v>109</v>
    <v>3898</v>
    <v>3906</v>
    <v>92</v>
    <v>Muscat is the capital and most populated city in Oman. It is the seat of the Governorate of Muscat. According to the National Centre for Statistics and Information, the total population of Muscat Governorate was 1.72 million as of September ...</v>
    <v>3907</v>
    <v>3908</v>
    <v>3909</v>
    <v>3910</v>
    <v>Muscat</v>
    <v>3911</v>
    <v>Muscat</v>
    <v>mdp/vdpid/7382990837061255169</v>
  </rv>
  <rv s="2">
    <v>115</v>
    <v>22</v>
    <v>634</v>
    <v>3</v>
    <v>0</v>
    <v>Image of Oman</v>
  </rv>
  <rv s="8">
    <v>en-IN</v>
    <v>avyrqh</v>
    <v>268435456</v>
    <v>1</v>
    <v>Powered by Refinitiv</v>
    <v>42</v>
    <v>USD/PHP</v>
    <v>43</v>
    <v>641</v>
    <v>Finance</v>
    <v>45</v>
    <v>59.164999999999999</v>
    <v>55.112000000000002</v>
    <v>5.3999999999999999E-2</v>
    <v>9.1950000000000007E-4</v>
    <v>PHP</v>
    <v>USD</v>
    <v>58.783999999999999</v>
    <v>Currency Pair</v>
    <v>45957.217673611114</v>
    <v>58.628</v>
    <v>US Dollar/Philippine Peso FX Spot Rate</v>
    <v>58.656999999999996</v>
    <v>58.725000000000001</v>
    <v>58.779000000000003</v>
    <v>USDPHP</v>
    <v>USD/PHP</v>
  </rv>
  <rv s="9">
    <v>3914</v>
  </rv>
  <rv s="4">
    <v>http://en.wikipedia.org/wiki/IBM</v>
    <v>Wikipedia</v>
  </rv>
  <rv s="16">
    <v>460</v>
    <v>3916</v>
  </rv>
  <rv s="17">
    <v>99</v>
    <v>https://www.bing.com/th?id=AMMS_41da901be1b295dc42c72dadb9c0f67d&amp;qlt=95</v>
    <v>3917</v>
    <v>0</v>
    <v>https://www.bing.com/images/search?form=xlimg&amp;q=ibm</v>
    <v>Image of INTERNATIONAL BUSINESS MACHINES CORPORATION</v>
  </rv>
  <rv s="4">
    <v>https://www.bing.com/financeapi/forcetrigger?t=a1v6nm&amp;q=XNYS%3aIBM&amp;form=skydnc</v>
    <v>Learn more on Bing</v>
  </rv>
  <rv s="18">
    <v>en-IN</v>
    <v>a1v6nm</v>
    <v>268435456</v>
    <v>1</v>
    <v>Powered by Refinitiv</v>
    <v>95</v>
    <v>INTERNATIONAL BUSINESS MACHINES CORPORATION (XNYS:IBM)</v>
    <v>97</v>
    <v>98</v>
    <v>Finance</v>
    <v>49</v>
    <v>310.75</v>
    <v>203.51</v>
    <v>0.69289999999999996</v>
    <v>22.46</v>
    <v>-8.1309999999999998E-4</v>
    <v>7.8807000000000002E-2</v>
    <v>-0.25</v>
    <v>USD</v>
    <v>International Business Machines Corporation is a provider of global hybrid cloud and artificial intelligence (AI) and consulting expertise. The Company’s segments include Software, Consulting, Infrastructure and Financing. The Software segment includes hybrid cloud and AI platforms, which allow clients to realize their digital and AI transformations across the applications, data, and environments in which they operate. The Consulting segment focuses on integrating skills on strategy, experience, technology and operations by domain and industry. The Infrastructure segment is focused on the hybrid cloud infrastructure market, providing on-premises and cloud-based server and storage solutions. In addition, it offers a portfolio of life-cycle services for hybrid cloud infrastructure deployment. The Financing segment provides client and commercial financing, facilitating its clients’ acquisition of hardware, software and services. It helps clients in more than 175 countries.</v>
    <v>293400</v>
    <v>New York Stock Exchange</v>
    <v>XNYS</v>
    <v>XNYS</v>
    <v>One New Orchard Road, ARMONK, NY, 10504 US</v>
    <v>310.75</v>
    <v>3918</v>
    <v>Software &amp; IT Services</v>
    <v>Stock</v>
    <v>45954.999849224216</v>
    <v>3919</v>
    <v>282.20999999999998</v>
    <v>268745700000</v>
    <v>INTERNATIONAL BUSINESS MACHINES CORPORATION</v>
    <v>INTERNATIONAL BUSINESS MACHINES CORPORATION</v>
    <v>283.77</v>
    <v>38.094499999999996</v>
    <v>285</v>
    <v>307.45999999999998</v>
    <v>307.20999999999998</v>
    <v>934735200</v>
    <v>IBM</v>
    <v>INTERNATIONAL BUSINESS MACHINES CORPORATION (XNYS:IBM)</v>
    <v>16914243</v>
    <v>5884717</v>
    <v>1911</v>
  </rv>
  <rv s="9">
    <v>3920</v>
  </rv>
  <rv s="0">
    <v>536870912</v>
    <v>Pakistan</v>
    <v>69cd8ccc-adba-8eeb-a48e-3e7229e9666c</v>
    <v>en-IN</v>
    <v>Map</v>
  </rv>
  <rv s="1">
    <fb>0.47794728102947304</fb>
    <v>24</v>
  </rv>
  <rv s="1">
    <fb>881913</fb>
    <v>25</v>
  </rv>
  <rv s="1">
    <fb>936000</fb>
    <v>25</v>
  </rv>
  <rv s="1">
    <fb>28.25</fb>
    <v>26</v>
  </rv>
  <rv s="1">
    <fb>92</fb>
    <v>27</v>
  </rv>
  <rv s="0">
    <v>536870912</v>
    <v>Islamabad</v>
    <v>7d6db4a7-d08a-aa85-d6ce-6cb15b346bdf</v>
    <v>en-IN</v>
    <v>Map</v>
  </rv>
  <rv s="1">
    <fb>201149.61799999999</fb>
    <v>25</v>
  </rv>
  <rv s="1">
    <fb>182.32038637269201</fb>
    <v>28</v>
  </rv>
  <rv s="1">
    <fb>0.105780304680861</fb>
    <v>24</v>
  </rv>
  <rv s="1">
    <fb>447.50100258913102</fb>
    <v>25</v>
  </rv>
  <rv s="1">
    <fb>3.51</fb>
    <v>26</v>
  </rv>
  <rv s="1">
    <fb>1.8537256122872599E-2</fb>
    <v>24</v>
  </rv>
  <rv s="1">
    <fb>61.585361451111801</fb>
    <v>29</v>
  </rv>
  <rv s="1">
    <fb>0.79</fb>
    <v>30</v>
  </rv>
  <rv s="1">
    <fb>304400000000</fb>
    <v>31</v>
  </rv>
  <rv s="1">
    <fb>0.94328199999999995</fb>
    <v>24</v>
  </rv>
  <rv s="1">
    <fb>8.9584200000000003E-2</fb>
    <v>24</v>
  </rv>
  <rv s="2">
    <v>117</v>
    <v>22</v>
    <v>643</v>
    <v>7</v>
    <v>0</v>
    <v>Image of Pakistan</v>
  </rv>
  <rv s="1">
    <fb>57.2</fb>
    <v>29</v>
  </rv>
  <rv s="0">
    <v>536870912</v>
    <v>Karachi</v>
    <v>8868147b-7b38-6de8-cdbe-567b934b7f8f</v>
    <v>en-IN</v>
    <v>Map</v>
  </rv>
  <rv s="0">
    <v>805306368</v>
    <v>Arif Alvi (President)</v>
    <v>5cf4e408-6cf3-8bcd-1ce5-a4ef8f6c0439</v>
    <v>en-IN</v>
    <v>Generic</v>
  </rv>
  <rv s="0">
    <v>805306368</v>
    <v>Anwaar ul Haq Kakar (Prime minister)</v>
    <v>83677174-c1b9-707c-32eb-4dafb28310f6</v>
    <v>en-IN</v>
    <v>Generic</v>
  </rv>
  <rv s="0">
    <v>805306368</v>
    <v>Qazi Faez Isa (Chief justice)</v>
    <v>95e12bef-38ce-1be5-1ad0-3d4019cb8d8f</v>
    <v>en-IN</v>
    <v>Generic</v>
  </rv>
  <rv s="3">
    <v>209</v>
  </rv>
  <rv s="4">
    <v>https://www.bing.com/search?q=pakistan&amp;form=skydnc</v>
    <v>Learn more on Bing</v>
  </rv>
  <rv s="1">
    <fb>67.114000000000004</fb>
    <v>29</v>
  </rv>
  <rv s="1">
    <fb>91863740000</fb>
    <v>31</v>
  </rv>
  <rv s="1">
    <fb>140</fb>
    <v>29</v>
  </rv>
  <rv s="1">
    <fb>0.69</fb>
    <v>30</v>
  </rv>
  <rv s="3">
    <v>210</v>
  </rv>
  <rv s="1">
    <fb>0.66485154850000006</fb>
    <v>24</v>
  </rv>
  <rv s="1">
    <fb>0.98009999999999997</fb>
    <v>26</v>
  </rv>
  <rv s="1">
    <fb>235824862</fb>
    <v>25</v>
  </rv>
  <rv s="1">
    <fb>0.20499999999999999</fb>
    <v>24</v>
  </rv>
  <rv s="1">
    <fb>0.28899999999999998</fb>
    <v>24</v>
  </rv>
  <rv s="1">
    <fb>3.9E-2</fb>
    <v>24</v>
  </rv>
  <rv s="1">
    <fb>0.122</fb>
    <v>24</v>
  </rv>
  <rv s="1">
    <fb>0.156</fb>
    <v>24</v>
  </rv>
  <rv s="1">
    <fb>0.52573001861572299</fb>
    <v>24</v>
  </rv>
  <rv s="0">
    <v>536870912</v>
    <v>Balochistan</v>
    <v>733099a6-8f86-3bae-4e33-98665caeb458</v>
    <v>en-IN</v>
    <v>Map</v>
  </rv>
  <rv s="0">
    <v>536870912</v>
    <v>Khyber Pakhtunkhwa</v>
    <v>2dd079f9-a4d7-b9c3-14aa-dabebc56c591</v>
    <v>en-IN</v>
    <v>Map</v>
  </rv>
  <rv s="0">
    <v>536870912</v>
    <v>Punjab</v>
    <v>eaa769c5-d61b-fc82-0dfe-db1696c1a676</v>
    <v>en-IN</v>
    <v>Map</v>
  </rv>
  <rv s="0">
    <v>536870912</v>
    <v>Sindh</v>
    <v>bf0a27ee-81c5-5e2b-6404-af7d886475be</v>
    <v>en-IN</v>
    <v>Map</v>
  </rv>
  <rv s="0">
    <v>536870912</v>
    <v>Islamabad Capital Territory</v>
    <v>70c2750b-d15b-bbdc-9a7c-b361fbe14a63</v>
    <v>en-IN</v>
    <v>Map</v>
  </rv>
  <rv s="0">
    <v>536870912</v>
    <v>Gilgit-Baltistan</v>
    <v>3eb3f6b8-31d3-1e23-5d0f-a767a6a8102a</v>
    <v>en-IN</v>
    <v>Map</v>
  </rv>
  <rv s="0">
    <v>536870912</v>
    <v>Azad Kashmir</v>
    <v>5eb14a38-253f-8bea-4327-9023007fb366</v>
    <v>en-IN</v>
    <v>Map</v>
  </rv>
  <rv s="3">
    <v>211</v>
  </rv>
  <rv s="1">
    <fb>9.1886767882585402E-2</fb>
    <v>24</v>
  </rv>
  <rv s="1">
    <fb>0.33899999999999997</fb>
    <v>24</v>
  </rv>
  <rv s="1">
    <fb>4.4530000686645498E-2</fb>
    <v>32</v>
  </rv>
  <rv s="1">
    <fb>79927762</fb>
    <v>25</v>
  </rv>
  <rv s="19">
    <v>#VALUE!</v>
    <v>en-IN</v>
    <v>69cd8ccc-adba-8eeb-a48e-3e7229e9666c</v>
    <v>536870912</v>
    <v>1</v>
    <v>647</v>
    <v>105</v>
    <v>Pakistan</v>
    <v>20</v>
    <v>21</v>
    <v>Map</v>
    <v>22</v>
    <v>648</v>
    <v>PK</v>
    <v>3923</v>
    <v>3924</v>
    <v>3925</v>
    <v>3926</v>
    <v>3927</v>
    <v>3928</v>
    <v>3929</v>
    <v>3930</v>
    <v>3931</v>
    <v>PKR</v>
    <v>Pakistan, officially the Islamic Republic of Pakistan, is a country in South Asia. It is the world's fifth-most populous country, with a population of 241.5 million people, and has the world's largest Muslim population as of 2023. Islamabad is ...</v>
    <v>3932</v>
    <v>3933</v>
    <v>3934</v>
    <v>3935</v>
    <v>3936</v>
    <v>3937</v>
    <v>3938</v>
    <v>3939</v>
    <v>3940</v>
    <v>3941</v>
    <v>3942</v>
    <v>3946</v>
    <v>3947</v>
    <v>3948</v>
    <v>3949</v>
    <v>3950</v>
    <v>3951</v>
    <v>Pakistan</v>
    <v>Qaumi Taranah</v>
    <v>3952</v>
    <v>اسلامی جمہوریہ پاكستان</v>
    <v>3953</v>
    <v>3954</v>
    <v>3955</v>
    <v>3956</v>
    <v>3957</v>
    <v>1590</v>
    <v>3958</v>
    <v>1524</v>
    <v>3959</v>
    <v>3960</v>
    <v>3961</v>
    <v>3969</v>
    <v>3970</v>
    <v>3971</v>
    <v>3972</v>
    <v>Pakistan</v>
    <v>3973</v>
    <v>mdp/vdpid/190</v>
  </rv>
  <rv s="1">
    <fb>906</fb>
    <v>25</v>
  </rv>
  <rv s="2">
    <v>118</v>
    <v>22</v>
    <v>649</v>
    <v>7</v>
    <v>0</v>
    <v>Image of Islamabad</v>
  </rv>
  <rv s="1">
    <fb>33.698888888889002</fb>
    <v>37</v>
  </rv>
  <rv s="0">
    <v>805306368</v>
    <v>None (Mayor)</v>
    <v>f897df6a-cf3a-5364-d4a6-a4b1070f3754</v>
    <v>en-IN</v>
    <v>Generic</v>
  </rv>
  <rv s="3">
    <v>212</v>
  </rv>
  <rv s="4">
    <v>https://www.bing.com/search?q=islamabad&amp;form=skydnc</v>
    <v>Learn more on Bing</v>
  </rv>
  <rv s="1">
    <fb>73.036944444444003</fb>
    <v>37</v>
  </rv>
  <rv s="1">
    <fb>1014825</fb>
    <v>25</v>
  </rv>
  <rv s="3">
    <v>213</v>
  </rv>
  <rv s="24">
    <v>#VALUE!</v>
    <v>en-IN</v>
    <v>7d6db4a7-d08a-aa85-d6ce-6cb15b346bdf</v>
    <v>536870912</v>
    <v>1</v>
    <v>650</v>
    <v>152</v>
    <v>Islamabad</v>
    <v>20</v>
    <v>21</v>
    <v>Map</v>
    <v>22</v>
    <v>651</v>
    <v>3966</v>
    <v>3975</v>
    <v>3922</v>
    <v>Islamabad is the capital city of Pakistan. It is the country's ninth-most populous city with a population of over 1.2 million people and is federally administered by the Pakistani government as part of the Islamabad Capital Territory. Built as a ...</v>
    <v>3976</v>
    <v>3977</v>
    <v>3979</v>
    <v>3980</v>
    <v>3981</v>
    <v>Islamabad</v>
    <v>3982</v>
    <v>3983</v>
    <v>Islamabad</v>
    <v>mdp/vdpid/7404668573685121025</v>
  </rv>
  <rv s="1">
    <fb>3527</fb>
    <v>25</v>
  </rv>
  <rv s="0">
    <v>536870912</v>
    <v>Dominion of Pakistan</v>
    <v>1e29b5dc-ab34-82bb-438f-f1fa97a89aa5</v>
    <v>en-IN</v>
    <v>Map</v>
  </rv>
  <rv s="2">
    <v>119</v>
    <v>22</v>
    <v>652</v>
    <v>7</v>
    <v>0</v>
    <v>Image of Karachi</v>
  </rv>
  <rv s="1">
    <fb>24.86</fb>
    <v>37</v>
  </rv>
  <rv s="0">
    <v>805306368</v>
    <v>Murtaza Wahab (Mayor)</v>
    <v>0089349b-0abb-e864-2c91-72f4ee6709be</v>
    <v>en-IN</v>
    <v>Generic</v>
  </rv>
  <rv s="3">
    <v>214</v>
  </rv>
  <rv s="4">
    <v>https://www.bing.com/search?q=karachi&amp;form=skydnc</v>
    <v>Learn more on Bing</v>
  </rv>
  <rv s="1">
    <fb>67.010000000000005</fb>
    <v>37</v>
  </rv>
  <rv s="1">
    <fb>14910352</fb>
    <v>25</v>
  </rv>
  <rv s="14">
    <v>#VALUE!</v>
    <v>en-IN</v>
    <v>8868147b-7b38-6de8-cdbe-567b934b7f8f</v>
    <v>536870912</v>
    <v>1</v>
    <v>653</v>
    <v>82</v>
    <v>Karachi</v>
    <v>20</v>
    <v>21</v>
    <v>Map</v>
    <v>22</v>
    <v>651</v>
    <v>3965</v>
    <v>3985</v>
    <v>3986</v>
    <v>Karachi is the largest city in Pakistan and 12th largest in the world, with a population of over 20 million. It is situated at the southern tip of the country along the Arabian Sea coast. It is the former capital of Pakistan and capital of the ...</v>
    <v>3987</v>
    <v>3988</v>
    <v>3990</v>
    <v>3991</v>
    <v>3992</v>
    <v>Karachi</v>
    <v>3993</v>
    <v>Karachi</v>
    <v>mdp/vdpid/7385536391465140225</v>
  </rv>
  <rv s="2">
    <v>117</v>
    <v>22</v>
    <v>643</v>
    <v>3</v>
    <v>0</v>
    <v>Image of Pakistan</v>
  </rv>
  <rv s="8">
    <v>en-IN</v>
    <v>avpqqh</v>
    <v>268435456</v>
    <v>1</v>
    <v>Powered by Refinitiv</v>
    <v>42</v>
    <v>PHP/USD</v>
    <v>43</v>
    <v>62</v>
    <v>Finance</v>
    <v>45</v>
    <v>1.813E-2</v>
    <v>1.6899999999999998E-2</v>
    <v>9.9999999999999995E-7</v>
    <v>5.8840000000000006E-5</v>
    <v>USD</v>
    <v>PHP</v>
    <v>1.7059999999999999E-2</v>
    <v>Currency Pair</v>
    <v>45957.217685185184</v>
    <v>1.7010000000000001E-2</v>
    <v>Philippine Peso/US Dollar FX Cross Rate</v>
    <v>1.702E-2</v>
    <v>1.7000000000000001E-2</v>
    <v>1.7000000000000001E-2</v>
    <v>PHPUSD</v>
    <v>PHP/USD</v>
  </rv>
  <rv s="9">
    <v>3996</v>
  </rv>
  <rv s="0">
    <v>536870912</v>
    <v>Palau</v>
    <v>bdd5951c-45b5-1e5c-07ce-c7057eb017a9</v>
    <v>en-IN</v>
    <v>Map</v>
  </rv>
  <rv s="1">
    <fb>0.108695652173913</fb>
    <v>24</v>
  </rv>
  <rv s="1">
    <fb>465.55036200000001</fb>
    <v>25</v>
  </rv>
  <rv s="1">
    <fb>14</fb>
    <v>26</v>
  </rv>
  <rv s="1">
    <fb>680</fb>
    <v>27</v>
  </rv>
  <rv s="0">
    <v>536870912</v>
    <v>Ngerulmud</v>
    <v>1b0f0d49-6d48-6ead-6b14-57454977d1a5</v>
    <v>en-IN</v>
    <v>Map</v>
  </rv>
  <rv s="1">
    <fb>223.68700000000001</fb>
    <v>25</v>
  </rv>
  <rv s="1">
    <fb>118.168674698795</fb>
    <v>28</v>
  </rv>
  <rv s="1">
    <fb>1.2804626187525701E-2</fb>
    <v>24</v>
  </rv>
  <rv s="1">
    <fb>2.21</fb>
    <v>26</v>
  </rv>
  <rv s="1">
    <fb>0.8760869399360981</fb>
    <v>24</v>
  </rv>
  <rv s="1">
    <fb>283994900</fb>
    <v>31</v>
  </rv>
  <rv s="1">
    <fb>1.1256868</fb>
    <v>24</v>
  </rv>
  <rv s="1">
    <fb>0.54689480000000001</fb>
    <v>24</v>
  </rv>
  <rv s="2">
    <v>120</v>
    <v>22</v>
    <v>655</v>
    <v>7</v>
    <v>0</v>
    <v>Image of Palau</v>
  </rv>
  <rv s="1">
    <fb>16.600000000000001</fb>
    <v>29</v>
  </rv>
  <rv s="0">
    <v>536870912</v>
    <v>Koror</v>
    <v>e3fed476-5f6a-e1fe-c721-822fbedcc174</v>
    <v>en-IN</v>
    <v>Map</v>
  </rv>
  <rv s="0">
    <v>805306368</v>
    <v>Surangel Whipps Jr. (President)</v>
    <v>8f495fe7-fd6e-61ef-3209-9c89646a6257</v>
    <v>en-IN</v>
    <v>Generic</v>
  </rv>
  <rv s="0">
    <v>805306368</v>
    <v>Uduch Sengebau Senior (Vice president)</v>
    <v>f0012577-9096-5b4b-9670-d1432db3b5e9</v>
    <v>en-IN</v>
    <v>Generic</v>
  </rv>
  <rv s="3">
    <v>215</v>
  </rv>
  <rv s="4">
    <v>https://www.bing.com/search?q=palau&amp;form=skydnc</v>
    <v>Learn more on Bing</v>
  </rv>
  <rv s="1">
    <fb>69.129268292682895</fb>
    <v>29</v>
  </rv>
  <rv s="1">
    <fb>3</fb>
    <v>30</v>
  </rv>
  <rv s="3">
    <v>216</v>
  </rv>
  <rv s="1">
    <fb>0.21784187630000001</fb>
    <v>24</v>
  </rv>
  <rv s="1">
    <fb>1.1848000000000001</fb>
    <v>26</v>
  </rv>
  <rv s="1">
    <fb>18055</fb>
    <v>25</v>
  </rv>
  <rv s="0">
    <v>536870912</v>
    <v>Aimeliik</v>
    <v>3a320b91-4aa6-377a-e675-3c4951370e9d</v>
    <v>en-IN</v>
    <v>Map</v>
  </rv>
  <rv s="0">
    <v>536870912</v>
    <v>Airai</v>
    <v>62bf24e4-356a-aa8c-b60f-d4389ad17018</v>
    <v>en-IN</v>
    <v>Map</v>
  </rv>
  <rv s="0">
    <v>536870912</v>
    <v>Angaur</v>
    <v>e8240fff-ab24-c626-c973-2d43a065b5e0</v>
    <v>en-IN</v>
    <v>Map</v>
  </rv>
  <rv s="0">
    <v>536870912</v>
    <v>Hatohobei</v>
    <v>467a6060-0739-407a-9909-2bee13e3dc82</v>
    <v>en-IN</v>
    <v>Map</v>
  </rv>
  <rv s="0">
    <v>536870912</v>
    <v>Kayangel</v>
    <v>2f51a901-f47f-118e-ef69-5785cc675276</v>
    <v>en-IN</v>
    <v>Map</v>
  </rv>
  <rv s="0">
    <v>536870912</v>
    <v>Melekeok</v>
    <v>f419162d-95ed-0b7b-ad14-e118723c6b78</v>
    <v>en-IN</v>
    <v>Map</v>
  </rv>
  <rv s="0">
    <v>536870912</v>
    <v>Ngaraard</v>
    <v>a5dbd89f-0ddb-3c5f-0cb4-e031e15785bf</v>
    <v>en-IN</v>
    <v>Map</v>
  </rv>
  <rv s="0">
    <v>536870912</v>
    <v>Ngarchelong</v>
    <v>e83a54d9-2b9a-54af-b881-c58a8f8cb756</v>
    <v>en-IN</v>
    <v>Map</v>
  </rv>
  <rv s="0">
    <v>536870912</v>
    <v>Ngardmau</v>
    <v>bd7d8323-2d6e-46c9-6913-dcec933dd3bb</v>
    <v>en-IN</v>
    <v>Map</v>
  </rv>
  <rv s="0">
    <v>536870912</v>
    <v>Ngeremlengui</v>
    <v>87251f8d-eb9b-fd35-5296-1c19ea9cbfce</v>
    <v>en-IN</v>
    <v>Map</v>
  </rv>
  <rv s="0">
    <v>536870912</v>
    <v>Ngatpang</v>
    <v>05f22602-2837-2ad7-fdcc-ca68271f11e1</v>
    <v>en-IN</v>
    <v>Map</v>
  </rv>
  <rv s="0">
    <v>536870912</v>
    <v>Ngchesar</v>
    <v>97456723-7180-d1e6-f30e-e63984a8faa6</v>
    <v>en-IN</v>
    <v>Map</v>
  </rv>
  <rv s="0">
    <v>536870912</v>
    <v>Ngiwal</v>
    <v>39ad3437-5ec4-147d-ea20-a73d964666d6</v>
    <v>en-IN</v>
    <v>Map</v>
  </rv>
  <rv s="0">
    <v>536870912</v>
    <v>Peleliu</v>
    <v>ce68991b-cc9c-4272-ee78-35ae99b1ba80</v>
    <v>en-IN</v>
    <v>Map</v>
  </rv>
  <rv s="0">
    <v>536870912</v>
    <v>Sonsorol</v>
    <v>2d81a705-2ad9-7009-5cb0-da7d0388ca9f</v>
    <v>en-IN</v>
    <v>Map</v>
  </rv>
  <rv s="3">
    <v>217</v>
  </rv>
  <rv s="1">
    <fb>0.21290040431093299</fb>
    <v>24</v>
  </rv>
  <rv s="1">
    <fb>0.7659999999999999</fb>
    <v>24</v>
  </rv>
  <rv s="1">
    <fb>14491</fb>
    <v>25</v>
  </rv>
  <rv s="70">
    <v>#VALUE!</v>
    <v>en-IN</v>
    <v>bdd5951c-45b5-1e5c-07ce-c7057eb017a9</v>
    <v>536870912</v>
    <v>1</v>
    <v>658</v>
    <v>659</v>
    <v>Palau</v>
    <v>20</v>
    <v>21</v>
    <v>Map</v>
    <v>22</v>
    <v>660</v>
    <v>PW</v>
    <v>3999</v>
    <v>4000</v>
    <v>4001</v>
    <v>4002</v>
    <v>4003</v>
    <v>4004</v>
    <v>4005</v>
    <v>4006</v>
    <v>USD</v>
    <v>Palau is an island country in the Micronesia subregion of Oceania in the western Pacific. The republic consists of approximately 340 islands and connects the western chain of the Caroline Islands with parts of the Federated States of Micronesia. ...</v>
    <v>4007</v>
    <v>4008</v>
    <v>1004</v>
    <v>4009</v>
    <v>4010</v>
    <v>4011</v>
    <v>4012</v>
    <v>4013</v>
    <v>4014</v>
    <v>4017</v>
    <v>4018</v>
    <v>4019</v>
    <v>4020</v>
    <v>Palau</v>
    <v>Belau rekid</v>
    <v>4021</v>
    <v>Palau</v>
    <v>4022</v>
    <v>4023</v>
    <v>4024</v>
    <v>4040</v>
    <v>4041</v>
    <v>4042</v>
    <v>Palau</v>
    <v>4043</v>
    <v>mdp/vdpid/195</v>
  </rv>
  <rv s="1">
    <fb>28</fb>
    <v>25</v>
  </rv>
  <rv s="2">
    <v>121</v>
    <v>22</v>
    <v>662</v>
    <v>7</v>
    <v>0</v>
    <v>Image of Ngerulmud</v>
  </rv>
  <rv s="1">
    <fb>7.5005559999999996</fb>
    <v>37</v>
  </rv>
  <rv s="4">
    <v>https://www.bing.com/search?q=ngerulmud&amp;form=skydnc</v>
    <v>Learn more on Bing</v>
  </rv>
  <rv s="1">
    <fb>134.624167</fb>
    <v>37</v>
  </rv>
  <rv s="71">
    <v>#VALUE!</v>
    <v>en-IN</v>
    <v>1b0f0d49-6d48-6ead-6b14-57454977d1a5</v>
    <v>536870912</v>
    <v>1</v>
    <v>663</v>
    <v>664</v>
    <v>Ngerulmud</v>
    <v>20</v>
    <v>21</v>
    <v>Map</v>
    <v>22</v>
    <v>665</v>
    <v>4045</v>
    <v>3998</v>
    <v>Ngerulmud is the seat of government of the Republic of Palau, an island nation in the Pacific Ocean. It replaced Koror City, as a capital in 2006. The settlement is located in the state of Melekeok on Babeldaob, the country's largest island, ...</v>
    <v>4046</v>
    <v>4047</v>
    <v>4048</v>
    <v>4049</v>
    <v>Ngerulmud</v>
    <v>Ngerulmud</v>
    <v>mdp/vdpid/7921522665074982913</v>
  </rv>
  <rv s="72">
    <v>9</v>
    <v>6</v>
  </rv>
  <rv s="2">
    <v>120</v>
    <v>22</v>
    <v>655</v>
    <v>3</v>
    <v>0</v>
    <v>Image of Palau</v>
  </rv>
  <rv s="8">
    <v>en-IN</v>
    <v>avytgh</v>
    <v>268435456</v>
    <v>1</v>
    <v>Powered by Refinitiv</v>
    <v>42</v>
    <v>USD/THB</v>
    <v>43</v>
    <v>666</v>
    <v>Finance</v>
    <v>45</v>
    <v>35.159999999999997</v>
    <v>31.53</v>
    <v>0.04</v>
    <v>1.225E-3</v>
    <v>THB</v>
    <v>USD</v>
    <v>32.700000000000003</v>
    <v>Currency Pair</v>
    <v>45957.217777777776</v>
    <v>32.61</v>
    <v>US Dollar/Thai Baht FX Spot Rate</v>
    <v>32.68</v>
    <v>32.64</v>
    <v>32.68</v>
    <v>USDTHB</v>
    <v>USD/THB</v>
  </rv>
  <rv s="9">
    <v>4053</v>
  </rv>
  <rv s="4">
    <v>https://www.bing.com/financeapi/forcetrigger?t=axyhnm&amp;q=XNAS%3aPEP&amp;form=skydnc</v>
    <v>Learn more on Bing</v>
  </rv>
  <rv s="10">
    <v>en-IN</v>
    <v>axyhnm</v>
    <v>268435456</v>
    <v>1</v>
    <v>Powered by Refinitiv</v>
    <v>46</v>
    <v>PEPSICO, INC. (XNAS:PEP)</v>
    <v>47</v>
    <v>48</v>
    <v>Finance</v>
    <v>49</v>
    <v>172.98</v>
    <v>127.6</v>
    <v>0.44729999999999998</v>
    <v>0.04</v>
    <v>2.9689999999999999E-3</v>
    <v>2.6400000000000002E-4</v>
    <v>0.45</v>
    <v>USD</v>
    <v>PepsiCo, Inc. is a global beverage and convenient food company. It has a portfolio of brands, including Lay’s, Doritos, Cheetos, Gatorade, Pepsi-Cola, Mountain Dew, Quaker and SodaStream. Its segments include Frito-Lay North America (FLNA); Quaker Foods North America (QFNA); PepsiCo Beverages North America (PBNA); Latin America (LatAm); Europe; Africa, Middle East and South Asia (AMESA), and Asia Pacific, Australia and New Zealand and China Region (APAC). FLNA makes, markets, distributes and sells branded convenient foods, which include branded dips, Cheetos cheese-flavored snacks, Doritos tortilla chips, Fritos corn chips, Lay’s potato chips, and others. QFNA’s products include Cap’n Crunch cereal, Life cereal, Pearl Milling Company syrups and mixes, Quaker Chewy granola bars, Quaker grits, Quaker oatmeal, and others. PBNA makes, markets and sells beverage concentrates and fountain syrups under various beverage brands, including Aquafina, Bubly, Diet Pepsi, Gatorade, and others.</v>
    <v>319000</v>
    <v>Nasdaq Stock Market</v>
    <v>XNAS</v>
    <v>XNAS</v>
    <v>700 ANDERSON HILL RD, PURCHASE, NY, 10577 US</v>
    <v>152.41499999999999</v>
    <v>Beverages</v>
    <v>Stock</v>
    <v>45954.999662048438</v>
    <v>4055</v>
    <v>151.26499999999999</v>
    <v>209244100000</v>
    <v>PEPSICO, INC.</v>
    <v>PEPSICO, INC.</v>
    <v>152.04</v>
    <v>28.817499999999999</v>
    <v>151.51</v>
    <v>151.55000000000001</v>
    <v>152</v>
    <v>1367340000</v>
    <v>PEP</v>
    <v>PEPSICO, INC. (XNAS:PEP)</v>
    <v>3580182</v>
    <v>7658878</v>
    <v>1986</v>
  </rv>
  <rv s="9">
    <v>4056</v>
  </rv>
  <rv s="0">
    <v>536870912</v>
    <v>Panama</v>
    <v>8c0fb36e-1238-e873-e015-712d1f496676</v>
    <v>en-IN</v>
    <v>Map</v>
  </rv>
  <rv s="1">
    <fb>0.30360505784234598</fb>
    <v>24</v>
  </rv>
  <rv s="1">
    <fb>74177.3</fb>
    <v>25</v>
  </rv>
  <rv s="1">
    <fb>26000</fb>
    <v>25</v>
  </rv>
  <rv s="1">
    <fb>18.975999999999999</fb>
    <v>26</v>
  </rv>
  <rv s="1">
    <fb>507</fb>
    <v>27</v>
  </rv>
  <rv s="0">
    <v>536870912</v>
    <v>Panama City</v>
    <v>19964a6e-18be-b7ab-2d10-ea83677d0218</v>
    <v>en-IN</v>
    <v>Map</v>
  </rv>
  <rv s="1">
    <fb>10714.974</fb>
    <v>25</v>
  </rv>
  <rv s="1">
    <fb>122.06871337877099</fb>
    <v>28</v>
  </rv>
  <rv s="1">
    <fb>-3.55083821021212E-3</fb>
    <v>24</v>
  </rv>
  <rv s="1">
    <fb>2064.1757971350698</fb>
    <v>25</v>
  </rv>
  <rv s="1">
    <fb>2.4609999999999999</fb>
    <v>26</v>
  </rv>
  <rv s="1">
    <fb>0.61885930826691504</fb>
    <v>24</v>
  </rv>
  <rv s="1">
    <fb>80.712661963503095</fb>
    <v>29</v>
  </rv>
  <rv s="1">
    <fb>66800800000</fb>
    <v>31</v>
  </rv>
  <rv s="1">
    <fb>0.94385990000000008</fb>
    <v>24</v>
  </rv>
  <rv s="1">
    <fb>0.47799360000000002</fb>
    <v>24</v>
  </rv>
  <rv s="2">
    <v>122</v>
    <v>22</v>
    <v>668</v>
    <v>7</v>
    <v>0</v>
    <v>Image of Panama</v>
  </rv>
  <rv s="1">
    <fb>13.1</fb>
    <v>29</v>
  </rv>
  <rv s="0">
    <v>805306368</v>
    <v>Laurentino Cortizo (President)</v>
    <v>d28bab2f-9b4b-26fe-37f3-cbd7e5a0f7cc</v>
    <v>en-IN</v>
    <v>Generic</v>
  </rv>
  <rv s="0">
    <v>805306368</v>
    <v>José Gabriel Carrizo (Vice president)</v>
    <v>2dd6eb05-53d1-144f-5604-0f65142279af</v>
    <v>en-IN</v>
    <v>Generic</v>
  </rv>
  <rv s="3">
    <v>218</v>
  </rv>
  <rv s="4">
    <v>https://www.bing.com/search?q=panama&amp;form=skydnc</v>
    <v>Learn more on Bing</v>
  </rv>
  <rv s="1">
    <fb>78.328999999999994</fb>
    <v>29</v>
  </rv>
  <rv s="1">
    <fb>16841000000</fb>
    <v>31</v>
  </rv>
  <rv s="1">
    <fb>52</fb>
    <v>29</v>
  </rv>
  <rv s="1">
    <fb>1.53</fb>
    <v>30</v>
  </rv>
  <rv s="3">
    <v>219</v>
  </rv>
  <rv s="1">
    <fb>0.30522739929999998</fb>
    <v>24</v>
  </rv>
  <rv s="1">
    <fb>1.5687</fb>
    <v>26</v>
  </rv>
  <rv s="1">
    <fb>4408581</fb>
    <v>25</v>
  </rv>
  <rv s="1">
    <fb>0.21199999999999999</fb>
    <v>24</v>
  </rv>
  <rv s="1">
    <fb>0.371</fb>
    <v>24</v>
  </rv>
  <rv s="1">
    <fb>0.53600000000000003</fb>
    <v>24</v>
  </rv>
  <rv s="1">
    <fb>1.2E-2</fb>
    <v>24</v>
  </rv>
  <rv s="1">
    <fb>3.6000000000000004E-2</fb>
    <v>24</v>
  </rv>
  <rv s="1">
    <fb>0.66588996887207008</fb>
    <v>24</v>
  </rv>
  <rv s="0">
    <v>536870912</v>
    <v>Emberá-Wounaan Comarca</v>
    <v>f56655f7-6539-11d2-61b2-e9edef2ff376</v>
    <v>en-IN</v>
    <v>Map</v>
  </rv>
  <rv s="0">
    <v>536870912</v>
    <v>Guna Yala</v>
    <v>fa5c0a4e-0c4a-927a-b9f7-dd44c8fd002f</v>
    <v>en-IN</v>
    <v>Map</v>
  </rv>
  <rv s="0">
    <v>536870912</v>
    <v>Ngäbe-Buglé Comarca</v>
    <v>3e8065bb-603d-4416-9e4e-7cdf098663dc</v>
    <v>en-IN</v>
    <v>Map</v>
  </rv>
  <rv s="0">
    <v>536870912</v>
    <v>Guna de Madugandí</v>
    <v>ac4e195f-6c42-ae9d-f74a-128ec43b5e3f</v>
    <v>en-IN</v>
    <v>Map</v>
  </rv>
  <rv s="0">
    <v>536870912</v>
    <v>Kuna de Wargandí</v>
    <v>27005d80-c390-72a0-5fe3-e0b111e46cea</v>
    <v>en-IN</v>
    <v>Map</v>
  </rv>
  <rv s="0">
    <v>536870912</v>
    <v>Bocas del Toro Province</v>
    <v>b0bd1a37-77f9-07ad-4bb5-d1d8e7ae5ccd</v>
    <v>en-IN</v>
    <v>Map</v>
  </rv>
  <rv s="0">
    <v>536870912</v>
    <v>Chiriquí Province</v>
    <v>da5a9762-a0b7-1ffe-bc95-34ccb19d1382</v>
    <v>en-IN</v>
    <v>Map</v>
  </rv>
  <rv s="0">
    <v>536870912</v>
    <v>Coclé Province</v>
    <v>7d1a06f8-72c7-b88d-d742-13034e32cde4</v>
    <v>en-IN</v>
    <v>Map</v>
  </rv>
  <rv s="0">
    <v>536870912</v>
    <v>Colón Province</v>
    <v>fc6b97f2-ecfa-1eb3-207c-783ce206f9ea</v>
    <v>en-IN</v>
    <v>Map</v>
  </rv>
  <rv s="0">
    <v>536870912</v>
    <v>Darién Province</v>
    <v>fec9bd09-52d2-2f43-c137-a73af607d3c4</v>
    <v>en-IN</v>
    <v>Map</v>
  </rv>
  <rv s="0">
    <v>536870912</v>
    <v>Herrera Province</v>
    <v>5315f223-f244-c960-4e73-fca8cb9d8354</v>
    <v>en-IN</v>
    <v>Map</v>
  </rv>
  <rv s="0">
    <v>536870912</v>
    <v>Los Santos Province</v>
    <v>5aeb7060-ab74-113a-23d7-abb8287efa3e</v>
    <v>en-IN</v>
    <v>Map</v>
  </rv>
  <rv s="0">
    <v>536870912</v>
    <v>Panamá Province</v>
    <v>a90e5d63-7677-0644-50c7-f2bdfff82d78</v>
    <v>en-IN</v>
    <v>Map</v>
  </rv>
  <rv s="0">
    <v>536870912</v>
    <v>Veraguas Province</v>
    <v>2d44080e-33d5-ab6d-8d0e-64edfdd9b92d</v>
    <v>en-IN</v>
    <v>Map</v>
  </rv>
  <rv s="3">
    <v>220</v>
  </rv>
  <rv s="1">
    <fb>3.9019999504089402E-2</fb>
    <v>32</v>
  </rv>
  <rv s="1">
    <fb>2890084</fb>
    <v>25</v>
  </rv>
  <rv s="73">
    <v>#VALUE!</v>
    <v>en-IN</v>
    <v>8c0fb36e-1238-e873-e015-712d1f496676</v>
    <v>536870912</v>
    <v>1</v>
    <v>671</v>
    <v>672</v>
    <v>Panama</v>
    <v>20</v>
    <v>21</v>
    <v>Map</v>
    <v>22</v>
    <v>673</v>
    <v>PA</v>
    <v>4059</v>
    <v>4060</v>
    <v>4061</v>
    <v>4062</v>
    <v>4063</v>
    <v>4064</v>
    <v>4065</v>
    <v>4066</v>
    <v>4067</v>
    <v>PAB</v>
    <v>Panama, officially the Republic of Panama, is a transcontinental country in Central America, spanning the southern tip of North America into the northern part of South America. It is bordered by Costa Rica to the west, Colombia to the southeast, ...</v>
    <v>4068</v>
    <v>4069</v>
    <v>4070</v>
    <v>4071</v>
    <v>1441</v>
    <v>4072</v>
    <v>4073</v>
    <v>4074</v>
    <v>4075</v>
    <v>4076</v>
    <v>4064</v>
    <v>4079</v>
    <v>4080</v>
    <v>4081</v>
    <v>4082</v>
    <v>4083</v>
    <v>4084</v>
    <v>Panama</v>
    <v>Himno Istmeño</v>
    <v>4085</v>
    <v>Panamá</v>
    <v>4086</v>
    <v>4087</v>
    <v>4088</v>
    <v>4089</v>
    <v>4090</v>
    <v>4091</v>
    <v>4092</v>
    <v>4093</v>
    <v>2104</v>
    <v>2237</v>
    <v>4094</v>
    <v>4109</v>
    <v>973</v>
    <v>4110</v>
    <v>Panama</v>
    <v>4111</v>
    <v>mdp/vdpid/192</v>
  </rv>
  <rv s="0">
    <v>536870912</v>
    <v>Panamá District</v>
    <v>98569ac0-96a7-9a82-4c37-17794e766f61</v>
    <v>en-IN</v>
    <v>Map</v>
  </rv>
  <rv s="1">
    <fb>275</fb>
    <v>25</v>
  </rv>
  <rv s="2">
    <v>123</v>
    <v>22</v>
    <v>674</v>
    <v>7</v>
    <v>0</v>
    <v>Image of Panama City</v>
  </rv>
  <rv s="1">
    <fb>9</fb>
    <v>37</v>
  </rv>
  <rv s="0">
    <v>805306368</v>
    <v>José Luis Fábrega (Mayor)</v>
    <v>39966211-1faa-383e-1c50-51c90b884763</v>
    <v>en-IN</v>
    <v>Generic</v>
  </rv>
  <rv s="3">
    <v>221</v>
  </rv>
  <rv s="4">
    <v>https://www.bing.com/search?q=panama+city+panama&amp;form=skydnc</v>
    <v>Learn more on Bing</v>
  </rv>
  <rv s="1">
    <fb>-79.5</fb>
    <v>37</v>
  </rv>
  <rv s="1">
    <fb>880691</fb>
    <v>25</v>
  </rv>
  <rv s="21">
    <v>#VALUE!</v>
    <v>en-IN</v>
    <v>19964a6e-18be-b7ab-2d10-ea83677d0218</v>
    <v>536870912</v>
    <v>1</v>
    <v>675</v>
    <v>120</v>
    <v>Panama City</v>
    <v>20</v>
    <v>21</v>
    <v>Map</v>
    <v>22</v>
    <v>198</v>
    <v>4107</v>
    <v>4113</v>
    <v>4114</v>
    <v>4058</v>
    <v>Panama City, also known as Panama, is the capital and largest city of Panama. It has a total population of 1,938,000, with over 1,500,000 in its urban area. The city is located at the Pacific entrance of the Panama Canal, in the province of ...</v>
    <v>4115</v>
    <v>4116</v>
    <v>4118</v>
    <v>4119</v>
    <v>4120</v>
    <v>Panama City</v>
    <v>4121</v>
    <v>Panama City</v>
    <v>mdp/vdpid/5569791685866553345</v>
  </rv>
  <rv s="2">
    <v>122</v>
    <v>22</v>
    <v>668</v>
    <v>3</v>
    <v>0</v>
    <v>Image of Panama</v>
  </rv>
  <rv s="8">
    <v>en-IN</v>
    <v>avw4lh</v>
    <v>268435456</v>
    <v>1</v>
    <v>Powered by Refinitiv</v>
    <v>42</v>
    <v>THB/USD</v>
    <v>43</v>
    <v>62</v>
    <v>Finance</v>
    <v>45</v>
    <v>3.1669999999999997E-2</v>
    <v>2.8420000000000001E-2</v>
    <v>6.4999999999999994E-5</v>
    <v>2.1299999999999999E-3</v>
    <v>USD</v>
    <v>THB</v>
    <v>3.0669999999999999E-2</v>
    <v>Currency Pair</v>
    <v>45957.217777777776</v>
    <v>3.058E-2</v>
    <v>Thai Baht/US Dollar FX Cross Rate</v>
    <v>3.057E-2</v>
    <v>3.0519999999999999E-2</v>
    <v>3.058E-2</v>
    <v>THBUSD</v>
    <v>THB/USD</v>
  </rv>
  <rv s="9">
    <v>4124</v>
  </rv>
  <rv s="4">
    <v>https://www.bing.com/financeapi/forcetrigger?t=a1nhlh&amp;q=XNAS%3aAMZN&amp;form=skydnc</v>
    <v>Learn more on Bing</v>
  </rv>
  <rv s="10">
    <v>en-IN</v>
    <v>a1nhlh</v>
    <v>268435456</v>
    <v>1</v>
    <v>Powered by Refinitiv</v>
    <v>46</v>
    <v>AMAZON.COM, INC. (XNAS:AMZN)</v>
    <v>47</v>
    <v>48</v>
    <v>Finance</v>
    <v>49</v>
    <v>242.52</v>
    <v>161.38</v>
    <v>1.2842</v>
    <v>3.12</v>
    <v>4.46E-4</v>
    <v>1.4112E-2</v>
    <v>0.1</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1546000</v>
    <v>Nasdaq Stock Market</v>
    <v>XNAS</v>
    <v>XNAS</v>
    <v>410 Terry Avenue North, SEATTLE, WA, 98109 US</v>
    <v>225.4</v>
    <v>Diversified Retail</v>
    <v>Stock</v>
    <v>45954.999975635939</v>
    <v>4126</v>
    <v>221.9</v>
    <v>2324418000000</v>
    <v>AMAZON.COM, INC.</v>
    <v>AMAZON.COM, INC.</v>
    <v>221.97</v>
    <v>34.213900000000002</v>
    <v>221.09</v>
    <v>224.21</v>
    <v>224.31</v>
    <v>10664910000</v>
    <v>AMZN</v>
    <v>AMAZON.COM, INC. (XNAS:AMZN)</v>
    <v>38685053</v>
    <v>48121986</v>
    <v>1996</v>
  </rv>
  <rv s="9">
    <v>4127</v>
  </rv>
  <rv s="0">
    <v>536870912</v>
    <v>Papua New Guinea</v>
    <v>3d24acc6-9a00-61bb-a264-5eb69db51fff</v>
    <v>en-IN</v>
    <v>Map</v>
  </rv>
  <rv s="1">
    <fb>2.6277436735414897E-2</fb>
    <v>24</v>
  </rv>
  <rv s="1">
    <fb>462840</fb>
    <v>25</v>
  </rv>
  <rv s="1">
    <fb>27.073</fb>
    <v>26</v>
  </rv>
  <rv s="1">
    <fb>675</fb>
    <v>27</v>
  </rv>
  <rv s="0">
    <v>536870912</v>
    <v>Port Moresby</v>
    <v>3eca123a-512b-21c1-ab22-b49528bb05f3</v>
    <v>en-IN</v>
    <v>Map</v>
  </rv>
  <rv s="1">
    <fb>7535.6850000000004</fb>
    <v>25</v>
  </rv>
  <rv s="1">
    <fb>155.992373115839</fb>
    <v>28</v>
  </rv>
  <rv s="1">
    <fb>3.6378990025278501E-2</fb>
    <v>24</v>
  </rv>
  <rv s="1">
    <fb>3.5640000000000001</fb>
    <v>26</v>
  </rv>
  <rv s="1">
    <fb>0.74098395130393502</fb>
    <v>24</v>
  </rv>
  <rv s="1">
    <fb>24969611434.768398</fb>
    <v>31</v>
  </rv>
  <rv s="1">
    <fb>1.0854585999999999</fb>
    <v>24</v>
  </rv>
  <rv s="1">
    <fb>1.7782199999999998E-2</fb>
    <v>24</v>
  </rv>
  <rv s="2">
    <v>124</v>
    <v>22</v>
    <v>677</v>
    <v>7</v>
    <v>0</v>
    <v>Image of Papua New Guinea</v>
  </rv>
  <rv s="1">
    <fb>38</fb>
    <v>29</v>
  </rv>
  <rv s="0">
    <v>805306368</v>
    <v>James Marape (Prime minister)</v>
    <v>a0345110-c9e2-ac03-8dc8-3f992f91769e</v>
    <v>en-IN</v>
    <v>Generic</v>
  </rv>
  <rv s="3">
    <v>222</v>
  </rv>
  <rv s="4">
    <v>https://www.bing.com/search?q=papua+new+guinea&amp;form=skydnc</v>
    <v>Learn more on Bing</v>
  </rv>
  <rv s="1">
    <fb>64.263000000000005</fb>
    <v>29</v>
  </rv>
  <rv s="1">
    <fb>12592450000</fb>
    <v>31</v>
  </rv>
  <rv s="3">
    <v>223</v>
  </rv>
  <rv s="1">
    <fb>5.7628055900000003E-2</fb>
    <v>24</v>
  </rv>
  <rv s="1">
    <fb>6.9900000000000004E-2</fb>
    <v>26</v>
  </rv>
  <rv s="1">
    <fb>10142619</fb>
    <v>25</v>
  </rv>
  <rv s="1">
    <fb>0.22399999999999998</fb>
    <v>24</v>
  </rv>
  <rv s="1">
    <fb>0.31</fb>
    <v>24</v>
  </rv>
  <rv s="1">
    <fb>0.152</fb>
    <v>24</v>
  </rv>
  <rv s="1">
    <fb>0.47192001342773404</fb>
    <v>24</v>
  </rv>
  <rv s="0">
    <v>536870912</v>
    <v>Central Province</v>
    <v>5553cc51-2a2c-e8a0-f83d-dcbbec67b41f</v>
    <v>en-IN</v>
    <v>Map</v>
  </rv>
  <rv s="0">
    <v>536870912</v>
    <v>Chimbu Province</v>
    <v>209165a1-e6b7-cd3d-7029-e10db0858d01</v>
    <v>en-IN</v>
    <v>Map</v>
  </rv>
  <rv s="0">
    <v>536870912</v>
    <v>Eastern Highlands Province</v>
    <v>65e19690-6117-17f1-b9be-39a3b4700364</v>
    <v>en-IN</v>
    <v>Map</v>
  </rv>
  <rv s="0">
    <v>536870912</v>
    <v>East New Britain Province</v>
    <v>b53218a4-bff9-a8a4-e21c-6c9e63790c6d</v>
    <v>en-IN</v>
    <v>Map</v>
  </rv>
  <rv s="0">
    <v>536870912</v>
    <v>East Sepik Province</v>
    <v>5abece1f-ee04-f859-6925-f585d991eddf</v>
    <v>en-IN</v>
    <v>Map</v>
  </rv>
  <rv s="0">
    <v>536870912</v>
    <v>Enga Province</v>
    <v>d2172c81-da82-e104-5aad-81fcc7f70e5f</v>
    <v>en-IN</v>
    <v>Map</v>
  </rv>
  <rv s="0">
    <v>536870912</v>
    <v>Gulf Province</v>
    <v>1eaef8e4-ed1c-6d57-316b-ee2fd0a49b5f</v>
    <v>en-IN</v>
    <v>Map</v>
  </rv>
  <rv s="0">
    <v>536870912</v>
    <v>Madang Province</v>
    <v>4c0e9549-d479-f501-6473-eed7210f6bf9</v>
    <v>en-IN</v>
    <v>Map</v>
  </rv>
  <rv s="0">
    <v>536870912</v>
    <v>Manus Province</v>
    <v>b59ac14a-d297-3193-c0d2-e95be84413fb</v>
    <v>en-IN</v>
    <v>Map</v>
  </rv>
  <rv s="0">
    <v>536870912</v>
    <v>Milne Bay Province</v>
    <v>66e1bdd9-429a-5826-35c5-098ee0ef3a07</v>
    <v>en-IN</v>
    <v>Map</v>
  </rv>
  <rv s="0">
    <v>536870912</v>
    <v>Morobe Province</v>
    <v>1ff4ea52-b07e-5df4-3e47-e4742725117b</v>
    <v>en-IN</v>
    <v>Map</v>
  </rv>
  <rv s="0">
    <v>536870912</v>
    <v>New Ireland Province</v>
    <v>7afd44e7-ead0-962a-f798-a35096ee4f52</v>
    <v>en-IN</v>
    <v>Map</v>
  </rv>
  <rv s="0">
    <v>536870912</v>
    <v>Oro Province</v>
    <v>2b7ae909-5955-6b9e-6687-0967a9c49922</v>
    <v>en-IN</v>
    <v>Map</v>
  </rv>
  <rv s="0">
    <v>536870912</v>
    <v>Autonomous Region of Bougainville</v>
    <v>044990bc-b8ec-c788-7102-cfe0714acc92</v>
    <v>en-IN</v>
    <v>Map</v>
  </rv>
  <rv s="0">
    <v>536870912</v>
    <v>Southern Highlands Province</v>
    <v>a9fb395f-0ac4-6f32-0782-4094f4cca5fc</v>
    <v>en-IN</v>
    <v>Map</v>
  </rv>
  <rv s="0">
    <v>536870912</v>
    <v>Western Province</v>
    <v>95cd39ab-3016-0d2e-6213-1fa72f87dff7</v>
    <v>en-IN</v>
    <v>Map</v>
  </rv>
  <rv s="0">
    <v>536870912</v>
    <v>Western Highlands Province</v>
    <v>26654274-eeed-9a87-ebe9-2936480751b9</v>
    <v>en-IN</v>
    <v>Map</v>
  </rv>
  <rv s="0">
    <v>536870912</v>
    <v>West New Britain Province</v>
    <v>97bafcd3-149b-26a3-9ffe-a830bbc2a5a9</v>
    <v>en-IN</v>
    <v>Map</v>
  </rv>
  <rv s="0">
    <v>536870912</v>
    <v>Sandaun Province</v>
    <v>7265232b-67d7-7bd5-b03d-fc1a7921dde5</v>
    <v>en-IN</v>
    <v>Map</v>
  </rv>
  <rv s="0">
    <v>536870912</v>
    <v>National Capital District</v>
    <v>810f40d0-e429-439a-99ef-dac8e951b2ea</v>
    <v>en-IN</v>
    <v>Map</v>
  </rv>
  <rv s="0">
    <v>536870912</v>
    <v>Hela Province</v>
    <v>cef87365-0679-484e-9cfe-9a2d80e7d98a</v>
    <v>en-IN</v>
    <v>Map</v>
  </rv>
  <rv s="0">
    <v>536870912</v>
    <v>Jiwaka Province</v>
    <v>c7a42824-0252-8fa0-af9f-b21e346700bf</v>
    <v>en-IN</v>
    <v>Map</v>
  </rv>
  <rv s="3">
    <v>224</v>
  </rv>
  <rv s="1">
    <fb>0.13587528071647101</fb>
    <v>24</v>
  </rv>
  <rv s="1">
    <fb>2.4590001106262197E-2</fb>
    <v>32</v>
  </rv>
  <rv s="1">
    <fb>1162834</fb>
    <v>25</v>
  </rv>
  <rv s="74">
    <v>#VALUE!</v>
    <v>en-IN</v>
    <v>3d24acc6-9a00-61bb-a264-5eb69db51fff</v>
    <v>536870912</v>
    <v>1</v>
    <v>680</v>
    <v>681</v>
    <v>Papua New Guinea</v>
    <v>20</v>
    <v>21</v>
    <v>Map</v>
    <v>22</v>
    <v>682</v>
    <v>PG</v>
    <v>4130</v>
    <v>4131</v>
    <v>618</v>
    <v>4132</v>
    <v>4133</v>
    <v>4134</v>
    <v>4135</v>
    <v>4136</v>
    <v>4137</v>
    <v>PGK</v>
    <v>Papua New Guinea, officially the Independent State of Papua New Guinea, is a country in Oceania that comprises the eastern half of the island of New Guinea and its offshore islands in Melanesia. It shares its only land border with Indonesia to ...</v>
    <v>4138</v>
    <v>4139</v>
    <v>2217</v>
    <v>4140</v>
    <v>4141</v>
    <v>4142</v>
    <v>4143</v>
    <v>4144</v>
    <v>4134</v>
    <v>4146</v>
    <v>4147</v>
    <v>4148</v>
    <v>4149</v>
    <v>28</v>
    <v>1291</v>
    <v>Papua New Guinea</v>
    <v>O Arise, All You Sons</v>
    <v>4150</v>
    <v>Papua New Guinea</v>
    <v>4151</v>
    <v>4152</v>
    <v>4153</v>
    <v>4154</v>
    <v>4155</v>
    <v>237</v>
    <v>502</v>
    <v>503</v>
    <v>1918</v>
    <v>4156</v>
    <v>4157</v>
    <v>4180</v>
    <v>4181</v>
    <v>4090</v>
    <v>4182</v>
    <v>Papua New Guinea</v>
    <v>4183</v>
    <v>mdp/vdpid/194</v>
  </rv>
  <rv s="1">
    <fb>240</fb>
    <v>25</v>
  </rv>
  <rv s="2">
    <v>125</v>
    <v>22</v>
    <v>683</v>
    <v>7</v>
    <v>0</v>
    <v>Image of Port Moresby</v>
  </rv>
  <rv s="1">
    <fb>-9.4788888888888998</fb>
    <v>37</v>
  </rv>
  <rv s="0">
    <v>805306368</v>
    <v>Powes Parkop (Governor)</v>
    <v>e5cf7b15-5314-90ca-bb4f-eba33d9e1f25</v>
    <v>en-IN</v>
    <v>Generic</v>
  </rv>
  <rv s="3">
    <v>225</v>
  </rv>
  <rv s="4">
    <v>https://www.bing.com/search?q=port+moresby&amp;form=skydnc</v>
    <v>Learn more on Bing</v>
  </rv>
  <rv s="1">
    <fb>147.14944444444001</fb>
    <v>37</v>
  </rv>
  <rv s="1">
    <fb>317374</fb>
    <v>25</v>
  </rv>
  <rv s="22">
    <v>#VALUE!</v>
    <v>en-IN</v>
    <v>3eca123a-512b-21c1-ab22-b49528bb05f3</v>
    <v>536870912</v>
    <v>1</v>
    <v>684</v>
    <v>131</v>
    <v>Port Moresby</v>
    <v>20</v>
    <v>21</v>
    <v>Map</v>
    <v>22</v>
    <v>414</v>
    <v>4185</v>
    <v>4129</v>
    <v>Port Moresby, also referred to as Pom City or simply Moresby, is the capital and largest city of Papua New Guinea. It is one of the largest cities in the southwestern Pacific outside of Australia and New Zealand. It is located on the shores of ...</v>
    <v>4186</v>
    <v>4187</v>
    <v>4189</v>
    <v>4190</v>
    <v>4191</v>
    <v>Port Moresby</v>
    <v>4192</v>
    <v>Port Moresby</v>
    <v>mdp/vdpid/8805776658628870145</v>
  </rv>
  <rv s="2">
    <v>124</v>
    <v>22</v>
    <v>677</v>
    <v>3</v>
    <v>0</v>
    <v>Image of Papua New Guinea</v>
  </rv>
  <rv s="8">
    <v>en-IN</v>
    <v>avyobh</v>
    <v>268435456</v>
    <v>1</v>
    <v>Powered by Refinitiv</v>
    <v>42</v>
    <v>USD/IDR</v>
    <v>43</v>
    <v>685</v>
    <v>Finance</v>
    <v>45</v>
    <v>16970</v>
    <v>15505</v>
    <v>40</v>
    <v>2.4109999999999999E-3</v>
    <v>IDR</v>
    <v>USD</v>
    <v>16635</v>
    <v>Currency Pair</v>
    <v>45957.207546296297</v>
    <v>16605</v>
    <v>US Dollar/Indonesian Rupiah FX Spot Rate</v>
    <v>16580</v>
    <v>16590</v>
    <v>16630</v>
    <v>USDIDR</v>
    <v>USD/IDR</v>
  </rv>
  <rv s="9">
    <v>4195</v>
  </rv>
  <rv s="35">
    <v>12</v>
    <v>Change</v>
    <v>0</v>
  </rv>
  <rv s="35">
    <v>12</v>
    <v>Headquarters</v>
    <v>0</v>
  </rv>
  <rv s="35">
    <v>12</v>
    <v>Employees</v>
    <v>0</v>
  </rv>
  <rv s="35">
    <v>12</v>
    <v>Official name</v>
    <v>0</v>
  </rv>
  <rv s="35">
    <v>12</v>
    <v>Industry</v>
    <v>0</v>
  </rv>
  <rv s="35">
    <v>12</v>
    <v>Year incorporated</v>
    <v>0</v>
  </rv>
  <rv s="0">
    <v>536870912</v>
    <v>Paraguay</v>
    <v>38755944-7eb5-b816-af98-acd4bbf59209</v>
    <v>en-IN</v>
    <v>Map</v>
  </rv>
  <rv s="1">
    <fb>0.55084319154291495</fb>
    <v>24</v>
  </rv>
  <rv s="1">
    <fb>406756</fb>
    <v>25</v>
  </rv>
  <rv s="1">
    <fb>27000</fb>
    <v>25</v>
  </rv>
  <rv s="1">
    <fb>20.571000000000002</fb>
    <v>26</v>
  </rv>
  <rv s="1">
    <fb>595</fb>
    <v>27</v>
  </rv>
  <rv s="0">
    <v>536870912</v>
    <v>Asunción</v>
    <v>4b5ad817-2782-74b0-8e77-733cb22e48af</v>
    <v>en-IN</v>
    <v>Map</v>
  </rv>
  <rv s="1">
    <fb>7407.34</fb>
    <v>25</v>
  </rv>
  <rv s="1">
    <fb>143.82104097452901</fb>
    <v>28</v>
  </rv>
  <rv s="1">
    <fb>2.7570972756279E-2</fb>
    <v>24</v>
  </rv>
  <rv s="1">
    <fb>1552.38421668465</fb>
    <v>25</v>
  </rv>
  <rv s="1">
    <fb>2.4289999999999998</fb>
    <v>26</v>
  </rv>
  <rv s="1">
    <fb>0.377488034467027</fb>
    <v>24</v>
  </rv>
  <rv s="1">
    <fb>33.703312045093298</fb>
    <v>29</v>
  </rv>
  <rv s="1">
    <fb>1.04</fb>
    <v>30</v>
  </rv>
  <rv s="1">
    <fb>38145288939.848801</fb>
    <v>31</v>
  </rv>
  <rv s="1">
    <fb>1.0437316999999999</fb>
    <v>24</v>
  </rv>
  <rv s="1">
    <fb>0.3463021</fb>
    <v>24</v>
  </rv>
  <rv s="2">
    <v>126</v>
    <v>22</v>
    <v>687</v>
    <v>7</v>
    <v>0</v>
    <v>Image of Paraguay</v>
  </rv>
  <rv s="1">
    <fb>17.2</fb>
    <v>29</v>
  </rv>
  <rv s="0">
    <v>805306368</v>
    <v>Santiago Peña (President)</v>
    <v>22f2da7c-613d-1af9-2ba7-629e3a20819d</v>
    <v>en-IN</v>
    <v>Generic</v>
  </rv>
  <rv s="0">
    <v>805306368</v>
    <v>Pedro Alliana (Vice president)</v>
    <v>4bf067bc-dca2-1fc0-62b9-a74f4e4681d3</v>
    <v>en-IN</v>
    <v>Generic</v>
  </rv>
  <rv s="3">
    <v>226</v>
  </rv>
  <rv s="4">
    <v>https://www.bing.com/search?q=paraguay&amp;form=skydnc</v>
    <v>Learn more on Bing</v>
  </rv>
  <rv s="1">
    <fb>74.131</fb>
    <v>29</v>
  </rv>
  <rv s="1">
    <fb>312800000</fb>
    <v>31</v>
  </rv>
  <rv s="1">
    <fb>129</fb>
    <v>29</v>
  </rv>
  <rv s="1">
    <fb>1.55</fb>
    <v>30</v>
  </rv>
  <rv s="3">
    <v>227</v>
  </rv>
  <rv s="1">
    <fb>0.36485746740000002</fb>
    <v>24</v>
  </rv>
  <rv s="1">
    <fb>1.3544</fb>
    <v>26</v>
  </rv>
  <rv s="1">
    <fb>6780744</fb>
    <v>25</v>
  </rv>
  <rv s="1">
    <fb>0.35899999999999999</fb>
    <v>24</v>
  </rv>
  <rv s="1">
    <fb>4.7E-2</fb>
    <v>24</v>
  </rv>
  <rv s="1">
    <fb>0.720940017700195</fb>
    <v>24</v>
  </rv>
  <rv s="0">
    <v>536870912</v>
    <v>Alto Paraguay Department</v>
    <v>0f551218-6ef2-8a91-e4f1-0c4fe5301403</v>
    <v>en-IN</v>
    <v>Map</v>
  </rv>
  <rv s="0">
    <v>536870912</v>
    <v>Alto Paraná Department</v>
    <v>622aa25a-b0e7-3e94-0a4e-c44b2a606a8a</v>
    <v>en-IN</v>
    <v>Map</v>
  </rv>
  <rv s="0">
    <v>536870912</v>
    <v>Amambay Department</v>
    <v>25a00850-f819-32d0-7038-bc8149b837aa</v>
    <v>en-IN</v>
    <v>Map</v>
  </rv>
  <rv s="0">
    <v>536870912</v>
    <v>Boquerón Department</v>
    <v>264bbe90-3ccd-c6d3-58b3-d86320f4ef99</v>
    <v>en-IN</v>
    <v>Map</v>
  </rv>
  <rv s="0">
    <v>536870912</v>
    <v>Caaguazú Department</v>
    <v>8656eba9-1676-8f22-780a-c0756489d7fc</v>
    <v>en-IN</v>
    <v>Map</v>
  </rv>
  <rv s="0">
    <v>536870912</v>
    <v>Caazapá Department</v>
    <v>6f5c0121-41d3-9b26-6619-eb3818cdf435</v>
    <v>en-IN</v>
    <v>Map</v>
  </rv>
  <rv s="0">
    <v>536870912</v>
    <v>Canindeyú Department</v>
    <v>b5c80568-77c7-fcca-6fd0-05c3042f525b</v>
    <v>en-IN</v>
    <v>Map</v>
  </rv>
  <rv s="0">
    <v>536870912</v>
    <v>Central Department</v>
    <v>59d5a6d8-a7b3-7a69-d2a3-3a433b800d61</v>
    <v>en-IN</v>
    <v>Map</v>
  </rv>
  <rv s="0">
    <v>536870912</v>
    <v>Concepción Department</v>
    <v>ecdae5ff-9f88-4c47-d96b-9767fc2314eb</v>
    <v>en-IN</v>
    <v>Map</v>
  </rv>
  <rv s="0">
    <v>536870912</v>
    <v>Cordillera Department</v>
    <v>89438784-9b0e-7aa1-c1ee-7e58bfd1b3f6</v>
    <v>en-IN</v>
    <v>Map</v>
  </rv>
  <rv s="0">
    <v>536870912</v>
    <v>Guairá Department</v>
    <v>32b611ea-667c-e49b-e6b7-ddfeb81e65bf</v>
    <v>en-IN</v>
    <v>Map</v>
  </rv>
  <rv s="0">
    <v>536870912</v>
    <v>Itapúa Department</v>
    <v>ba6578b1-4465-fe52-5dc0-c6ac0ae5ac29</v>
    <v>en-IN</v>
    <v>Map</v>
  </rv>
  <rv s="0">
    <v>536870912</v>
    <v>Misiones Department</v>
    <v>3e400bd0-4c3e-986b-69dc-02bf27b9cc4a</v>
    <v>en-IN</v>
    <v>Map</v>
  </rv>
  <rv s="0">
    <v>536870912</v>
    <v>Ñeembucú Department</v>
    <v>13a16305-3bea-2508-da0d-f0b9907eb6cb</v>
    <v>en-IN</v>
    <v>Map</v>
  </rv>
  <rv s="0">
    <v>536870912</v>
    <v>Paraguarí Department</v>
    <v>9073627b-6ef6-56d0-339c-6644cacabfb3</v>
    <v>en-IN</v>
    <v>Map</v>
  </rv>
  <rv s="0">
    <v>536870912</v>
    <v>Presidente Hayes Department</v>
    <v>6bcdea9e-cac6-d960-1f0d-f93d906430ae</v>
    <v>en-IN</v>
    <v>Map</v>
  </rv>
  <rv s="0">
    <v>536870912</v>
    <v>San Pedro Department</v>
    <v>bd80c2dc-b58f-53fc-cd75-24b916825161</v>
    <v>en-IN</v>
    <v>Map</v>
  </rv>
  <rv s="3">
    <v>228</v>
  </rv>
  <rv s="1">
    <fb>0.100353309716205</fb>
    <v>24</v>
  </rv>
  <rv s="1">
    <fb>0.35</fb>
    <v>24</v>
  </rv>
  <rv s="1">
    <fb>4.8090000152587901E-2</fb>
    <v>32</v>
  </rv>
  <rv s="1">
    <fb>4359150</fb>
    <v>25</v>
  </rv>
  <rv s="19">
    <v>#VALUE!</v>
    <v>en-IN</v>
    <v>38755944-7eb5-b816-af98-acd4bbf59209</v>
    <v>536870912</v>
    <v>1</v>
    <v>690</v>
    <v>105</v>
    <v>Paraguay</v>
    <v>20</v>
    <v>21</v>
    <v>Map</v>
    <v>22</v>
    <v>691</v>
    <v>PY</v>
    <v>4204</v>
    <v>4205</v>
    <v>4206</v>
    <v>4207</v>
    <v>4208</v>
    <v>4209</v>
    <v>4210</v>
    <v>4211</v>
    <v>4212</v>
    <v>PYG</v>
    <v>Paraguay, officially the Republic of Paraguay, is a landlocked country in South America. It is bordered by Argentina to the south and southwest, Brazil to the east and northeast, and Bolivia to the northwest. It has a population of around 6.1 ...</v>
    <v>4213</v>
    <v>4214</v>
    <v>4215</v>
    <v>4216</v>
    <v>4217</v>
    <v>4218</v>
    <v>4219</v>
    <v>4220</v>
    <v>4221</v>
    <v>4222</v>
    <v>4209</v>
    <v>4225</v>
    <v>4226</v>
    <v>4227</v>
    <v>4228</v>
    <v>4229</v>
    <v>4230</v>
    <v>Paraguay</v>
    <v>National anthem of Paraguay</v>
    <v>4231</v>
    <v>Paraguay</v>
    <v>4232</v>
    <v>4233</v>
    <v>4234</v>
    <v>2888</v>
    <v>4235</v>
    <v>1979</v>
    <v>1522</v>
    <v>4236</v>
    <v>651</v>
    <v>891</v>
    <v>4237</v>
    <v>4255</v>
    <v>4256</v>
    <v>4257</v>
    <v>4258</v>
    <v>Paraguay</v>
    <v>4259</v>
    <v>mdp/vdpid/185</v>
  </rv>
  <rv s="1">
    <fb>117</fb>
    <v>25</v>
  </rv>
  <rv s="2">
    <v>127</v>
    <v>22</v>
    <v>692</v>
    <v>7</v>
    <v>0</v>
    <v>Image of Asunción</v>
  </rv>
  <rv s="4">
    <v>https://www.bing.com/search?q=asunci%c3%b3n&amp;form=skydnc</v>
    <v>Learn more on Bing</v>
  </rv>
  <rv s="1">
    <fb>477346</fb>
    <v>25</v>
  </rv>
  <rv s="26">
    <v>#VALUE!</v>
    <v>en-IN</v>
    <v>4b5ad817-2782-74b0-8e77-733cb22e48af</v>
    <v>536870912</v>
    <v>1</v>
    <v>694</v>
    <v>166</v>
    <v>Asunción</v>
    <v>20</v>
    <v>21</v>
    <v>Map</v>
    <v>22</v>
    <v>94</v>
    <v>PY-ASU</v>
    <v>4261</v>
    <v>4203</v>
    <v>Asunción is the capital and the largest city of Paraguay. The city stands on the eastern bank of the Paraguay River, almost at the confluence of this river with the Pilcomayo River. The Paraguay River and the Bay of Asunción in the northwest ...</v>
    <v>4262</v>
    <v>4263</v>
    <v>Asunción</v>
    <v>4264</v>
    <v>Asunción</v>
    <v>mdp/vdpid/6452484524172378113</v>
  </rv>
  <rv s="2">
    <v>126</v>
    <v>22</v>
    <v>687</v>
    <v>3</v>
    <v>0</v>
    <v>Image of Paraguay</v>
  </rv>
  <rv s="8">
    <v>en-IN</v>
    <v>avd11h</v>
    <v>268435456</v>
    <v>1</v>
    <v>Powered by Refinitiv</v>
    <v>42</v>
    <v>IDR/USD</v>
    <v>43</v>
    <v>62</v>
    <v>Finance</v>
    <v>45</v>
    <v>6.4300000000000004E-5</v>
    <v>5.8909999999999997E-5</v>
    <v>-1.4000000000000001E-7</v>
    <v>-2.3240000000000001E-3</v>
    <v>USD</v>
    <v>IDR</v>
    <v>6.0220000000000003E-5</v>
    <v>Currency Pair</v>
    <v>45957.207546296297</v>
    <v>6.0109999999999999E-5</v>
    <v>Indonesian Rupiah/US Dollar FX Cross Rate</v>
    <v>6.016E-5</v>
    <v>6.0239999999999999E-5</v>
    <v>6.0099999999999997E-5</v>
    <v>IDRUSD</v>
    <v>IDR/USD</v>
  </rv>
  <rv s="9">
    <v>4267</v>
  </rv>
  <rv s="0">
    <v>536870912</v>
    <v>Peru</v>
    <v>02dd0e01-24ad-0f52-3d28-54e36db1ce25</v>
    <v>en-IN</v>
    <v>Map</v>
  </rv>
  <rv s="1">
    <fb>0.18505468749999998</fb>
    <v>24</v>
  </rv>
  <rv s="1">
    <fb>1285216</fb>
    <v>25</v>
  </rv>
  <rv s="1">
    <fb>158000</fb>
    <v>25</v>
  </rv>
  <rv s="1">
    <fb>17.949000000000002</fb>
    <v>26</v>
  </rv>
  <rv s="1">
    <fb>51</fb>
    <v>27</v>
  </rv>
  <rv s="0">
    <v>536870912</v>
    <v>Lima</v>
    <v>56111e08-84b2-d298-3309-317c86bbca62</v>
    <v>en-IN</v>
    <v>Map</v>
  </rv>
  <rv s="1">
    <fb>57414.218999999997</fb>
    <v>25</v>
  </rv>
  <rv s="1">
    <fb>129.78454434275901</fb>
    <v>28</v>
  </rv>
  <rv s="1">
    <fb>2.1371534256997799E-2</fb>
    <v>24</v>
  </rv>
  <rv s="1">
    <fb>1345.8795888743</fb>
    <v>25</v>
  </rv>
  <rv s="1">
    <fb>2.254</fb>
    <v>26</v>
  </rv>
  <rv s="1">
    <fb>0.57660467529296899</fb>
    <v>24</v>
  </rv>
  <rv s="1">
    <fb>79.555683573486803</fb>
    <v>29</v>
  </rv>
  <rv s="1">
    <fb>226848050819.52499</fb>
    <v>31</v>
  </rv>
  <rv s="1">
    <fb>1.0694512</fb>
    <v>24</v>
  </rv>
  <rv s="1">
    <fb>0.70737859999999997</fb>
    <v>24</v>
  </rv>
  <rv s="2">
    <v>128</v>
    <v>22</v>
    <v>696</v>
    <v>7</v>
    <v>0</v>
    <v>Image of Peru</v>
  </rv>
  <rv s="1">
    <fb>11.1</fb>
    <v>29</v>
  </rv>
  <rv s="0">
    <v>805306368</v>
    <v>Dina Boluarte (President)</v>
    <v>555553a8-1ef5-72bc-ec28-32a5d7cceeba</v>
    <v>en-IN</v>
    <v>Generic</v>
  </rv>
  <rv s="0">
    <v>805306368</v>
    <v>Alberto Otárola (Prime minister)</v>
    <v>37870374-05c8-4059-bde3-4fede6dd63e5</v>
    <v>en-IN</v>
    <v>Generic</v>
  </rv>
  <rv s="3">
    <v>229</v>
  </rv>
  <rv s="4">
    <v>https://www.bing.com/search?q=peru&amp;form=skydnc</v>
    <v>Learn more on Bing</v>
  </rv>
  <rv s="1">
    <fb>76.516000000000005</fb>
    <v>29</v>
  </rv>
  <rv s="1">
    <fb>98964960000</fb>
    <v>31</v>
  </rv>
  <rv s="1">
    <fb>1.28</fb>
    <v>30</v>
  </rv>
  <rv s="3">
    <v>230</v>
  </rv>
  <rv s="1">
    <fb>0.30916759560000001</fb>
    <v>24</v>
  </rv>
  <rv s="1">
    <fb>1.27</fb>
    <v>26</v>
  </rv>
  <rv s="1">
    <fb>34049588</fb>
    <v>25</v>
  </rv>
  <rv s="1">
    <fb>0.32100000000000001</fb>
    <v>24</v>
  </rv>
  <rv s="1">
    <fb>0.48299999999999998</fb>
    <v>24</v>
  </rv>
  <rv s="1">
    <fb>4.9000000000000002E-2</fb>
    <v>24</v>
  </rv>
  <rv s="1">
    <fb>0.77633003234863296</fb>
    <v>24</v>
  </rv>
  <rv s="0">
    <v>536870912</v>
    <v>Amazonas</v>
    <v>8fd2c397-430b-3b7f-cd67-016b0865bb77</v>
    <v>en-IN</v>
    <v>Map</v>
  </rv>
  <rv s="0">
    <v>536870912</v>
    <v>Ancash department</v>
    <v>7b707fd9-e2cf-8406-e49c-af6b030955d1</v>
    <v>en-IN</v>
    <v>Map</v>
  </rv>
  <rv s="0">
    <v>536870912</v>
    <v>Apurímac</v>
    <v>800ddbab-575a-70c1-73fb-0290eb389167</v>
    <v>en-IN</v>
    <v>Map</v>
  </rv>
  <rv s="0">
    <v>536870912</v>
    <v>Arequipa</v>
    <v>5a642799-3e4d-dd3e-7ff3-67f11414b050</v>
    <v>en-IN</v>
    <v>Map</v>
  </rv>
  <rv s="0">
    <v>536870912</v>
    <v>Ayacucho</v>
    <v>d1839726-2ca4-b1ef-90be-f17cf629e5a6</v>
    <v>en-IN</v>
    <v>Map</v>
  </rv>
  <rv s="0">
    <v>536870912</v>
    <v>Cajamarca</v>
    <v>68429fc3-bf3f-3dd1-75f6-0329ead35de7</v>
    <v>en-IN</v>
    <v>Map</v>
  </rv>
  <rv s="0">
    <v>536870912</v>
    <v>Cusco</v>
    <v>d5a43b50-0d9c-e14e-2536-12eac1fa9141</v>
    <v>en-IN</v>
    <v>Map</v>
  </rv>
  <rv s="0">
    <v>536870912</v>
    <v>Department of Huancavelica</v>
    <v>c866aaa9-74e9-9c95-da3d-3b862680adb2</v>
    <v>en-IN</v>
    <v>Map</v>
  </rv>
  <rv s="0">
    <v>536870912</v>
    <v>Department of Huánuco</v>
    <v>c91622ff-1edf-da71-50d1-875f82c3f5c0</v>
    <v>en-IN</v>
    <v>Map</v>
  </rv>
  <rv s="0">
    <v>536870912</v>
    <v>Department of Ica</v>
    <v>89e75a31-d2bc-f604-2b7b-82852a081ccb</v>
    <v>en-IN</v>
    <v>Map</v>
  </rv>
  <rv s="0">
    <v>536870912</v>
    <v>Department of Junín</v>
    <v>b7838db7-815d-9260-1afc-73f6844d1fd1</v>
    <v>en-IN</v>
    <v>Map</v>
  </rv>
  <rv s="0">
    <v>536870912</v>
    <v>Department of La Libertad</v>
    <v>80573590-c6cd-50b0-765c-f2424644af3e</v>
    <v>en-IN</v>
    <v>Map</v>
  </rv>
  <rv s="0">
    <v>536870912</v>
    <v>Department of Lambayeque</v>
    <v>d0c78bd2-c7e3-ba11-5a61-c4f472e0d2f0</v>
    <v>en-IN</v>
    <v>Map</v>
  </rv>
  <rv s="0">
    <v>536870912</v>
    <v>Department of Loreto</v>
    <v>f3ea022e-f8be-cc49-e4cc-372b13d31d81</v>
    <v>en-IN</v>
    <v>Map</v>
  </rv>
  <rv s="0">
    <v>536870912</v>
    <v>Department of Madre de Dios</v>
    <v>471cf309-64b3-5670-8548-af31fa325bae</v>
    <v>en-IN</v>
    <v>Map</v>
  </rv>
  <rv s="0">
    <v>536870912</v>
    <v>Department of Moquegua</v>
    <v>dfc4fc5d-72d8-edd7-de96-0b06b1476e21</v>
    <v>en-IN</v>
    <v>Map</v>
  </rv>
  <rv s="0">
    <v>536870912</v>
    <v>Department of Pasco</v>
    <v>ee736d02-c7b1-0a50-e924-b716f580197d</v>
    <v>en-IN</v>
    <v>Map</v>
  </rv>
  <rv s="0">
    <v>536870912</v>
    <v>Department of Piura</v>
    <v>cedfe6cd-7566-a773-bc19-8b9f638eb87f</v>
    <v>en-IN</v>
    <v>Map</v>
  </rv>
  <rv s="0">
    <v>536870912</v>
    <v>Department of Puno</v>
    <v>4367f597-2f58-5eea-e94e-af80d252cd78</v>
    <v>en-IN</v>
    <v>Map</v>
  </rv>
  <rv s="0">
    <v>536870912</v>
    <v>Department of San Martín</v>
    <v>4281890f-8cad-bdb9-ae00-7ae494271b7f</v>
    <v>en-IN</v>
    <v>Map</v>
  </rv>
  <rv s="0">
    <v>536870912</v>
    <v>Department of Tacna</v>
    <v>ace388be-cdf0-bdb7-79ea-5702146107bb</v>
    <v>en-IN</v>
    <v>Map</v>
  </rv>
  <rv s="0">
    <v>536870912</v>
    <v>Department of Tumbes</v>
    <v>fada96e6-3bd8-2079-e30c-fc8b76650e64</v>
    <v>en-IN</v>
    <v>Map</v>
  </rv>
  <rv s="0">
    <v>536870912</v>
    <v>Department of Ucayali</v>
    <v>204e0044-14cd-8bb3-0575-52fd893f3efe</v>
    <v>en-IN</v>
    <v>Map</v>
  </rv>
  <rv s="0">
    <v>536870912</v>
    <v>Department of Lima</v>
    <v>1189d6b9-d0e8-419b-4036-0684e693abcf</v>
    <v>en-IN</v>
    <v>Map</v>
  </rv>
  <rv s="3">
    <v>231</v>
  </rv>
  <rv s="1">
    <fb>0.14321901146650698</fb>
    <v>24</v>
  </rv>
  <rv s="3">
    <v>232</v>
  </rv>
  <rv s="1">
    <fb>0.36799999999999999</fb>
    <v>24</v>
  </rv>
  <rv s="1">
    <fb>3.3099999427795401E-2</fb>
    <v>32</v>
  </rv>
  <rv s="1">
    <fb>25390339</fb>
    <v>25</v>
  </rv>
  <rv s="5">
    <v>#VALUE!</v>
    <v>en-IN</v>
    <v>02dd0e01-24ad-0f52-3d28-54e36db1ce25</v>
    <v>536870912</v>
    <v>1</v>
    <v>699</v>
    <v>18</v>
    <v>Peru</v>
    <v>20</v>
    <v>21</v>
    <v>Map</v>
    <v>22</v>
    <v>700</v>
    <v>PE</v>
    <v>4270</v>
    <v>4271</v>
    <v>4272</v>
    <v>4273</v>
    <v>4274</v>
    <v>4275</v>
    <v>4276</v>
    <v>4277</v>
    <v>4278</v>
    <v>PEN</v>
    <v>Peru, officially the Republic of Peru, is a country in western South America. It is bordered in the north by Ecuador and Colombia, in the east by Brazil, in the southeast by Bolivia, in the south by Chile, and in the south and west by the ...</v>
    <v>4279</v>
    <v>4280</v>
    <v>4281</v>
    <v>4282</v>
    <v>2869</v>
    <v>4283</v>
    <v>4284</v>
    <v>4285</v>
    <v>4286</v>
    <v>4287</v>
    <v>4275</v>
    <v>4290</v>
    <v>4291</v>
    <v>4292</v>
    <v>4293</v>
    <v>2564</v>
    <v>4294</v>
    <v>Peru</v>
    <v>National Anthem of Peru</v>
    <v>4295</v>
    <v>Perú</v>
    <v>4296</v>
    <v>4297</v>
    <v>4298</v>
    <v>409</v>
    <v>4299</v>
    <v>4300</v>
    <v>2810</v>
    <v>4301</v>
    <v>1169</v>
    <v>241</v>
    <v>4302</v>
    <v>4327</v>
    <v>4328</v>
    <v>4329</v>
    <v>4330</v>
    <v>4331</v>
    <v>Peru</v>
    <v>4332</v>
    <v>mdp/vdpid/187</v>
  </rv>
  <rv s="0">
    <v>536870912</v>
    <v>Lima Province</v>
    <v>c1af6300-c27c-5029-87f7-5a46bbbe02ac</v>
    <v>en-IN</v>
    <v>Map</v>
  </rv>
  <rv s="1">
    <fb>2672.28</fb>
    <v>25</v>
  </rv>
  <rv s="2">
    <v>129</v>
    <v>22</v>
    <v>701</v>
    <v>7</v>
    <v>0</v>
    <v>Image of Lima</v>
  </rv>
  <rv s="1">
    <fb>-12.06</fb>
    <v>37</v>
  </rv>
  <rv s="0">
    <v>805306368</v>
    <v>Rafael López Aliaga (Mayor)</v>
    <v>697dff2f-3db4-c5e0-b859-589e7e74862f</v>
    <v>en-IN</v>
    <v>Generic</v>
  </rv>
  <rv s="3">
    <v>233</v>
  </rv>
  <rv s="4">
    <v>https://www.bing.com/search?q=lima&amp;form=skydnc</v>
    <v>Learn more on Bing</v>
  </rv>
  <rv s="1">
    <fb>-77.037499999999994</fb>
    <v>37</v>
  </rv>
  <rv s="1">
    <fb>9943800</fb>
    <v>25</v>
  </rv>
  <rv s="21">
    <v>#VALUE!</v>
    <v>en-IN</v>
    <v>56111e08-84b2-d298-3309-317c86bbca62</v>
    <v>536870912</v>
    <v>1</v>
    <v>702</v>
    <v>120</v>
    <v>Lima</v>
    <v>20</v>
    <v>21</v>
    <v>Map</v>
    <v>22</v>
    <v>94</v>
    <v>4326</v>
    <v>4334</v>
    <v>4335</v>
    <v>4269</v>
    <v>Lima is the capital and largest city of Peru. It is located in the valleys of the Chillón, Rímac and Lurín Rivers, in the desert zone of the central coastal part of the country, overlooking the Pacific Ocean. The city is considered the ...</v>
    <v>4336</v>
    <v>4337</v>
    <v>4339</v>
    <v>4340</v>
    <v>4341</v>
    <v>Lima</v>
    <v>4342</v>
    <v>Lima</v>
    <v>mdp/vdpid/6368258397787127809</v>
  </rv>
  <rv s="2">
    <v>128</v>
    <v>22</v>
    <v>696</v>
    <v>3</v>
    <v>0</v>
    <v>Image of Peru</v>
  </rv>
  <rv s="0">
    <v>536870912</v>
    <v>Philippines</v>
    <v>fe47e182-43d6-4546-8bee-86609d6dd805</v>
    <v>en-IN</v>
    <v>Map</v>
  </rv>
  <rv s="1">
    <fb>0.41721165777911901</fb>
    <v>24</v>
  </rv>
  <rv s="1">
    <fb>343448</fb>
    <v>25</v>
  </rv>
  <rv s="1">
    <fb>153000</fb>
    <v>25</v>
  </rv>
  <rv s="1">
    <fb>20.545999999999999</fb>
    <v>26</v>
  </rv>
  <rv s="1">
    <fb>63</fb>
    <v>27</v>
  </rv>
  <rv s="0">
    <v>536870912</v>
    <v>Manila</v>
    <v>33b0f709-fe63-e51f-6893-aa4d29b074e5</v>
    <v>en-IN</v>
    <v>Map</v>
  </rv>
  <rv s="1">
    <fb>122287.11599999999</fb>
    <v>25</v>
  </rv>
  <rv s="1">
    <fb>129.61325724947901</fb>
    <v>28</v>
  </rv>
  <rv s="1">
    <fb>2.4802785871650902E-2</fb>
    <v>24</v>
  </rv>
  <rv s="1">
    <fb>696.34678005973694</fb>
    <v>25</v>
  </rv>
  <rv s="1">
    <fb>2.5760000000000001</fb>
    <v>26</v>
  </rv>
  <rv s="1">
    <fb>0.27769393299124701</fb>
    <v>24</v>
  </rv>
  <rv s="1">
    <fb>62.434896292186799</fb>
    <v>29</v>
  </rv>
  <rv s="1">
    <fb>0.86</fb>
    <v>30</v>
  </rv>
  <rv s="1">
    <fb>376795508679.67603</fb>
    <v>31</v>
  </rv>
  <rv s="1">
    <fb>1.0750976999999999</fb>
    <v>24</v>
  </rv>
  <rv s="1">
    <fb>0.35475459999999998</fb>
    <v>24</v>
  </rv>
  <rv s="2">
    <v>130</v>
    <v>22</v>
    <v>704</v>
    <v>7</v>
    <v>0</v>
    <v>Image of Philippines</v>
  </rv>
  <rv s="0">
    <v>536870912</v>
    <v>Quezon City</v>
    <v>5e001b49-2fd0-4f45-a43f-6c8cdf9ee04c</v>
    <v>en-IN</v>
    <v>Map</v>
  </rv>
  <rv s="0">
    <v>805306368</v>
    <v>Bongbong Marcos (President)</v>
    <v>f7c45c07-8e0a-4068-b1e9-b2253baca0e4</v>
    <v>en-IN</v>
    <v>Generic</v>
  </rv>
  <rv s="0">
    <v>805306368</v>
    <v>Sara Duterte (Vice president)</v>
    <v>0cce571a-fcbe-deed-21b5-93ccb00a9659</v>
    <v>en-IN</v>
    <v>Generic</v>
  </rv>
  <rv s="0">
    <v>805306368</v>
    <v>Martin Romualdez (Speaker)</v>
    <v>3897d44f-0f8c-3aa3-1122-6253bf831d7f</v>
    <v>en-IN</v>
    <v>Generic</v>
  </rv>
  <rv s="0">
    <v>805306368</v>
    <v>Alexander Gesmundo (Chief justice)</v>
    <v>0c0b44c1-58c1-0d6f-bc59-db94bbe6aba7</v>
    <v>en-IN</v>
    <v>Generic</v>
  </rv>
  <rv s="3">
    <v>234</v>
  </rv>
  <rv s="4">
    <v>https://www.bing.com/search?q=philippines&amp;form=skydnc</v>
    <v>Learn more on Bing</v>
  </rv>
  <rv s="1">
    <fb>71.094999999999999</fb>
    <v>29</v>
  </rv>
  <rv s="1">
    <fb>275302190000</fb>
    <v>31</v>
  </rv>
  <rv s="1">
    <fb>121</fb>
    <v>29</v>
  </rv>
  <rv s="3">
    <v>235</v>
  </rv>
  <rv s="1">
    <fb>0.53544594130000001</fb>
    <v>24</v>
  </rv>
  <rv s="1">
    <fb>0.60040000000000004</fb>
    <v>26</v>
  </rv>
  <rv s="1">
    <fb>115559009</fb>
    <v>25</v>
  </rv>
  <rv s="1">
    <fb>0.50900000000000001</fb>
    <v>24</v>
  </rv>
  <rv s="1">
    <fb>9.3000000000000013E-2</fb>
    <v>24</v>
  </rv>
  <rv s="1">
    <fb>0.59620998382568402</fb>
    <v>24</v>
  </rv>
  <rv s="0">
    <v>536870912</v>
    <v>Metro Manila</v>
    <v>e5a6d40a-2913-d8a4-ff60-8a8e01d06a21</v>
    <v>en-IN</v>
    <v>Map</v>
  </rv>
  <rv s="3">
    <v>236</v>
  </rv>
  <rv s="1">
    <fb>0.14047533279066099</fb>
    <v>24</v>
  </rv>
  <rv s="3">
    <v>237</v>
  </rv>
  <rv s="1">
    <fb>0.43099999999999999</fb>
    <v>24</v>
  </rv>
  <rv s="1">
    <fb>2.1500000953674298E-2</fb>
    <v>32</v>
  </rv>
  <rv s="1">
    <fb>50975903</fb>
    <v>25</v>
  </rv>
  <rv s="5">
    <v>#VALUE!</v>
    <v>en-IN</v>
    <v>fe47e182-43d6-4546-8bee-86609d6dd805</v>
    <v>536870912</v>
    <v>1</v>
    <v>707</v>
    <v>18</v>
    <v>Philippines</v>
    <v>20</v>
    <v>21</v>
    <v>Map</v>
    <v>22</v>
    <v>708</v>
    <v>PH</v>
    <v>4346</v>
    <v>4347</v>
    <v>4348</v>
    <v>4349</v>
    <v>4350</v>
    <v>4351</v>
    <v>4352</v>
    <v>4353</v>
    <v>4354</v>
    <v>PHP</v>
    <v>The Philippines, officially the Republic of the Philippines, is an archipelagic country in Southeast Asia. In the western Pacific Ocean, it consists of 7,641 islands which are broadly categorized in three main geographical divisions from north ...</v>
    <v>4355</v>
    <v>4356</v>
    <v>4357</v>
    <v>4358</v>
    <v>4359</v>
    <v>4360</v>
    <v>4361</v>
    <v>4362</v>
    <v>4363</v>
    <v>315</v>
    <v>4364</v>
    <v>4369</v>
    <v>4370</v>
    <v>4371</v>
    <v>4372</v>
    <v>4373</v>
    <v>2157</v>
    <v>Philippines</v>
    <v>Lupang Hinirang</v>
    <v>4374</v>
    <v>Republic of the Philippines</v>
    <v>4375</v>
    <v>4376</v>
    <v>4377</v>
    <v>1913</v>
    <v>3605</v>
    <v>4378</v>
    <v>238</v>
    <v>1917</v>
    <v>4379</v>
    <v>1170</v>
    <v>4380</v>
    <v>4382</v>
    <v>4383</v>
    <v>4384</v>
    <v>4385</v>
    <v>4386</v>
    <v>Philippines</v>
    <v>4387</v>
    <v>mdp/vdpid/201</v>
  </rv>
  <rv s="1">
    <fb>24.98</fb>
    <v>25</v>
  </rv>
  <rv s="2">
    <v>131</v>
    <v>22</v>
    <v>709</v>
    <v>7</v>
    <v>0</v>
    <v>Image of Manila</v>
  </rv>
  <rv s="1">
    <fb>14.595833333333299</fb>
    <v>37</v>
  </rv>
  <rv s="0">
    <v>805306368</v>
    <v>Honey Lacuna (Mayor)</v>
    <v>70b504fd-4f28-819f-a846-d5bf5e03bf1d</v>
    <v>en-IN</v>
    <v>Generic</v>
  </rv>
  <rv s="3">
    <v>238</v>
  </rv>
  <rv s="4">
    <v>https://www.bing.com/search?q=manila+philippines&amp;form=skydnc</v>
    <v>Learn more on Bing</v>
  </rv>
  <rv s="1">
    <fb>120.977222222222</fb>
    <v>37</v>
  </rv>
  <rv s="1">
    <fb>1846513</fb>
    <v>25</v>
  </rv>
  <rv s="24">
    <v>#VALUE!</v>
    <v>en-IN</v>
    <v>33b0f709-fe63-e51f-6893-aa4d29b074e5</v>
    <v>536870912</v>
    <v>1</v>
    <v>710</v>
    <v>152</v>
    <v>Manila</v>
    <v>20</v>
    <v>21</v>
    <v>Map</v>
    <v>22</v>
    <v>189</v>
    <v>4381</v>
    <v>4389</v>
    <v>4345</v>
    <v>Manila, officially the City of Manila, is the capital and second-most populous city of the Philippines. Located on the eastern shore of Manila Bay on the island of Luzon, it is classified as a highly urbanized city. As of 2019, it is the world's ...</v>
    <v>4390</v>
    <v>4391</v>
    <v>4393</v>
    <v>4394</v>
    <v>4395</v>
    <v>Manila</v>
    <v>4396</v>
    <v>4384</v>
    <v>Manila</v>
    <v>mdp/vdpid/7897981301959950337</v>
  </rv>
  <rv s="1">
    <fb>171.71</fb>
    <v>25</v>
  </rv>
  <rv s="2">
    <v>132</v>
    <v>22</v>
    <v>711</v>
    <v>7</v>
    <v>0</v>
    <v>Image of Quezon City</v>
  </rv>
  <rv s="1">
    <fb>14.65</fb>
    <v>37</v>
  </rv>
  <rv s="0">
    <v>805306368</v>
    <v>Joy Belmonte (Mayor)</v>
    <v>f0296806-06a7-7bc6-0f65-48c7f0d41dbf</v>
    <v>en-IN</v>
    <v>Generic</v>
  </rv>
  <rv s="3">
    <v>239</v>
  </rv>
  <rv s="4">
    <v>https://www.bing.com/search?q=quezon+city&amp;form=skydnc</v>
    <v>Learn more on Bing</v>
  </rv>
  <rv s="1">
    <fb>121.0475</fb>
    <v>37</v>
  </rv>
  <rv s="1">
    <fb>2960048</fb>
    <v>25</v>
  </rv>
  <rv s="14">
    <v>#VALUE!</v>
    <v>en-IN</v>
    <v>5e001b49-2fd0-4f45-a43f-6c8cdf9ee04c</v>
    <v>536870912</v>
    <v>1</v>
    <v>712</v>
    <v>82</v>
    <v>Quezon City</v>
    <v>20</v>
    <v>21</v>
    <v>Map</v>
    <v>22</v>
    <v>189</v>
    <v>4381</v>
    <v>4398</v>
    <v>4345</v>
    <v>Quezon City, also known as the City of Quezon and Q.C., is the most populous city in the Philippines. According to the 2020 census, it has a population of 2,960,048 people. It was founded on October 12, 1939, and was named after Manuel L. ...</v>
    <v>4399</v>
    <v>4400</v>
    <v>4402</v>
    <v>4403</v>
    <v>4404</v>
    <v>Quezon City</v>
    <v>4405</v>
    <v>Quezon City</v>
    <v>mdp/vdpid/7897978519106355201</v>
  </rv>
  <rv s="2">
    <v>130</v>
    <v>22</v>
    <v>704</v>
    <v>3</v>
    <v>0</v>
    <v>Image of Philippines</v>
  </rv>
  <rv s="0">
    <v>536870912</v>
    <v>Poland</v>
    <v>1d6059a2-d1f1-d2d7-4261-dc7cd5cdb84b</v>
    <v>en-IN</v>
    <v>Map</v>
  </rv>
  <rv s="1">
    <fb>0.469447075345374</fb>
    <v>24</v>
  </rv>
  <rv s="1">
    <fb>312683</fb>
    <v>25</v>
  </rv>
  <rv s="1">
    <fb>191000</fb>
    <v>25</v>
  </rv>
  <rv s="1">
    <fb>48</fb>
    <v>27</v>
  </rv>
  <rv s="0">
    <v>536870912</v>
    <v>Warsaw</v>
    <v>c79f30ac-b9a3-0949-6bdf-956551e5fc81</v>
    <v>en-IN</v>
    <v>Map</v>
  </rv>
  <rv s="1">
    <fb>299036.516</fb>
    <v>25</v>
  </rv>
  <rv s="1">
    <fb>114.111779375092</fb>
    <v>28</v>
  </rv>
  <rv s="1">
    <fb>2.227478809383E-2</fb>
    <v>24</v>
  </rv>
  <rv s="1">
    <fb>3971.7997613105499</fb>
    <v>25</v>
  </rv>
  <rv s="1">
    <fb>1.46</fb>
    <v>26</v>
  </rv>
  <rv s="1">
    <fb>0.30883439025809101</fb>
    <v>24</v>
  </rv>
  <rv s="1">
    <fb>90.291375435655297</fb>
    <v>29</v>
  </rv>
  <rv s="1">
    <fb>1.07</fb>
    <v>30</v>
  </rv>
  <rv s="1">
    <fb>592164400687.60706</fb>
    <v>31</v>
  </rv>
  <rv s="1">
    <fb>1.000159</fb>
    <v>24</v>
  </rv>
  <rv s="1">
    <fb>0.67827439999999994</fb>
    <v>24</v>
  </rv>
  <rv s="2">
    <v>133</v>
    <v>22</v>
    <v>714</v>
    <v>7</v>
    <v>0</v>
    <v>Image of Poland</v>
  </rv>
  <rv s="1">
    <fb>3.8</fb>
    <v>29</v>
  </rv>
  <rv s="0">
    <v>805306368</v>
    <v>Andrzej Duda (President)</v>
    <v>fd659446-93d5-1c05-f501-9d102870ea43</v>
    <v>en-IN</v>
    <v>Generic</v>
  </rv>
  <rv s="0">
    <v>805306368</v>
    <v>Mateusz Morawiecki (Prime minister)</v>
    <v>0d18b0a0-3a62-782b-9156-6236fe9893be</v>
    <v>en-IN</v>
    <v>Generic</v>
  </rv>
  <rv s="3">
    <v>240</v>
  </rv>
  <rv s="4">
    <v>https://www.bing.com/search?q=poland&amp;form=skydnc</v>
    <v>Learn more on Bing</v>
  </rv>
  <rv s="1">
    <fb>77.602439024390307</fb>
    <v>29</v>
  </rv>
  <rv s="1">
    <fb>151618860000</fb>
    <v>31</v>
  </rv>
  <rv s="1">
    <fb>2.93</fb>
    <v>30</v>
  </rv>
  <rv s="3">
    <v>241</v>
  </rv>
  <rv s="1">
    <fb>0.23246298360000001</fb>
    <v>24</v>
  </rv>
  <rv s="1">
    <fb>2.3788</fb>
    <v>26</v>
  </rv>
  <rv s="1">
    <fb>37561599</fb>
    <v>25</v>
  </rv>
  <rv s="1">
    <fb>0.38200000000000001</fb>
    <v>24</v>
  </rv>
  <rv s="1">
    <fb>0.56701000213622998</fb>
    <v>24</v>
  </rv>
  <rv s="0">
    <v>536870912</v>
    <v>Lower Silesian Voivodeship</v>
    <v>2c12027c-f1f3-15e4-470e-533d0b324b34</v>
    <v>en-IN</v>
    <v>Map</v>
  </rv>
  <rv s="0">
    <v>536870912</v>
    <v>Łódź Voivodeship</v>
    <v>0fe063e3-0ad6-1012-edb0-f676300d33ea</v>
    <v>en-IN</v>
    <v>Map</v>
  </rv>
  <rv s="0">
    <v>536870912</v>
    <v>Świętokrzyskie Voivodeship</v>
    <v>f361912e-d7ba-dd37-b583-2068d7a03177</v>
    <v>en-IN</v>
    <v>Map</v>
  </rv>
  <rv s="0">
    <v>536870912</v>
    <v>Lesser Poland Voivodeship</v>
    <v>efd58db8-b0c8-2329-0f3a-8adeab450d74</v>
    <v>en-IN</v>
    <v>Map</v>
  </rv>
  <rv s="0">
    <v>536870912</v>
    <v>Lublin Voivodeship</v>
    <v>b5dea0b6-7035-ffe9-a5c1-a961fcb0e72e</v>
    <v>en-IN</v>
    <v>Map</v>
  </rv>
  <rv s="0">
    <v>536870912</v>
    <v>Masovian Voivodeship</v>
    <v>32cae853-042c-0a77-5173-f511fead52f6</v>
    <v>en-IN</v>
    <v>Map</v>
  </rv>
  <rv s="0">
    <v>536870912</v>
    <v>Kuyavian-Pomeranian Voivodeship</v>
    <v>2b254630-1d13-aca8-305f-0841a7ec6b83</v>
    <v>en-IN</v>
    <v>Map</v>
  </rv>
  <rv s="0">
    <v>536870912</v>
    <v>Opole Voivodeship</v>
    <v>6a026a5e-de28-6062-3c38-7c6f4181e5bc</v>
    <v>en-IN</v>
    <v>Map</v>
  </rv>
  <rv s="0">
    <v>536870912</v>
    <v>Subcarpathian Voivodeship</v>
    <v>f88dda2b-0c12-4d9a-984c-52115296336c</v>
    <v>en-IN</v>
    <v>Map</v>
  </rv>
  <rv s="0">
    <v>536870912</v>
    <v>Lubusz Voivodeship</v>
    <v>c0d124dd-136d-3834-1fe8-efd33254942d</v>
    <v>en-IN</v>
    <v>Map</v>
  </rv>
  <rv s="0">
    <v>536870912</v>
    <v>Pomeranian Voivodeship</v>
    <v>765662c5-0a8a-9aea-8c1c-c063ec4e16f8</v>
    <v>en-IN</v>
    <v>Map</v>
  </rv>
  <rv s="0">
    <v>536870912</v>
    <v>Warmian-Masurian Voivodeship</v>
    <v>eed14489-8bcb-c40c-6362-4e95235cce3f</v>
    <v>en-IN</v>
    <v>Map</v>
  </rv>
  <rv s="0">
    <v>536870912</v>
    <v>Silesian Voivodeship</v>
    <v>21f7e450-daba-be7f-4ac9-7f73980437c9</v>
    <v>en-IN</v>
    <v>Map</v>
  </rv>
  <rv s="0">
    <v>536870912</v>
    <v>Podlaskie Voivodeship</v>
    <v>82774917-52f8-91a2-e0f4-7810458bd6ed</v>
    <v>en-IN</v>
    <v>Map</v>
  </rv>
  <rv s="0">
    <v>536870912</v>
    <v>West Pomeranian Voivodeship</v>
    <v>af2cc162-3439-53b4-582b-cb4495bdbf8e</v>
    <v>en-IN</v>
    <v>Map</v>
  </rv>
  <rv s="0">
    <v>536870912</v>
    <v>Greater Poland Voivodeship</v>
    <v>edec10d8-3c1d-302b-daa4-5a643ab293e8</v>
    <v>en-IN</v>
    <v>Map</v>
  </rv>
  <rv s="3">
    <v>242</v>
  </rv>
  <rv s="1">
    <fb>0.174019561608692</fb>
    <v>24</v>
  </rv>
  <rv s="1">
    <fb>0.40799999999999997</fb>
    <v>24</v>
  </rv>
  <rv s="1">
    <fb>3.4739999771118198E-2</fb>
    <v>32</v>
  </rv>
  <rv s="1">
    <fb>22796574</fb>
    <v>25</v>
  </rv>
  <rv s="19">
    <v>#VALUE!</v>
    <v>en-IN</v>
    <v>1d6059a2-d1f1-d2d7-4261-dc7cd5cdb84b</v>
    <v>536870912</v>
    <v>1</v>
    <v>717</v>
    <v>105</v>
    <v>Poland</v>
    <v>20</v>
    <v>21</v>
    <v>Map</v>
    <v>22</v>
    <v>718</v>
    <v>PL</v>
    <v>4409</v>
    <v>4410</v>
    <v>4411</v>
    <v>2398</v>
    <v>4412</v>
    <v>4413</v>
    <v>4414</v>
    <v>4415</v>
    <v>4416</v>
    <v>PLN</v>
    <v>Poland, officially the Republic of Poland, is a country in Central Europe. It is divided into 16 administrative provinces called voivodeships, covering an area of 313,931 km². Poland has a population of over 38 million and is the fifth-most ...</v>
    <v>4417</v>
    <v>4418</v>
    <v>4419</v>
    <v>4420</v>
    <v>4421</v>
    <v>4422</v>
    <v>4423</v>
    <v>4424</v>
    <v>4425</v>
    <v>4426</v>
    <v>4413</v>
    <v>4429</v>
    <v>4430</v>
    <v>4431</v>
    <v>4432</v>
    <v>561</v>
    <v>4433</v>
    <v>Poland</v>
    <v>Poland Is Not Yet Lost</v>
    <v>4434</v>
    <v>Rzeczpospolita Polska</v>
    <v>4435</v>
    <v>4436</v>
    <v>4437</v>
    <v>1519</v>
    <v>2808</v>
    <v>4438</v>
    <v>1234</v>
    <v>2104</v>
    <v>2237</v>
    <v>2623</v>
    <v>4439</v>
    <v>4456</v>
    <v>4457</v>
    <v>4458</v>
    <v>4459</v>
    <v>Poland</v>
    <v>4460</v>
    <v>mdp/vdpid/191</v>
  </rv>
  <rv s="1">
    <fb>517.24</fb>
    <v>25</v>
  </rv>
  <rv s="2">
    <v>134</v>
    <v>22</v>
    <v>719</v>
    <v>7</v>
    <v>0</v>
    <v>Image of Warsaw</v>
  </rv>
  <rv s="1">
    <fb>52.23</fb>
    <v>37</v>
  </rv>
  <rv s="3">
    <v>243</v>
  </rv>
  <rv s="4">
    <v>https://www.bing.com/search?q=warsaw+poland&amp;form=skydnc</v>
    <v>Learn more on Bing</v>
  </rv>
  <rv s="1">
    <fb>21.011111111111099</fb>
    <v>37</v>
  </rv>
  <rv s="1">
    <fb>1860281</fb>
    <v>25</v>
  </rv>
  <rv s="14">
    <v>#VALUE!</v>
    <v>en-IN</v>
    <v>c79f30ac-b9a3-0949-6bdf-956551e5fc81</v>
    <v>536870912</v>
    <v>1</v>
    <v>720</v>
    <v>82</v>
    <v>Warsaw</v>
    <v>20</v>
    <v>21</v>
    <v>Map</v>
    <v>22</v>
    <v>362</v>
    <v>4445</v>
    <v>4462</v>
    <v>916</v>
    <v>Warsaw, officially the Capital City of Warsaw, is the capital and largest city of Poland. The metropolis stands on the River Vistula in east-central Poland. Its population is officially estimated at 1.86 million residents within a greater ...</v>
    <v>4463</v>
    <v>4464</v>
    <v>4465</v>
    <v>4466</v>
    <v>4467</v>
    <v>Warsaw</v>
    <v>4468</v>
    <v>Warsaw</v>
    <v>mdp/vdpid/7020683064464375809</v>
  </rv>
  <rv s="2">
    <v>133</v>
    <v>22</v>
    <v>714</v>
    <v>3</v>
    <v>0</v>
    <v>Image of Poland</v>
  </rv>
  <rv s="8">
    <v>en-IN</v>
    <v>avyrc7</v>
    <v>268435456</v>
    <v>1</v>
    <v>Powered by Refinitiv</v>
    <v>42</v>
    <v>USD/PKR</v>
    <v>43</v>
    <v>721</v>
    <v>Finance</v>
    <v>45</v>
    <v>286</v>
    <v>277.45</v>
    <v>0</v>
    <v>0</v>
    <v>PKR</v>
    <v>USD</v>
    <v>283.25</v>
    <v>Currency Pair</v>
    <v>45957.217453703706</v>
    <v>281.14999999999998</v>
    <v>US Dollar/Pakistani Rupee FX Spot Rate</v>
    <v>281.89999999999998</v>
    <v>281.89999999999998</v>
    <v>281.89999999999998</v>
    <v>USDPKR</v>
    <v>USD/PKR</v>
  </rv>
  <rv s="9">
    <v>4471</v>
  </rv>
  <rv s="0">
    <v>536870912</v>
    <v>Portugal</v>
    <v>9e917e65-c588-a0b7-f336-52fc6b5b2052</v>
    <v>en-IN</v>
    <v>Map</v>
  </rv>
  <rv s="1">
    <fb>0.39452940398253294</fb>
    <v>24</v>
  </rv>
  <rv s="1">
    <fb>92225</fb>
    <v>25</v>
  </rv>
  <rv s="1">
    <fb>52000</fb>
    <v>25</v>
  </rv>
  <rv s="1">
    <fb>8.5</fb>
    <v>26</v>
  </rv>
  <rv s="1">
    <fb>351</fb>
    <v>27</v>
  </rv>
  <rv s="0">
    <v>536870912</v>
    <v>Lisbon</v>
    <v>9d006cb5-bff4-48b4-9c83-443eaf418b11</v>
    <v>en-IN</v>
    <v>Map</v>
  </rv>
  <rv s="1">
    <fb>48741.764000000003</fb>
    <v>25</v>
  </rv>
  <rv s="1">
    <fb>110.624358614714</fb>
    <v>28</v>
  </rv>
  <rv s="1">
    <fb>3.3817841004612497E-3</fb>
    <v>24</v>
  </rv>
  <rv s="1">
    <fb>4662.6007998029399</fb>
    <v>25</v>
  </rv>
  <rv s="1">
    <fb>1.38</fb>
    <v>26</v>
  </rv>
  <rv s="1">
    <fb>0.34611423825368903</fb>
    <v>24</v>
  </rv>
  <rv s="1">
    <fb>77.024122555839</fb>
    <v>29</v>
  </rv>
  <rv s="1">
    <fb>1.54</fb>
    <v>30</v>
  </rv>
  <rv s="1">
    <fb>237686075634.698</fb>
    <v>31</v>
  </rv>
  <rv s="1">
    <fb>1.0618313000000001</fb>
    <v>24</v>
  </rv>
  <rv s="1">
    <fb>0.63935809999999993</fb>
    <v>24</v>
  </rv>
  <rv s="2">
    <v>135</v>
    <v>22</v>
    <v>723</v>
    <v>7</v>
    <v>0</v>
    <v>Image of Portugal</v>
  </rv>
  <rv s="0">
    <v>805306368</v>
    <v>Marcelo Rebelo de Sousa (President)</v>
    <v>cd15af88-d571-7e9f-0e69-8c7f54821ed3</v>
    <v>en-IN</v>
    <v>Generic</v>
  </rv>
  <rv s="0">
    <v>805306368</v>
    <v>António Costa (Prime minister)</v>
    <v>461f25f6-d38c-4199-a2e3-c82f6d34e8cb</v>
    <v>en-IN</v>
    <v>Generic</v>
  </rv>
  <rv s="3">
    <v>244</v>
  </rv>
  <rv s="4">
    <v>https://www.bing.com/search?q=portugal&amp;form=skydnc</v>
    <v>Learn more on Bing</v>
  </rv>
  <rv s="1">
    <fb>81.3243902439024</fb>
    <v>29</v>
  </rv>
  <rv s="1">
    <fb>61933604857.411003</fb>
    <v>31</v>
  </rv>
  <rv s="1">
    <fb>3.78</fb>
    <v>30</v>
  </rv>
  <rv s="1">
    <fb>0.27650697260000001</fb>
    <v>24</v>
  </rv>
  <rv s="1">
    <fb>5.1239999999999997</fb>
    <v>26</v>
  </rv>
  <rv s="1">
    <fb>10379007</fb>
    <v>25</v>
  </rv>
  <rv s="1">
    <fb>0.41600000000000004</fb>
    <v>24</v>
  </rv>
  <rv s="1">
    <fb>7.400000000000001E-2</fb>
    <v>24</v>
  </rv>
  <rv s="1">
    <fb>0.58811000823974602</fb>
    <v>24</v>
  </rv>
  <rv s="0">
    <v>536870912</v>
    <v>Lisbon District</v>
    <v>9aabe4c9-f2ff-745a-22b7-741589d147d3</v>
    <v>en-IN</v>
    <v>Map</v>
  </rv>
  <rv s="0">
    <v>536870912</v>
    <v>Leiria District</v>
    <v>1e45c3ae-38a6-3ec3-3187-2e72c0cad027</v>
    <v>en-IN</v>
    <v>Map</v>
  </rv>
  <rv s="0">
    <v>536870912</v>
    <v>Santarém District</v>
    <v>31ed3d3b-1669-48e6-9f45-7dff6e48107b</v>
    <v>en-IN</v>
    <v>Map</v>
  </rv>
  <rv s="0">
    <v>536870912</v>
    <v>Setúbal District</v>
    <v>2443fa57-ba7a-ca6f-6988-b7bb998c209d</v>
    <v>en-IN</v>
    <v>Map</v>
  </rv>
  <rv s="0">
    <v>536870912</v>
    <v>Beja District</v>
    <v>57132a4f-ab86-49cc-9a10-eea78fe194c6</v>
    <v>en-IN</v>
    <v>Map</v>
  </rv>
  <rv s="0">
    <v>536870912</v>
    <v>Faro District</v>
    <v>0f961e40-6a20-4ce7-9c8b-3c9484a39b31</v>
    <v>en-IN</v>
    <v>Map</v>
  </rv>
  <rv s="0">
    <v>536870912</v>
    <v>Évora District</v>
    <v>9f2c1154-ba9c-42db-b07d-6ac93b22f847</v>
    <v>en-IN</v>
    <v>Map</v>
  </rv>
  <rv s="0">
    <v>536870912</v>
    <v>Portalegre District</v>
    <v>0509a564-38fa-4a46-85bd-79ea9cfb105b</v>
    <v>en-IN</v>
    <v>Map</v>
  </rv>
  <rv s="0">
    <v>536870912</v>
    <v>Castelo Branco District</v>
    <v>fb4769a8-e791-44cf-b415-49b116c2d850</v>
    <v>en-IN</v>
    <v>Map</v>
  </rv>
  <rv s="0">
    <v>536870912</v>
    <v>Guarda District</v>
    <v>a6ab4e89-16d3-c736-2651-53af26e5c9fb</v>
    <v>en-IN</v>
    <v>Map</v>
  </rv>
  <rv s="0">
    <v>536870912</v>
    <v>Coimbra District</v>
    <v>eaabde58-df44-d3f2-fcaf-2eb0b0c892ca</v>
    <v>en-IN</v>
    <v>Map</v>
  </rv>
  <rv s="0">
    <v>536870912</v>
    <v>Aveiro District</v>
    <v>2448fddc-7ab4-4061-c990-7ee0e882b83f</v>
    <v>en-IN</v>
    <v>Map</v>
  </rv>
  <rv s="0">
    <v>536870912</v>
    <v>Viseu District</v>
    <v>4af2c91e-a2d9-03c8-4bcc-d0e611b7a836</v>
    <v>en-IN</v>
    <v>Map</v>
  </rv>
  <rv s="0">
    <v>536870912</v>
    <v>Bragança District</v>
    <v>511e9c5a-156c-4018-b440-d68a04fdd311</v>
    <v>en-IN</v>
    <v>Map</v>
  </rv>
  <rv s="0">
    <v>536870912</v>
    <v>Vila Real District</v>
    <v>16491095-1ede-45bc-b4f9-d0b768b902b4</v>
    <v>en-IN</v>
    <v>Map</v>
  </rv>
  <rv s="0">
    <v>536870912</v>
    <v>Porto District</v>
    <v>ab024f06-dfa0-f5d5-2ace-323a59e1c03f</v>
    <v>en-IN</v>
    <v>Map</v>
  </rv>
  <rv s="0">
    <v>536870912</v>
    <v>Braga District</v>
    <v>bf9b0bf5-80ec-1d9e-e2bb-f15cfff91b3f</v>
    <v>en-IN</v>
    <v>Map</v>
  </rv>
  <rv s="0">
    <v>536870912</v>
    <v>Viana do Castelo District</v>
    <v>e82c5675-25b8-35f8-dd22-1d162bbc45bd</v>
    <v>en-IN</v>
    <v>Map</v>
  </rv>
  <rv s="0">
    <v>536870912</v>
    <v>Madeira</v>
    <v>fd1c338d-a716-e095-102a-5ac3106ddd68</v>
    <v>en-IN</v>
    <v>Map</v>
  </rv>
  <rv s="0">
    <v>536870912</v>
    <v>Azores</v>
    <v>162558d5-afd4-4b00-9d00-54ad16880f8b</v>
    <v>en-IN</v>
    <v>Map</v>
  </rv>
  <rv s="3">
    <v>245</v>
  </rv>
  <rv s="1">
    <fb>0.227551770073532</fb>
    <v>24</v>
  </rv>
  <rv s="1">
    <fb>6.33400011062622E-2</fb>
    <v>32</v>
  </rv>
  <rv s="1">
    <fb>6753579</fb>
    <v>25</v>
  </rv>
  <rv s="19">
    <v>#VALUE!</v>
    <v>en-IN</v>
    <v>9e917e65-c588-a0b7-f336-52fc6b5b2052</v>
    <v>536870912</v>
    <v>1</v>
    <v>726</v>
    <v>105</v>
    <v>Portugal</v>
    <v>20</v>
    <v>21</v>
    <v>Map</v>
    <v>22</v>
    <v>727</v>
    <v>PT</v>
    <v>4474</v>
    <v>4475</v>
    <v>4476</v>
    <v>4477</v>
    <v>4478</v>
    <v>4479</v>
    <v>4480</v>
    <v>4481</v>
    <v>4482</v>
    <v>EUR</v>
    <v>Portugal, officially the Portuguese Republic, is a country located on the Iberian Peninsula, in Southwestern Europe, and whose territory also includes the macaronesian archipelagos of the Azores and Madeira. It features the westernmost point in ...</v>
    <v>4483</v>
    <v>4484</v>
    <v>4485</v>
    <v>4486</v>
    <v>4487</v>
    <v>4488</v>
    <v>4489</v>
    <v>4490</v>
    <v>4491</v>
    <v>396</v>
    <v>4479</v>
    <v>4494</v>
    <v>4495</v>
    <v>4496</v>
    <v>4497</v>
    <v>1778</v>
    <v>4498</v>
    <v>Portugal</v>
    <v>A Portuguesa</v>
    <v>2961</v>
    <v>Portugalská republika</v>
    <v>4499</v>
    <v>4500</v>
    <v>4501</v>
    <v>887</v>
    <v>567</v>
    <v>4502</v>
    <v>2891</v>
    <v>4503</v>
    <v>2361</v>
    <v>2739</v>
    <v>4504</v>
    <v>4525</v>
    <v>4526</v>
    <v>2102</v>
    <v>4527</v>
    <v>Portugal</v>
    <v>4528</v>
    <v>mdp/vdpid/193</v>
  </rv>
  <rv s="1">
    <fb>100.05</fb>
    <v>25</v>
  </rv>
  <rv s="2">
    <v>136</v>
    <v>22</v>
    <v>728</v>
    <v>7</v>
    <v>0</v>
    <v>Image of Lisbon</v>
  </rv>
  <rv s="4">
    <v>https://www.bing.com/search?q=lisbon+portugal&amp;form=skydnc</v>
    <v>Learn more on Bing</v>
  </rv>
  <rv s="1">
    <fb>545923</fb>
    <v>25</v>
  </rv>
  <rv s="75">
    <v>#VALUE!</v>
    <v>en-IN</v>
    <v>9d006cb5-bff4-48b4-9c83-443eaf418b11</v>
    <v>536870912</v>
    <v>1</v>
    <v>729</v>
    <v>730</v>
    <v>Lisbon</v>
    <v>20</v>
    <v>21</v>
    <v>Map</v>
    <v>22</v>
    <v>362</v>
    <v>4505</v>
    <v>4530</v>
    <v>4473</v>
    <v>Lisbon is the capital and largest city of Portugal, with an estimated population of 548,703 within its administrative limits in an area of 100.05 km². About 2.9 million people live in the Lisbon metropolitan area, which extends beyond the city's ...</v>
    <v>4531</v>
    <v>4532</v>
    <v>Lisbon</v>
    <v>4533</v>
    <v>Lisbon</v>
    <v>mdp/vdpid/161498680</v>
  </rv>
  <rv s="2">
    <v>135</v>
    <v>22</v>
    <v>723</v>
    <v>3</v>
    <v>0</v>
    <v>Image of Portugal</v>
  </rv>
  <rv s="8">
    <v>en-IN</v>
    <v>avo8oc</v>
    <v>268435456</v>
    <v>1</v>
    <v>Powered by Refinitiv</v>
    <v>42</v>
    <v>PKR/USD</v>
    <v>43</v>
    <v>62</v>
    <v>Finance</v>
    <v>45</v>
    <v>3.5999999999999999E-3</v>
    <v>3.49E-3</v>
    <v>0</v>
    <v>0</v>
    <v>USD</v>
    <v>PKR</v>
    <v>3.5599999999999998E-3</v>
    <v>Currency Pair</v>
    <v>45957.217453703706</v>
    <v>3.5300000000000002E-3</v>
    <v>Pakistani Rupee/US Dollar FX Cross Rate</v>
    <v>3.5100000000000001E-3</v>
    <v>3.5100000000000001E-3</v>
    <v>3.5100000000000001E-3</v>
    <v>PKRUSD</v>
    <v>PKR/USD</v>
  </rv>
  <rv s="9">
    <v>4536</v>
  </rv>
  <rv s="0">
    <v>536870912</v>
    <v>Qatar</v>
    <v>12aef15b-0748-2538-a691-1f10b68d6fc2</v>
    <v>en-IN</v>
    <v>Map</v>
  </rv>
  <rv s="1">
    <fb>5.7708871662360002E-2</fb>
    <v>24</v>
  </rv>
  <rv s="1">
    <fb>11437</fb>
    <v>25</v>
  </rv>
  <rv s="1">
    <fb>9.5410000000000004</fb>
    <v>26</v>
  </rv>
  <rv s="1">
    <fb>974</fb>
    <v>27</v>
  </rv>
  <rv s="0">
    <v>536870912</v>
    <v>Doha</v>
    <v>c5b0d5d3-8bd3-bd8d-1f71-c25a489a1a0d</v>
    <v>en-IN</v>
    <v>Map</v>
  </rv>
  <rv s="1">
    <fb>103259.053</fb>
    <v>25</v>
  </rv>
  <rv s="1">
    <fb>115.380849813981</fb>
    <v>28</v>
  </rv>
  <rv s="1">
    <fb>-6.6664112486110204E-3</fb>
    <v>24</v>
  </rv>
  <rv s="1">
    <fb>14781.648325999</fb>
    <v>25</v>
  </rv>
  <rv s="1">
    <fb>1.8660000000000001</fb>
    <v>26</v>
  </rv>
  <rv s="1">
    <fb>0</fb>
    <v>24</v>
  </rv>
  <rv s="1">
    <fb>99.995026721051204</fb>
    <v>29</v>
  </rv>
  <rv s="1">
    <fb>0.4</fb>
    <v>30</v>
  </rv>
  <rv s="1">
    <fb>183466208791.20901</fb>
    <v>31</v>
  </rv>
  <rv s="1">
    <fb>1.0384244</fb>
    <v>24</v>
  </rv>
  <rv s="1">
    <fb>0.1786992</fb>
    <v>24</v>
  </rv>
  <rv s="2">
    <v>137</v>
    <v>22</v>
    <v>732</v>
    <v>7</v>
    <v>0</v>
    <v>Image of Qatar</v>
  </rv>
  <rv s="1">
    <fb>5.8</fb>
    <v>29</v>
  </rv>
  <rv s="0">
    <v>805306368</v>
    <v>Mohammed bin Abdulrahman bin Jassim Al Thani (Prime minister)</v>
    <v>ce42d931-a963-98de-26d9-0b1ba94ce2b3</v>
    <v>en-IN</v>
    <v>Generic</v>
  </rv>
  <rv s="3">
    <v>246</v>
  </rv>
  <rv s="4">
    <v>https://www.bing.com/search?q=qatar+country&amp;form=skydnc</v>
    <v>Learn more on Bing</v>
  </rv>
  <rv s="1">
    <fb>80.099999999999994</fb>
    <v>29</v>
  </rv>
  <rv s="1">
    <fb>160050720000</fb>
    <v>31</v>
  </rv>
  <rv s="1">
    <fb>6.2283750999999998E-2</fb>
    <v>24</v>
  </rv>
  <rv s="1">
    <fb>2.4851999999999999</fb>
    <v>26</v>
  </rv>
  <rv s="1">
    <fb>2695122</fb>
    <v>25</v>
  </rv>
  <rv s="1">
    <fb>0.86819999694824201</fb>
    <v>24</v>
  </rv>
  <rv s="0">
    <v>536870912</v>
    <v>Al Khor</v>
    <v>72adf305-d5e2-3388-1472-17d5f43e48a9</v>
    <v>en-IN</v>
    <v>Map</v>
  </rv>
  <rv s="0">
    <v>536870912</v>
    <v>Al Wakrah</v>
    <v>4c88a270-4eb0-5c50-1314-b484c89246f1</v>
    <v>en-IN</v>
    <v>Map</v>
  </rv>
  <rv s="0">
    <v>536870912</v>
    <v>Al Rayyan Municipality</v>
    <v>9bf93336-1924-2e5e-cb2a-f85b1cc21f34</v>
    <v>en-IN</v>
    <v>Map</v>
  </rv>
  <rv s="0">
    <v>536870912</v>
    <v>Jariyan Al Batnah</v>
    <v>13a58772-da11-6e20-7ac4-ee6c4c23de37</v>
    <v>en-IN</v>
    <v>Map</v>
  </rv>
  <rv s="0">
    <v>536870912</v>
    <v>Al Shamal</v>
    <v>0e293f7b-8248-ad3b-91d1-bd49d93a952b</v>
    <v>en-IN</v>
    <v>Map</v>
  </rv>
  <rv s="0">
    <v>536870912</v>
    <v>Umm Salal Municipality</v>
    <v>2178500b-c8f4-b470-ce7b-5b59055fa6bb</v>
    <v>en-IN</v>
    <v>Map</v>
  </rv>
  <rv s="0">
    <v>536870912</v>
    <v>Mesaieed</v>
    <v>37ee76df-633c-3402-1b3d-b2d007177bce</v>
    <v>en-IN</v>
    <v>Map</v>
  </rv>
  <rv s="3">
    <v>247</v>
  </rv>
  <rv s="1">
    <fb>0.14654950961848401</fb>
    <v>24</v>
  </rv>
  <rv s="1">
    <fb>0.113</fb>
    <v>24</v>
  </rv>
  <rv s="1">
    <fb>9.0999998152255994E-4</fb>
    <v>32</v>
  </rv>
  <rv s="1">
    <fb>2809071</fb>
    <v>25</v>
  </rv>
  <rv s="76">
    <v>#VALUE!</v>
    <v>en-IN</v>
    <v>12aef15b-0748-2538-a691-1f10b68d6fc2</v>
    <v>536870912</v>
    <v>1</v>
    <v>735</v>
    <v>736</v>
    <v>Qatar</v>
    <v>20</v>
    <v>21</v>
    <v>Map</v>
    <v>22</v>
    <v>737</v>
    <v>QA</v>
    <v>4539</v>
    <v>4540</v>
    <v>1889</v>
    <v>4541</v>
    <v>4542</v>
    <v>4543</v>
    <v>4544</v>
    <v>4545</v>
    <v>4546</v>
    <v>QAR</v>
    <v>Qatar, officially the State of Qatar, is a country in West Asia. It occupies the Qatar Peninsula on the northeastern coast of the Arabian Peninsula in the Middle East; it shares its sole land border with Saudi Arabia to the south, with the rest ...</v>
    <v>4547</v>
    <v>4548</v>
    <v>4549</v>
    <v>4550</v>
    <v>4551</v>
    <v>4552</v>
    <v>4553</v>
    <v>4554</v>
    <v>4555</v>
    <v>4556</v>
    <v>4543</v>
    <v>4558</v>
    <v>4559</v>
    <v>4560</v>
    <v>4561</v>
    <v>3347</v>
    <v>Qatar</v>
    <v>As Salam al Amiri</v>
    <v>1454</v>
    <v>l’État du Qatar</v>
    <v>4562</v>
    <v>4563</v>
    <v>4564</v>
    <v>4565</v>
    <v>4573</v>
    <v>4574</v>
    <v>4575</v>
    <v>4576</v>
    <v>Qatar</v>
    <v>4577</v>
    <v>mdp/vdpid/197</v>
  </rv>
  <rv s="1">
    <fb>132.08939362699999</fb>
    <v>25</v>
  </rv>
  <rv s="2">
    <v>138</v>
    <v>22</v>
    <v>739</v>
    <v>7</v>
    <v>0</v>
    <v>Image of Doha</v>
  </rv>
  <rv s="4">
    <v>https://www.bing.com/search?q=doha&amp;form=skydnc</v>
    <v>Learn more on Bing</v>
  </rv>
  <rv s="1">
    <fb>1186023</fb>
    <v>25</v>
  </rv>
  <rv s="26">
    <v>#VALUE!</v>
    <v>en-IN</v>
    <v>c5b0d5d3-8bd3-bd8d-1f71-c25a489a1a0d</v>
    <v>536870912</v>
    <v>1</v>
    <v>740</v>
    <v>166</v>
    <v>Doha</v>
    <v>20</v>
    <v>21</v>
    <v>Map</v>
    <v>22</v>
    <v>189</v>
    <v>QA-DA</v>
    <v>4579</v>
    <v>4538</v>
    <v>Doha is the capital city and main financial hub of Qatar. Located on the Persian Gulf coast in the east of the country, north of Al Wakrah and south of Al Khor, it is home to most of the country's population. It is also Qatar's fastest growing ...</v>
    <v>4580</v>
    <v>4581</v>
    <v>Doha</v>
    <v>4582</v>
    <v>Doha</v>
    <v>mdp/vdpid/7375056802527838209</v>
  </rv>
  <rv s="2">
    <v>137</v>
    <v>22</v>
    <v>732</v>
    <v>3</v>
    <v>0</v>
    <v>Image of Qatar</v>
  </rv>
  <rv s="8">
    <v>en-IN</v>
    <v>avyksm</v>
    <v>268435456</v>
    <v>1</v>
    <v>Powered by Refinitiv</v>
    <v>42</v>
    <v>USD/BDT</v>
    <v>43</v>
    <v>741</v>
    <v>Finance</v>
    <v>45</v>
    <v>122.7</v>
    <v>119</v>
    <v>-0.15</v>
    <v>-1.2260000000000001E-3</v>
    <v>BDT</v>
    <v>USD</v>
    <v>122.15</v>
    <v>Currency Pair</v>
    <v>45957.187835648147</v>
    <v>122.6</v>
    <v>US Dollar/Bangladesh Taka FX Spot Rate</v>
    <v>122.15</v>
    <v>122.3</v>
    <v>122.15</v>
    <v>USDBDT</v>
    <v>USD/BDT</v>
  </rv>
  <rv s="9">
    <v>4585</v>
  </rv>
  <rv s="0">
    <v>536870912</v>
    <v>Romania</v>
    <v>0cc489d5-ff53-84f1-4fcc-76525efef33a</v>
    <v>en-IN</v>
    <v>Map</v>
  </rv>
  <rv s="1">
    <fb>0.58766515994436697</fb>
    <v>24</v>
  </rv>
  <rv s="1">
    <fb>238397</fb>
    <v>25</v>
  </rv>
  <rv s="1">
    <fb>126000</fb>
    <v>25</v>
  </rv>
  <rv s="1">
    <fb>9.6</fb>
    <v>26</v>
  </rv>
  <rv s="1">
    <fb>40</fb>
    <v>27</v>
  </rv>
  <rv s="0">
    <v>536870912</v>
    <v>Bucharest</v>
    <v>42022f97-112e-58a6-70f5-9536b20ee957</v>
    <v>en-IN</v>
    <v>Map</v>
  </rv>
  <rv s="1">
    <fb>69258.629000000001</fb>
    <v>25</v>
  </rv>
  <rv s="1">
    <fb>123.780383348878</fb>
    <v>28</v>
  </rv>
  <rv s="1">
    <fb>3.8278543259942802E-2</fb>
    <v>24</v>
  </rv>
  <rv s="1">
    <fb>2584.4117872644301</fb>
    <v>25</v>
  </rv>
  <rv s="1">
    <fb>0.301208283871371</fb>
    <v>24</v>
  </rv>
  <rv s="1">
    <fb>72.523694574412801</fb>
    <v>29</v>
  </rv>
  <rv s="1">
    <fb>250077444017.08401</fb>
    <v>31</v>
  </rv>
  <rv s="1">
    <fb>0.85150870000000001</fb>
    <v>24</v>
  </rv>
  <rv s="1">
    <fb>0.4938187</fb>
    <v>24</v>
  </rv>
  <rv s="2">
    <v>139</v>
    <v>22</v>
    <v>743</v>
    <v>7</v>
    <v>0</v>
    <v>Image of Romania</v>
  </rv>
  <rv s="0">
    <v>805306368</v>
    <v>Klaus Iohannis (President)</v>
    <v>7ff325b6-eaf2-021c-bc2a-09373a9427f3</v>
    <v>en-IN</v>
    <v>Generic</v>
  </rv>
  <rv s="0">
    <v>805306368</v>
    <v>Marcel Ciolacu (Prime minister)</v>
    <v>85188c14-f939-1c62-12fb-e44a3a13ab1d</v>
    <v>en-IN</v>
    <v>Generic</v>
  </rv>
  <rv s="3">
    <v>248</v>
  </rv>
  <rv s="4">
    <v>https://www.bing.com/search?q=romania&amp;form=skydnc</v>
    <v>Learn more on Bing</v>
  </rv>
  <rv s="1">
    <fb>75.358536585365897</fb>
    <v>29</v>
  </rv>
  <rv s="1">
    <fb>26110300000</fb>
    <v>31</v>
  </rv>
  <rv s="1">
    <fb>2.25</fb>
    <v>30</v>
  </rv>
  <rv s="1">
    <fb>0.21276716530000001</fb>
    <v>24</v>
  </rv>
  <rv s="1">
    <fb>2.9807000000000001</fb>
    <v>26</v>
  </rv>
  <rv s="1">
    <fb>18956666</fb>
    <v>25</v>
  </rv>
  <rv s="1">
    <fb>0.247</fb>
    <v>24</v>
  </rv>
  <rv s="1">
    <fb>0.41</fb>
    <v>24</v>
  </rv>
  <rv s="1">
    <fb>0.54661998748779295</fb>
    <v>24</v>
  </rv>
  <rv s="0">
    <v>536870912</v>
    <v>Alba County</v>
    <v>c21726c8-9ad7-eaa6-44f2-a2dae7e40e2c</v>
    <v>en-IN</v>
    <v>Map</v>
  </rv>
  <rv s="0">
    <v>536870912</v>
    <v>Arad County</v>
    <v>09ac14dd-d901-08ce-e6d7-7050564ba78d</v>
    <v>en-IN</v>
    <v>Map</v>
  </rv>
  <rv s="0">
    <v>536870912</v>
    <v>Argeș County</v>
    <v>318eeda4-9dd3-e3c1-6d05-5e140d88acfc</v>
    <v>en-IN</v>
    <v>Map</v>
  </rv>
  <rv s="0">
    <v>536870912</v>
    <v>Bacău County</v>
    <v>61b312d7-17c7-cfe6-4e56-77816817f56b</v>
    <v>en-IN</v>
    <v>Map</v>
  </rv>
  <rv s="0">
    <v>536870912</v>
    <v>Bihor County</v>
    <v>3952dd81-0984-acbe-245c-8b3054ef95c9</v>
    <v>en-IN</v>
    <v>Map</v>
  </rv>
  <rv s="0">
    <v>536870912</v>
    <v>Bistrița-Năsăud County</v>
    <v>d0dac3d9-f47e-2719-abf6-372b00ae7ae0</v>
    <v>en-IN</v>
    <v>Map</v>
  </rv>
  <rv s="0">
    <v>536870912</v>
    <v>Botoșani County</v>
    <v>feff5245-d038-86d5-5930-7c8208872ee3</v>
    <v>en-IN</v>
    <v>Map</v>
  </rv>
  <rv s="0">
    <v>536870912</v>
    <v>Brașov County</v>
    <v>86db4373-f44e-f2af-1043-8cad4ea43afc</v>
    <v>en-IN</v>
    <v>Map</v>
  </rv>
  <rv s="0">
    <v>536870912</v>
    <v>Brăila County</v>
    <v>0a804e68-4031-607a-3fa0-df03c2b648d2</v>
    <v>en-IN</v>
    <v>Map</v>
  </rv>
  <rv s="0">
    <v>536870912</v>
    <v>Buzău County</v>
    <v>bdcbd591-5cd3-ea51-a909-f9e3a7d9135d</v>
    <v>en-IN</v>
    <v>Map</v>
  </rv>
  <rv s="0">
    <v>536870912</v>
    <v>Caraș-Severin County</v>
    <v>f236c4b6-3033-3e05-9418-43c6d669da82</v>
    <v>en-IN</v>
    <v>Map</v>
  </rv>
  <rv s="0">
    <v>536870912</v>
    <v>Călărași County</v>
    <v>cd578b99-3dd3-5dea-7c8b-4e9135436f97</v>
    <v>en-IN</v>
    <v>Map</v>
  </rv>
  <rv s="0">
    <v>536870912</v>
    <v>Cluj County</v>
    <v>28809817-0c91-c619-fb4f-e8e5cb804a76</v>
    <v>en-IN</v>
    <v>Map</v>
  </rv>
  <rv s="0">
    <v>536870912</v>
    <v>Constanța County</v>
    <v>0cdf21be-08e7-570f-51e1-921e4da71ed5</v>
    <v>en-IN</v>
    <v>Map</v>
  </rv>
  <rv s="0">
    <v>536870912</v>
    <v>Covasna County</v>
    <v>fa5ce805-c93a-97b6-9e15-4b761a9b83c6</v>
    <v>en-IN</v>
    <v>Map</v>
  </rv>
  <rv s="0">
    <v>536870912</v>
    <v>Dâmbovița County</v>
    <v>d8b28916-b16c-a4e5-b155-271ef6e4a2c2</v>
    <v>en-IN</v>
    <v>Map</v>
  </rv>
  <rv s="0">
    <v>536870912</v>
    <v>Dolj County</v>
    <v>dea77125-28db-fbbc-ff54-52cbc5d207dd</v>
    <v>en-IN</v>
    <v>Map</v>
  </rv>
  <rv s="0">
    <v>536870912</v>
    <v>Galați County</v>
    <v>ab9506dc-8457-ead3-6440-afd79051c3b0</v>
    <v>en-IN</v>
    <v>Map</v>
  </rv>
  <rv s="0">
    <v>536870912</v>
    <v>Giurgiu County</v>
    <v>ff095b0d-49c5-6888-d3bc-754012945cca</v>
    <v>en-IN</v>
    <v>Map</v>
  </rv>
  <rv s="0">
    <v>536870912</v>
    <v>Gorj County</v>
    <v>9f8069d1-da23-e934-5858-395dd70ecd4a</v>
    <v>en-IN</v>
    <v>Map</v>
  </rv>
  <rv s="0">
    <v>536870912</v>
    <v>Harghita County</v>
    <v>8378f330-84ea-467e-8a66-f27ad353cd4c</v>
    <v>en-IN</v>
    <v>Map</v>
  </rv>
  <rv s="0">
    <v>536870912</v>
    <v>Hunedoara County</v>
    <v>202a8128-b503-a325-37e5-8e5e68c15867</v>
    <v>en-IN</v>
    <v>Map</v>
  </rv>
  <rv s="0">
    <v>536870912</v>
    <v>Ialomița County</v>
    <v>fc33a349-ea3d-08f4-c751-0ae5b7dcfa8c</v>
    <v>en-IN</v>
    <v>Map</v>
  </rv>
  <rv s="0">
    <v>536870912</v>
    <v>Iași County</v>
    <v>2be9dc91-9009-1844-f4a7-f66e4de3e1e2</v>
    <v>en-IN</v>
    <v>Map</v>
  </rv>
  <rv s="0">
    <v>536870912</v>
    <v>Ilfov County</v>
    <v>d6b13ffc-3490-2609-746c-5b9daf56e5ee</v>
    <v>en-IN</v>
    <v>Map</v>
  </rv>
  <rv s="0">
    <v>536870912</v>
    <v>Maramureș County</v>
    <v>4ed7d056-ef13-2d0e-56a6-e9da21330a94</v>
    <v>en-IN</v>
    <v>Map</v>
  </rv>
  <rv s="0">
    <v>536870912</v>
    <v>Mehedinți County</v>
    <v>4281fa8c-81b5-1f40-b397-e1eb6ba2dc78</v>
    <v>en-IN</v>
    <v>Map</v>
  </rv>
  <rv s="0">
    <v>536870912</v>
    <v>Mureș County</v>
    <v>3f4266e8-0170-a113-1032-f94336eaafdf</v>
    <v>en-IN</v>
    <v>Map</v>
  </rv>
  <rv s="0">
    <v>536870912</v>
    <v>Neamț County</v>
    <v>10688e6f-8161-14e3-8c27-cb9bb5be1f19</v>
    <v>en-IN</v>
    <v>Map</v>
  </rv>
  <rv s="0">
    <v>536870912</v>
    <v>Olt County</v>
    <v>b11684a9-7647-de09-64a1-49b27c0b2422</v>
    <v>en-IN</v>
    <v>Map</v>
  </rv>
  <rv s="0">
    <v>536870912</v>
    <v>Prahova County</v>
    <v>ef7d6b15-b80b-c2ac-d5e3-b2a9061583d8</v>
    <v>en-IN</v>
    <v>Map</v>
  </rv>
  <rv s="0">
    <v>536870912</v>
    <v>Satu Mare County</v>
    <v>61f38a75-f137-9e6e-2306-81c1a708240e</v>
    <v>en-IN</v>
    <v>Map</v>
  </rv>
  <rv s="0">
    <v>536870912</v>
    <v>Sălaj County</v>
    <v>a1b242e4-860b-a6ec-6f82-2159334291e6</v>
    <v>en-IN</v>
    <v>Map</v>
  </rv>
  <rv s="0">
    <v>536870912</v>
    <v>Sibiu County</v>
    <v>3f30d65f-4841-e070-8804-06cea2d2f5a4</v>
    <v>en-IN</v>
    <v>Map</v>
  </rv>
  <rv s="0">
    <v>536870912</v>
    <v>Suceava County</v>
    <v>0730647e-3d4b-ffb2-f452-53c11e65cf8d</v>
    <v>en-IN</v>
    <v>Map</v>
  </rv>
  <rv s="0">
    <v>536870912</v>
    <v>Teleorman County</v>
    <v>a13105c9-1956-9418-947c-69c3f670616f</v>
    <v>en-IN</v>
    <v>Map</v>
  </rv>
  <rv s="0">
    <v>536870912</v>
    <v>Timiș County</v>
    <v>655fa6eb-9e3d-05b3-4101-2413d655f1ff</v>
    <v>en-IN</v>
    <v>Map</v>
  </rv>
  <rv s="0">
    <v>536870912</v>
    <v>Tulcea County</v>
    <v>85222a52-a63f-ea94-229e-d38e8da96a5e</v>
    <v>en-IN</v>
    <v>Map</v>
  </rv>
  <rv s="0">
    <v>536870912</v>
    <v>Vaslui County</v>
    <v>f808d8c2-0910-ed03-f4de-05f9fae6976f</v>
    <v>en-IN</v>
    <v>Map</v>
  </rv>
  <rv s="0">
    <v>536870912</v>
    <v>Vâlcea County</v>
    <v>7bfc5a59-d44b-48f9-b75d-740ad5186eaa</v>
    <v>en-IN</v>
    <v>Map</v>
  </rv>
  <rv s="0">
    <v>536870912</v>
    <v>Vrancea County</v>
    <v>9ed2ae9a-d03d-2bb8-9374-23833b05fc4c</v>
    <v>en-IN</v>
    <v>Map</v>
  </rv>
  <rv s="3">
    <v>249</v>
  </rv>
  <rv s="1">
    <fb>0.14584834808348801</fb>
    <v>24</v>
  </rv>
  <rv s="1">
    <fb>3.9760000705719001E-2</fb>
    <v>32</v>
  </rv>
  <rv s="1">
    <fb>10468793</fb>
    <v>25</v>
  </rv>
  <rv s="19">
    <v>#VALUE!</v>
    <v>en-IN</v>
    <v>0cc489d5-ff53-84f1-4fcc-76525efef33a</v>
    <v>536870912</v>
    <v>1</v>
    <v>746</v>
    <v>105</v>
    <v>Romania</v>
    <v>20</v>
    <v>21</v>
    <v>Map</v>
    <v>22</v>
    <v>747</v>
    <v>RO</v>
    <v>4588</v>
    <v>4589</v>
    <v>4590</v>
    <v>4591</v>
    <v>4592</v>
    <v>4593</v>
    <v>4594</v>
    <v>4595</v>
    <v>4596</v>
    <v>ROL</v>
    <v>Romania is a country at the crossroads of Central, Eastern and Southeast Europe. It borders Ukraine to the north, Hungary to the west, Serbia to the southwest, Bulgaria to the south, Moldova to the east, and the Black Sea to the southeast. It ...</v>
    <v>4597</v>
    <v>3332</v>
    <v>4598</v>
    <v>4599</v>
    <v>1291</v>
    <v>4600</v>
    <v>4601</v>
    <v>4602</v>
    <v>4603</v>
    <v>2222</v>
    <v>4593</v>
    <v>4606</v>
    <v>4607</v>
    <v>4608</v>
    <v>4609</v>
    <v>1302</v>
    <v>4610</v>
    <v>Romania</v>
    <v>Deșteaptă-te, române!</v>
    <v>2616</v>
    <v>România</v>
    <v>4611</v>
    <v>4612</v>
    <v>4613</v>
    <v>4614</v>
    <v>2357</v>
    <v>4615</v>
    <v>2968</v>
    <v>650</v>
    <v>1310</v>
    <v>2965</v>
    <v>4616</v>
    <v>4658</v>
    <v>4659</v>
    <v>2486</v>
    <v>4660</v>
    <v>Romania</v>
    <v>4661</v>
    <v>mdp/vdpid/200</v>
  </rv>
  <rv s="1">
    <fb>226</fb>
    <v>25</v>
  </rv>
  <rv s="0">
    <v>536870912</v>
    <v>Romanian People's Republic</v>
    <v>0b361d3e-209b-6b39-95fb-f28185ed0ac1</v>
    <v>en-IN</v>
    <v>Map</v>
  </rv>
  <rv s="2">
    <v>140</v>
    <v>22</v>
    <v>748</v>
    <v>7</v>
    <v>0</v>
    <v>Image of Bucharest</v>
  </rv>
  <rv s="0">
    <v>805306368</v>
    <v>Nicușor Dan (Mayor)</v>
    <v>84785328-5d1c-8d8d-bc43-e723457bf6eb</v>
    <v>en-IN</v>
    <v>Generic</v>
  </rv>
  <rv s="3">
    <v>250</v>
  </rv>
  <rv s="4">
    <v>https://www.bing.com/search?q=bucharest+romania&amp;form=skydnc</v>
    <v>Learn more on Bing</v>
  </rv>
  <rv s="1">
    <fb>1716961</fb>
    <v>25</v>
  </rv>
  <rv s="33">
    <v>#VALUE!</v>
    <v>en-IN</v>
    <v>42022f97-112e-58a6-70f5-9536b20ee957</v>
    <v>536870912</v>
    <v>1</v>
    <v>750</v>
    <v>222</v>
    <v>Bucharest</v>
    <v>20</v>
    <v>21</v>
    <v>Map</v>
    <v>22</v>
    <v>362</v>
    <v>RO-B</v>
    <v>4663</v>
    <v>4664</v>
    <v>Bucharest is the capital and largest city of Romania. It is described as the cultural, financial, entertainment, and media center in the country with a significant influence in Eastern and Southeastern Europe as well. In geopolitical regards, ...</v>
    <v>4665</v>
    <v>4667</v>
    <v>4668</v>
    <v>Bucharest</v>
    <v>4669</v>
    <v>Bucharest</v>
    <v>mdp/vdpid/7242405126827147265</v>
  </rv>
  <rv s="2">
    <v>139</v>
    <v>22</v>
    <v>743</v>
    <v>3</v>
    <v>0</v>
    <v>Image of Romania</v>
  </rv>
  <rv s="8">
    <v>en-IN</v>
    <v>auyyp2</v>
    <v>268435456</v>
    <v>1</v>
    <v>Powered by Refinitiv</v>
    <v>42</v>
    <v>BDT/USD</v>
    <v>43</v>
    <v>62</v>
    <v>Finance</v>
    <v>45</v>
    <v>8.3300000000000006E-3</v>
    <v>8.1200000000000005E-3</v>
    <v>1.4E-5</v>
    <v>1.719E-3</v>
    <v>USD</v>
    <v>BDT</v>
    <v>8.1569999999999993E-3</v>
    <v>Currency Pair</v>
    <v>45957.187835648147</v>
    <v>8.1869999999999998E-3</v>
    <v>Bangladesh Taka/US Dollar FX Cross Rate</v>
    <v>8.1569999999999993E-3</v>
    <v>8.1429999999999992E-3</v>
    <v>8.1569999999999993E-3</v>
    <v>BDTUSD</v>
    <v>BDT/USD</v>
  </rv>
  <rv s="9">
    <v>4672</v>
  </rv>
  <rv s="0">
    <v>536870912</v>
    <v>Russia</v>
    <v>ed4fce79-8ad4-352b-205b-e4db36c49bbe</v>
    <v>en-IN</v>
    <v>Map</v>
  </rv>
  <rv s="1">
    <fb>0.13294470341402198</fb>
    <v>24</v>
  </rv>
  <rv s="1">
    <fb>17075400</fb>
    <v>25</v>
  </rv>
  <rv s="1">
    <fb>1454000</fb>
    <v>25</v>
  </rv>
  <rv s="1">
    <fb>11.5</fb>
    <v>26</v>
  </rv>
  <rv s="0">
    <v>536870912</v>
    <v>Moscow</v>
    <v>6bb559e5-6af9-adf8-d8bc-7f999aba8a3a</v>
    <v>en-IN</v>
    <v>Map</v>
  </rv>
  <rv s="1">
    <fb>1732026.7760000001</fb>
    <v>25</v>
  </rv>
  <rv s="1">
    <fb>180.74643865422601</fb>
    <v>28</v>
  </rv>
  <rv s="1">
    <fb>4.4703597689969995E-2</fb>
    <v>24</v>
  </rv>
  <rv s="1">
    <fb>6602.6575252928196</fb>
    <v>25</v>
  </rv>
  <rv s="1">
    <fb>1.57</fb>
    <v>26</v>
  </rv>
  <rv s="1">
    <fb>0.49758561923004796</fb>
    <v>24</v>
  </rv>
  <rv s="1">
    <fb>92.142875817828696</fb>
    <v>29</v>
  </rv>
  <rv s="1">
    <fb>0.59</fb>
    <v>30</v>
  </rv>
  <rv s="1">
    <fb>1699876578871.3501</fb>
    <v>31</v>
  </rv>
  <rv s="1">
    <fb>1.0258246</fb>
    <v>24</v>
  </rv>
  <rv s="1">
    <fb>0.81909310000000002</fb>
    <v>24</v>
  </rv>
  <rv s="2">
    <v>141</v>
    <v>22</v>
    <v>752</v>
    <v>7</v>
    <v>0</v>
    <v>Image of Russia</v>
  </rv>
  <rv s="0">
    <v>805306368</v>
    <v>Vladimir Putin (President)</v>
    <v>60d41b9e-06ae-967b-bcc5-97ad4a13d29c</v>
    <v>en-IN</v>
    <v>Generic</v>
  </rv>
  <rv s="0">
    <v>805306368</v>
    <v>Mikhail Mishustin (Prime minister)</v>
    <v>8176b935-a6dc-cfbe-2565-cfb891845a4a</v>
    <v>en-IN</v>
    <v>Generic</v>
  </rv>
  <rv s="3">
    <v>251</v>
  </rv>
  <rv s="4">
    <v>https://www.bing.com/search?q=russia&amp;form=skydnc</v>
    <v>Learn more on Bing</v>
  </rv>
  <rv s="1">
    <fb>72.657317073170702</fb>
    <v>29</v>
  </rv>
  <rv s="1">
    <fb>576116340000</fb>
    <v>31</v>
  </rv>
  <rv s="1">
    <fb>17</fb>
    <v>29</v>
  </rv>
  <rv s="3">
    <v>252</v>
  </rv>
  <rv s="1">
    <fb>0.36436404289999996</fb>
    <v>24</v>
  </rv>
  <rv s="1">
    <fb>4.0138999999999996</fb>
    <v>26</v>
  </rv>
  <rv s="1">
    <fb>143555736</fb>
    <v>25</v>
  </rv>
  <rv s="1">
    <fb>0.214</fb>
    <v>24</v>
  </rv>
  <rv s="1">
    <fb>0.45100000000000001</fb>
    <v>24</v>
  </rv>
  <rv s="1">
    <fb>7.0999999999999994E-2</fb>
    <v>24</v>
  </rv>
  <rv s="1">
    <fb>0.61800998687744102</fb>
    <v>24</v>
  </rv>
  <rv s="0">
    <v>536870912</v>
    <v>Adygea</v>
    <v>22b5ba45-672e-34b8-e6f1-db4a112d6473</v>
    <v>en-IN</v>
    <v>Map</v>
  </rv>
  <rv s="0">
    <v>536870912</v>
    <v>Altai Republic</v>
    <v>bc671e26-2d75-8823-293a-5af58859f724</v>
    <v>en-IN</v>
    <v>Map</v>
  </rv>
  <rv s="0">
    <v>536870912</v>
    <v>Bashkortostan</v>
    <v>fc6eab09-3383-820f-1442-4f6dde32cbf9</v>
    <v>en-IN</v>
    <v>Map</v>
  </rv>
  <rv s="0">
    <v>536870912</v>
    <v>Buryatia</v>
    <v>559aae54-84df-2df7-b208-d0e2975a541f</v>
    <v>en-IN</v>
    <v>Map</v>
  </rv>
  <rv s="0">
    <v>536870912</v>
    <v>Dagestan</v>
    <v>7be0631e-08a6-71a2-bd8f-1be3fab541d4</v>
    <v>en-IN</v>
    <v>Map</v>
  </rv>
  <rv s="0">
    <v>536870912</v>
    <v>Ingushetia</v>
    <v>d71ef53a-a58c-2149-fc5b-7f305c67d703</v>
    <v>en-IN</v>
    <v>Map</v>
  </rv>
  <rv s="0">
    <v>536870912</v>
    <v>Kabardino-Balkaria</v>
    <v>3c3eefab-1013-5556-2903-4a792d0de818</v>
    <v>en-IN</v>
    <v>Map</v>
  </rv>
  <rv s="0">
    <v>536870912</v>
    <v>Kalmykia</v>
    <v>aa5d46bb-1a45-ccab-629e-32a57e11433b</v>
    <v>en-IN</v>
    <v>Map</v>
  </rv>
  <rv s="0">
    <v>536870912</v>
    <v>Karachay-Cherkess Republic</v>
    <v>427be6f6-6a91-8144-0b4b-023b249fb86c</v>
    <v>en-IN</v>
    <v>Map</v>
  </rv>
  <rv s="0">
    <v>536870912</v>
    <v>Komi Republic</v>
    <v>7ef61531-763c-4148-8cc5-3804e7ea0b0f</v>
    <v>en-IN</v>
    <v>Map</v>
  </rv>
  <rv s="0">
    <v>536870912</v>
    <v>Stavropol Krai</v>
    <v>cea31d3e-370c-d7b9-8aa9-739d9a55a85a</v>
    <v>en-IN</v>
    <v>Map</v>
  </rv>
  <rv s="0">
    <v>536870912</v>
    <v>Mari El Republic</v>
    <v>b89c03bf-1661-bc0b-45ea-52497ba4afaf</v>
    <v>en-IN</v>
    <v>Map</v>
  </rv>
  <rv s="0">
    <v>536870912</v>
    <v>Mordovia</v>
    <v>f239c732-02c7-4a65-ceef-e3e0f395c4ad</v>
    <v>en-IN</v>
    <v>Map</v>
  </rv>
  <rv s="0">
    <v>536870912</v>
    <v>Sakha Republic</v>
    <v>ea625ee4-93bc-476d-b81d-2daeb4e75cc9</v>
    <v>en-IN</v>
    <v>Map</v>
  </rv>
  <rv s="0">
    <v>536870912</v>
    <v>North Ossetia–Alania</v>
    <v>d769211e-6a13-19e2-34f9-58681d88ee0e</v>
    <v>en-IN</v>
    <v>Map</v>
  </rv>
  <rv s="0">
    <v>536870912</v>
    <v>Republic of Tatarstan</v>
    <v>7e36bead-7c24-03eb-3164-2a047e5b7eb1</v>
    <v>en-IN</v>
    <v>Map</v>
  </rv>
  <rv s="0">
    <v>536870912</v>
    <v>Tuva Republic</v>
    <v>ab07bfe8-07ff-28f8-5b60-d4cd5e7f48f8</v>
    <v>en-IN</v>
    <v>Map</v>
  </rv>
  <rv s="0">
    <v>536870912</v>
    <v>Udmurt Republic</v>
    <v>9650b146-7f52-f62d-cc53-c0f71081c647</v>
    <v>en-IN</v>
    <v>Map</v>
  </rv>
  <rv s="0">
    <v>536870912</v>
    <v>Khakassia</v>
    <v>f1e1928b-1461-ec9b-f1f0-d161dfb0ded0</v>
    <v>en-IN</v>
    <v>Map</v>
  </rv>
  <rv s="0">
    <v>536870912</v>
    <v>Chechen Republic</v>
    <v>380a5b31-8fbf-1061-698e-34d4218fc514</v>
    <v>en-IN</v>
    <v>Map</v>
  </rv>
  <rv s="0">
    <v>536870912</v>
    <v>Chuvash Republic</v>
    <v>52dde999-303c-705c-0053-8cd4a44ea3bc</v>
    <v>en-IN</v>
    <v>Map</v>
  </rv>
  <rv s="0">
    <v>536870912</v>
    <v>Altai Krai</v>
    <v>5e9c8636-bfc7-6ace-eac3-4751db61d1cd</v>
    <v>en-IN</v>
    <v>Map</v>
  </rv>
  <rv s="0">
    <v>536870912</v>
    <v>Krasnodar Krai</v>
    <v>9a429c3b-d4ba-835f-1b73-b43e11683d61</v>
    <v>en-IN</v>
    <v>Map</v>
  </rv>
  <rv s="0">
    <v>536870912</v>
    <v>Krasnoyarsk Krai</v>
    <v>1266f13e-65bc-fc05-ccd0-3c7a17af0597</v>
    <v>en-IN</v>
    <v>Map</v>
  </rv>
  <rv s="0">
    <v>536870912</v>
    <v>Primorsky Krai</v>
    <v>c162694d-0600-3d2a-14ab-bd32888d7c8d</v>
    <v>en-IN</v>
    <v>Map</v>
  </rv>
  <rv s="0">
    <v>536870912</v>
    <v>Khabarovsk Krai</v>
    <v>02068939-5788-e619-fddd-7743d37b74b3</v>
    <v>en-IN</v>
    <v>Map</v>
  </rv>
  <rv s="0">
    <v>536870912</v>
    <v>Amur Oblast</v>
    <v>706fd605-8507-bdd1-46b4-ee14136bf6f2</v>
    <v>en-IN</v>
    <v>Map</v>
  </rv>
  <rv s="0">
    <v>536870912</v>
    <v>Astrakhan Oblast</v>
    <v>06c7a94b-2d3b-41f7-ad05-8d46bb820ade</v>
    <v>en-IN</v>
    <v>Map</v>
  </rv>
  <rv s="0">
    <v>536870912</v>
    <v>Arkhangelsk Oblast</v>
    <v>a26f0229-f4b7-1b73-1448-9522bf6b8a00</v>
    <v>en-IN</v>
    <v>Map</v>
  </rv>
  <rv s="0">
    <v>536870912</v>
    <v>Belgorod Oblast</v>
    <v>c8940f0f-9335-1cda-1a75-5dd0ab1960ff</v>
    <v>en-IN</v>
    <v>Map</v>
  </rv>
  <rv s="0">
    <v>536870912</v>
    <v>Bryansk Oblast</v>
    <v>0ea1957d-9d7f-b8a7-f59b-31b5d6b1bd4a</v>
    <v>en-IN</v>
    <v>Map</v>
  </rv>
  <rv s="0">
    <v>536870912</v>
    <v>Vladimir Oblast</v>
    <v>2d317c56-15fe-4a06-56e0-02319a666d05</v>
    <v>en-IN</v>
    <v>Map</v>
  </rv>
  <rv s="0">
    <v>536870912</v>
    <v>Volgograd Oblast</v>
    <v>8b9d97f0-f2de-ac3e-5891-976a9a8b1e60</v>
    <v>en-IN</v>
    <v>Map</v>
  </rv>
  <rv s="0">
    <v>536870912</v>
    <v>Vologda Oblast</v>
    <v>e52cd8ce-a2fe-316d-8b57-f4e3b77333a5</v>
    <v>en-IN</v>
    <v>Map</v>
  </rv>
  <rv s="0">
    <v>536870912</v>
    <v>Voronezh Oblast</v>
    <v>9b7449fa-9d99-9753-8580-fc09a3e938a1</v>
    <v>en-IN</v>
    <v>Map</v>
  </rv>
  <rv s="0">
    <v>536870912</v>
    <v>Ivanovo Oblast</v>
    <v>fdcd3a68-b12f-1397-beb5-b43095d4606b</v>
    <v>en-IN</v>
    <v>Map</v>
  </rv>
  <rv s="0">
    <v>536870912</v>
    <v>Irkutsk Oblast</v>
    <v>d1d27863-f692-cd79-ec4a-a224cb9b6b50</v>
    <v>en-IN</v>
    <v>Map</v>
  </rv>
  <rv s="0">
    <v>536870912</v>
    <v>Kaliningrad Oblast</v>
    <v>7898a7d2-2c53-4ac9-fd66-da04a64ed92e</v>
    <v>en-IN</v>
    <v>Map</v>
  </rv>
  <rv s="0">
    <v>536870912</v>
    <v>Kaluga Oblast</v>
    <v>97df7123-82c1-1ae8-dc29-631fa213b57f</v>
    <v>en-IN</v>
    <v>Map</v>
  </rv>
  <rv s="0">
    <v>536870912</v>
    <v>Kamchatka Krai</v>
    <v>aa601ace-14aa-0457-d7e0-cc6046c92351</v>
    <v>en-IN</v>
    <v>Map</v>
  </rv>
  <rv s="0">
    <v>536870912</v>
    <v>Kemerovo Oblast</v>
    <v>1e6a003a-be48-9fa5-55bd-e117a8409e45</v>
    <v>en-IN</v>
    <v>Map</v>
  </rv>
  <rv s="0">
    <v>536870912</v>
    <v>Kirov Oblast</v>
    <v>d59795b1-20b4-27f8-b756-5227d25439ae</v>
    <v>en-IN</v>
    <v>Map</v>
  </rv>
  <rv s="0">
    <v>536870912</v>
    <v>Kostroma Oblast</v>
    <v>48255075-9db6-a984-2d1d-fcf0441e427b</v>
    <v>en-IN</v>
    <v>Map</v>
  </rv>
  <rv s="0">
    <v>536870912</v>
    <v>Kurgan Oblast</v>
    <v>903834e8-fe8c-1307-487f-0fb6d8993461</v>
    <v>en-IN</v>
    <v>Map</v>
  </rv>
  <rv s="0">
    <v>536870912</v>
    <v>Kursk Oblast</v>
    <v>567e1124-acb2-49af-175b-c71b4a0ba198</v>
    <v>en-IN</v>
    <v>Map</v>
  </rv>
  <rv s="0">
    <v>536870912</v>
    <v>Leningrad Oblast</v>
    <v>5c4a620f-878c-b7a4-a401-7f5115731d25</v>
    <v>en-IN</v>
    <v>Map</v>
  </rv>
  <rv s="0">
    <v>536870912</v>
    <v>Lipetsk Oblast</v>
    <v>f35c04f7-4cb7-0802-ca04-755f7af52074</v>
    <v>en-IN</v>
    <v>Map</v>
  </rv>
  <rv s="0">
    <v>536870912</v>
    <v>Magadan Oblast</v>
    <v>41a617f0-e934-53ad-bb6c-2cac390b18ba</v>
    <v>en-IN</v>
    <v>Map</v>
  </rv>
  <rv s="0">
    <v>536870912</v>
    <v>Moscow Oblast</v>
    <v>dd63de90-3429-69f1-11c7-7129ec818a44</v>
    <v>en-IN</v>
    <v>Map</v>
  </rv>
  <rv s="0">
    <v>536870912</v>
    <v>Murmansk Oblast</v>
    <v>07a783e3-274d-ec11-cee4-83081096a87f</v>
    <v>en-IN</v>
    <v>Map</v>
  </rv>
  <rv s="0">
    <v>536870912</v>
    <v>Nizhny Novgorod Oblast</v>
    <v>691cbf3e-b13a-27a2-730d-d3a89a54588c</v>
    <v>en-IN</v>
    <v>Map</v>
  </rv>
  <rv s="0">
    <v>536870912</v>
    <v>Novgorod Oblast</v>
    <v>5c6f11f1-917e-4dd9-5f0f-bca854810e3e</v>
    <v>en-IN</v>
    <v>Map</v>
  </rv>
  <rv s="0">
    <v>536870912</v>
    <v>Novosibirsk Oblast</v>
    <v>e05e3666-c6d4-b98c-cf0b-3f8fbdcca509</v>
    <v>en-IN</v>
    <v>Map</v>
  </rv>
  <rv s="0">
    <v>536870912</v>
    <v>Omsk Oblast</v>
    <v>ca626861-e115-9a15-2bb4-9047d7b785cd</v>
    <v>en-IN</v>
    <v>Map</v>
  </rv>
  <rv s="0">
    <v>536870912</v>
    <v>Orenburg Oblast</v>
    <v>e416ef3d-74dd-73c7-82c5-e10e02791bfb</v>
    <v>en-IN</v>
    <v>Map</v>
  </rv>
  <rv s="0">
    <v>536870912</v>
    <v>Oryol Oblast</v>
    <v>30918ef9-6129-11eb-d922-92a0eda65b46</v>
    <v>en-IN</v>
    <v>Map</v>
  </rv>
  <rv s="0">
    <v>536870912</v>
    <v>Penza Oblast</v>
    <v>6037735b-86a2-89e3-37b1-b7b82ed427b8</v>
    <v>en-IN</v>
    <v>Map</v>
  </rv>
  <rv s="0">
    <v>536870912</v>
    <v>Perm Krai</v>
    <v>e3254562-12b4-8af6-5efc-c33e6b4cc2fd</v>
    <v>en-IN</v>
    <v>Map</v>
  </rv>
  <rv s="0">
    <v>536870912</v>
    <v>Pskov Oblast</v>
    <v>c4c338de-2857-ea26-c274-85903024dee2</v>
    <v>en-IN</v>
    <v>Map</v>
  </rv>
  <rv s="0">
    <v>536870912</v>
    <v>Rostov Oblast</v>
    <v>05c23ef3-37da-92dc-0d82-db4e339caaa8</v>
    <v>en-IN</v>
    <v>Map</v>
  </rv>
  <rv s="0">
    <v>536870912</v>
    <v>Ryazan Oblast</v>
    <v>6c69b62c-3503-7ba4-5d89-faeb0fc23ab3</v>
    <v>en-IN</v>
    <v>Map</v>
  </rv>
  <rv s="0">
    <v>536870912</v>
    <v>Samara Oblast</v>
    <v>13d9bea7-a7c1-1b2c-7fb1-e678ddcd7a71</v>
    <v>en-IN</v>
    <v>Map</v>
  </rv>
  <rv s="0">
    <v>536870912</v>
    <v>Saratov Oblast</v>
    <v>a391453d-4362-449f-bbe1-00b8176ec2f8</v>
    <v>en-IN</v>
    <v>Map</v>
  </rv>
  <rv s="0">
    <v>536870912</v>
    <v>Sakhalin Oblast</v>
    <v>a0ca8508-79a7-09d7-1e4f-84e80916d921</v>
    <v>en-IN</v>
    <v>Map</v>
  </rv>
  <rv s="0">
    <v>536870912</v>
    <v>Sverdlovsk Oblast</v>
    <v>32643100-03ea-0c14-f58e-a7d70c8c1468</v>
    <v>en-IN</v>
    <v>Map</v>
  </rv>
  <rv s="0">
    <v>536870912</v>
    <v>Smolensk Oblast</v>
    <v>d2bbaf83-1065-8b46-d8df-55a0e9dd6b3a</v>
    <v>en-IN</v>
    <v>Map</v>
  </rv>
  <rv s="0">
    <v>536870912</v>
    <v>Tambov Oblast</v>
    <v>c8c484f3-ed59-31b5-c134-bc324e7837a7</v>
    <v>en-IN</v>
    <v>Map</v>
  </rv>
  <rv s="0">
    <v>536870912</v>
    <v>Tver Oblast</v>
    <v>43dbfe25-b444-4ee4-6a06-4a0c84faf831</v>
    <v>en-IN</v>
    <v>Map</v>
  </rv>
  <rv s="0">
    <v>536870912</v>
    <v>Tomsk Oblast</v>
    <v>4833e982-a51c-b27a-99ba-c7aa39fdbfc5</v>
    <v>en-IN</v>
    <v>Map</v>
  </rv>
  <rv s="0">
    <v>536870912</v>
    <v>Tula Oblast</v>
    <v>06958213-9024-c72f-be1d-870a43124549</v>
    <v>en-IN</v>
    <v>Map</v>
  </rv>
  <rv s="0">
    <v>536870912</v>
    <v>Tyumen Oblast</v>
    <v>f7074e1e-5809-6c44-a836-391d78cc63b0</v>
    <v>en-IN</v>
    <v>Map</v>
  </rv>
  <rv s="0">
    <v>536870912</v>
    <v>Ulyanovsk Oblast</v>
    <v>285ad0e8-dfc5-6c4f-f919-783c565347c2</v>
    <v>en-IN</v>
    <v>Map</v>
  </rv>
  <rv s="0">
    <v>536870912</v>
    <v>Chelyabinsk Oblast</v>
    <v>e8506c94-c78a-be96-22a5-f42d90ce4d85</v>
    <v>en-IN</v>
    <v>Map</v>
  </rv>
  <rv s="0">
    <v>536870912</v>
    <v>Zabaykalsky Krai</v>
    <v>4eec5a15-6252-a5ba-a675-32f7c3941986</v>
    <v>en-IN</v>
    <v>Map</v>
  </rv>
  <rv s="0">
    <v>536870912</v>
    <v>Yaroslavl Oblast</v>
    <v>78a787d0-5bd7-369e-abec-20334f55f284</v>
    <v>en-IN</v>
    <v>Map</v>
  </rv>
  <rv s="0">
    <v>536870912</v>
    <v>Saint Petersburg</v>
    <v>e3ed1086-8cd2-4813-dfa1-22d6666852c7</v>
    <v>en-IN</v>
    <v>Map</v>
  </rv>
  <rv s="0">
    <v>536870912</v>
    <v>Sevastopol</v>
    <v>1d4e43aa-65a2-a88a-3324-a9ac6e098708</v>
    <v>en-IN</v>
    <v>Map</v>
  </rv>
  <rv s="0">
    <v>536870912</v>
    <v>Jewish Autonomous Oblast</v>
    <v>f238d267-34ac-88dc-5e18-ecd8a1d9f1bd</v>
    <v>en-IN</v>
    <v>Map</v>
  </rv>
  <rv s="0">
    <v>536870912</v>
    <v>Nenets Autonomous Okrug</v>
    <v>0bfd44fb-94fd-9862-0994-343325ef0e56</v>
    <v>en-IN</v>
    <v>Map</v>
  </rv>
  <rv s="0">
    <v>536870912</v>
    <v>Khanty-Mansi Autonomous Okrug</v>
    <v>c54c2f51-aac8-6ea4-fc82-3027ba8cc45b</v>
    <v>en-IN</v>
    <v>Map</v>
  </rv>
  <rv s="0">
    <v>536870912</v>
    <v>Chukotka Autonomous Okrug</v>
    <v>32d0b1a4-54c8-f9af-b97c-f05f93680504</v>
    <v>en-IN</v>
    <v>Map</v>
  </rv>
  <rv s="0">
    <v>536870912</v>
    <v>Yamalo-Nenets Autonomous Okrug</v>
    <v>9ad3fb88-2ff4-83f3-32a9-b85ad7f10c6c</v>
    <v>en-IN</v>
    <v>Map</v>
  </rv>
  <rv s="3">
    <v>253</v>
  </rv>
  <rv s="1">
    <fb>0.11384595754929799</fb>
    <v>24</v>
  </rv>
  <rv s="3">
    <v>254</v>
  </rv>
  <rv s="1">
    <fb>4.5850000381469698E-2</fb>
    <v>32</v>
  </rv>
  <rv s="1">
    <fb>107683889</fb>
    <v>25</v>
  </rv>
  <rv s="5">
    <v>#VALUE!</v>
    <v>en-IN</v>
    <v>ed4fce79-8ad4-352b-205b-e4db36c49bbe</v>
    <v>536870912</v>
    <v>1</v>
    <v>755</v>
    <v>18</v>
    <v>Russia</v>
    <v>20</v>
    <v>21</v>
    <v>Map</v>
    <v>22</v>
    <v>756</v>
    <v>RU</v>
    <v>4675</v>
    <v>4676</v>
    <v>4677</v>
    <v>4678</v>
    <v>859</v>
    <v>4679</v>
    <v>4680</v>
    <v>4681</v>
    <v>4682</v>
    <v>RUB</v>
    <v>Russia, or the Russian Federation, is a country spanning Eastern Europe and Northern Asia. It is the largest country in the world by area, extends across eleven time zones, and shares land boundaries with fourteen countries. It is the world's ...</v>
    <v>4683</v>
    <v>4684</v>
    <v>4685</v>
    <v>4686</v>
    <v>4687</v>
    <v>4688</v>
    <v>4689</v>
    <v>4690</v>
    <v>4691</v>
    <v>2222</v>
    <v>4679</v>
    <v>4694</v>
    <v>4695</v>
    <v>4696</v>
    <v>4697</v>
    <v>4698</v>
    <v>2353</v>
    <v>Russia</v>
    <v>National anthem of Russia</v>
    <v>4699</v>
    <v>Российская Федерация</v>
    <v>4700</v>
    <v>4701</v>
    <v>4702</v>
    <v>4703</v>
    <v>2427</v>
    <v>4704</v>
    <v>709</v>
    <v>4705</v>
    <v>2970</v>
    <v>4156</v>
    <v>4706</v>
    <v>4789</v>
    <v>4790</v>
    <v>4791</v>
    <v>36</v>
    <v>4792</v>
    <v>Russia</v>
    <v>4793</v>
    <v>mdp/vdpid/203</v>
  </rv>
  <rv s="1">
    <fb>2562</fb>
    <v>25</v>
  </rv>
  <rv s="2">
    <v>142</v>
    <v>22</v>
    <v>757</v>
    <v>7</v>
    <v>0</v>
    <v>Image of Moscow</v>
  </rv>
  <rv s="0">
    <v>805306368</v>
    <v>Sergey Sobyanin (Mayor)</v>
    <v>6b5f6242-dae9-73d7-5afb-baedbd37479a</v>
    <v>en-IN</v>
    <v>Generic</v>
  </rv>
  <rv s="3">
    <v>255</v>
  </rv>
  <rv s="4">
    <v>https://www.bing.com/search?q=moscow+russia&amp;form=skydnc</v>
    <v>Learn more on Bing</v>
  </rv>
  <rv s="1">
    <fb>13010112</fb>
    <v>25</v>
  </rv>
  <rv s="3">
    <v>256</v>
  </rv>
  <rv s="77">
    <v>#VALUE!</v>
    <v>en-IN</v>
    <v>6bb559e5-6af9-adf8-d8bc-7f999aba8a3a</v>
    <v>536870912</v>
    <v>1</v>
    <v>759</v>
    <v>760</v>
    <v>Moscow</v>
    <v>20</v>
    <v>21</v>
    <v>Map</v>
    <v>22</v>
    <v>362</v>
    <v>RU-MOW</v>
    <v>4795</v>
    <v>916</v>
    <v>Moscow is the capital and largest city of Russia. The city stands on the Moskva River in Central Russia, with a population estimated at 13.0 million residents within the city limits, over 18.8 million residents in the urban area, and over 21.5 ...</v>
    <v>4796</v>
    <v>4798</v>
    <v>4799</v>
    <v>Moscow</v>
    <v>4699</v>
    <v>4800</v>
    <v>4801</v>
    <v>Moscow</v>
    <v>mdp/vdpid/7053257137799036941</v>
  </rv>
  <rv s="2">
    <v>141</v>
    <v>22</v>
    <v>752</v>
    <v>3</v>
    <v>0</v>
    <v>Image of Russia</v>
  </rv>
  <rv s="8">
    <v>en-IN</v>
    <v>avyufr</v>
    <v>268435456</v>
    <v>1</v>
    <v>Powered by Refinitiv</v>
    <v>42</v>
    <v>USD/VND</v>
    <v>43</v>
    <v>761</v>
    <v>Finance</v>
    <v>45</v>
    <v>26449</v>
    <v>24990</v>
    <v>7</v>
    <v>2.6640000000000002E-4</v>
    <v>VND</v>
    <v>USD</v>
    <v>26340</v>
    <v>Currency Pair</v>
    <v>45957.214571759258</v>
    <v>26288</v>
    <v>US Dollar/Vietnam Dong FX Spot Rate</v>
    <v>26289</v>
    <v>26280</v>
    <v>26287</v>
    <v>USDVND</v>
    <v>USD/VND</v>
  </rv>
  <rv s="9">
    <v>4804</v>
  </rv>
  <rv s="0">
    <v>536870912</v>
    <v>Rwanda</v>
    <v>eb5f926e-ec19-3d93-b71c-da7503c96e60</v>
    <v>en-IN</v>
    <v>Map</v>
  </rv>
  <rv s="1">
    <fb>0.73437371348677705</fb>
    <v>24</v>
  </rv>
  <rv s="1">
    <fb>26338</fb>
    <v>25</v>
  </rv>
  <rv s="1">
    <fb>35000</fb>
    <v>25</v>
  </rv>
  <rv s="1">
    <fb>31.696000000000002</fb>
    <v>26</v>
  </rv>
  <rv s="1">
    <fb>250</fb>
    <v>27</v>
  </rv>
  <rv s="0">
    <v>536870912</v>
    <v>Kigali</v>
    <v>4312f5fb-d203-6f22-75c2-2e76025511fb</v>
    <v>en-IN</v>
    <v>Map</v>
  </rv>
  <rv s="1">
    <fb>1114.768</fb>
    <v>25</v>
  </rv>
  <rv s="1">
    <fb>151.08936856969899</fb>
    <v>28</v>
  </rv>
  <rv s="1">
    <fb>3.3533429931691103E-2</fb>
    <v>24</v>
  </rv>
  <rv s="1">
    <fb>4.0439999999999996</fb>
    <v>26</v>
  </rv>
  <rv s="1">
    <fb>0.197324680905135</fb>
    <v>24</v>
  </rv>
  <rv s="1">
    <fb>1.17</fb>
    <v>30</v>
  </rv>
  <rv s="1">
    <fb>10122472590.172001</fb>
    <v>31</v>
  </rv>
  <rv s="1">
    <fb>1.3304155</fb>
    <v>24</v>
  </rv>
  <rv s="1">
    <fb>6.7257200000000003E-2</fb>
    <v>24</v>
  </rv>
  <rv s="2">
    <v>143</v>
    <v>22</v>
    <v>763</v>
    <v>7</v>
    <v>0</v>
    <v>Image of Rwanda</v>
  </rv>
  <rv s="1">
    <fb>27</fb>
    <v>29</v>
  </rv>
  <rv s="0">
    <v>805306368</v>
    <v>Paul Kagame (President)</v>
    <v>c0781b90-3993-56d6-0563-317d96d61770</v>
    <v>en-IN</v>
    <v>Generic</v>
  </rv>
  <rv s="0">
    <v>805306368</v>
    <v>Édouard Ngirente (Prime minister)</v>
    <v>5b722680-1c86-b874-f26e-483514ed8e91</v>
    <v>en-IN</v>
    <v>Generic</v>
  </rv>
  <rv s="3">
    <v>257</v>
  </rv>
  <rv s="4">
    <v>https://www.bing.com/search?q=rwanda&amp;form=skydnc</v>
    <v>Learn more on Bing</v>
  </rv>
  <rv s="1">
    <fb>68.7</fb>
    <v>29</v>
  </rv>
  <rv s="1">
    <fb>3214220000</fb>
    <v>31</v>
  </rv>
  <rv s="1">
    <fb>248</fb>
    <v>29</v>
  </rv>
  <rv s="3">
    <v>258</v>
  </rv>
  <rv s="1">
    <fb>0.25965821559999996</fb>
    <v>24</v>
  </rv>
  <rv s="1">
    <fb>0.13400000000000001</fb>
    <v>26</v>
  </rv>
  <rv s="1">
    <fb>13776698</fb>
    <v>25</v>
  </rv>
  <rv s="1">
    <fb>0.19800000000000001</fb>
    <v>24</v>
  </rv>
  <rv s="1">
    <fb>0.35600000000000004</fb>
    <v>24</v>
  </rv>
  <rv s="1">
    <fb>0.50800000000000001</fb>
    <v>24</v>
  </rv>
  <rv s="1">
    <fb>0.83654998779296907</fb>
    <v>24</v>
  </rv>
  <rv s="0">
    <v>536870912</v>
    <v>Northern Province</v>
    <v>8eb85005-df1a-23e3-832a-250fa2fbc1a4</v>
    <v>en-IN</v>
    <v>Map</v>
  </rv>
  <rv s="0">
    <v>536870912</v>
    <v>Eastern Province</v>
    <v>9800f774-8039-2f6f-c5ad-5665e89cb49c</v>
    <v>en-IN</v>
    <v>Map</v>
  </rv>
  <rv s="0">
    <v>536870912</v>
    <v>Southern Province</v>
    <v>e0ae656e-e7ce-e8ff-5cb3-b59fd1407c17</v>
    <v>en-IN</v>
    <v>Map</v>
  </rv>
  <rv s="0">
    <v>536870912</v>
    <v>Western Province</v>
    <v>42eb4682-c969-8380-27e4-f906bc76abaf</v>
    <v>en-IN</v>
    <v>Map</v>
  </rv>
  <rv s="3">
    <v>259</v>
  </rv>
  <rv s="1">
    <fb>0.14263284937979501</fb>
    <v>24</v>
  </rv>
  <rv s="1">
    <fb>0.33200000000000002</fb>
    <v>24</v>
  </rv>
  <rv s="1">
    <fb>1.02999997138977E-2</fb>
    <v>32</v>
  </rv>
  <rv s="1">
    <fb>2186104</fb>
    <v>25</v>
  </rv>
  <rv s="78">
    <v>#VALUE!</v>
    <v>en-IN</v>
    <v>eb5f926e-ec19-3d93-b71c-da7503c96e60</v>
    <v>536870912</v>
    <v>1</v>
    <v>766</v>
    <v>767</v>
    <v>Rwanda</v>
    <v>20</v>
    <v>21</v>
    <v>Map</v>
    <v>22</v>
    <v>768</v>
    <v>RW</v>
    <v>4807</v>
    <v>4808</v>
    <v>4809</v>
    <v>4810</v>
    <v>4811</v>
    <v>4812</v>
    <v>4813</v>
    <v>4814</v>
    <v>4815</v>
    <v>RWF</v>
    <v>Rwanda, officially the Republic of Rwanda, is a landlocked country in the Great Rift Valley of Central Africa, where the African Great Lakes region and Southeast Africa converge. Located a few degrees south of the Equator, Rwanda is bordered by ...</v>
    <v>4816</v>
    <v>4817</v>
    <v>4818</v>
    <v>4819</v>
    <v>4820</v>
    <v>4821</v>
    <v>4822</v>
    <v>4823</v>
    <v>4812</v>
    <v>4826</v>
    <v>4827</v>
    <v>4828</v>
    <v>4829</v>
    <v>4830</v>
    <v>Rwanda</v>
    <v>Rwanda Nziza</v>
    <v>4831</v>
    <v>Ruanda</v>
    <v>4832</v>
    <v>4833</v>
    <v>4834</v>
    <v>4835</v>
    <v>4836</v>
    <v>4837</v>
    <v>966</v>
    <v>569</v>
    <v>890</v>
    <v>891</v>
    <v>4838</v>
    <v>4843</v>
    <v>4844</v>
    <v>4845</v>
    <v>4846</v>
    <v>Rwanda</v>
    <v>4847</v>
    <v>mdp/vdpid/204</v>
  </rv>
  <rv s="1">
    <fb>730</fb>
    <v>25</v>
  </rv>
  <rv s="0">
    <v>536870912</v>
    <v>German East Africa</v>
    <v>a8df6a57-f9ea-aaf5-f461-4be7f07af72e</v>
    <v>en-IN</v>
    <v>Map</v>
  </rv>
  <rv s="2">
    <v>144</v>
    <v>22</v>
    <v>769</v>
    <v>7</v>
    <v>0</v>
    <v>Image of Kigali</v>
  </rv>
  <rv s="0">
    <v>805306368</v>
    <v>Pudence Rubingisa (Mayor)</v>
    <v>f21d2c4b-49ce-9d10-a16f-cc8b1558a168</v>
    <v>en-IN</v>
    <v>Generic</v>
  </rv>
  <rv s="3">
    <v>260</v>
  </rv>
  <rv s="4">
    <v>https://www.bing.com/search?q=kigali&amp;form=skydnc</v>
    <v>Learn more on Bing</v>
  </rv>
  <rv s="1">
    <fb>1156663</fb>
    <v>25</v>
  </rv>
  <rv s="33">
    <v>#VALUE!</v>
    <v>en-IN</v>
    <v>4312f5fb-d203-6f22-75c2-2e76025511fb</v>
    <v>536870912</v>
    <v>1</v>
    <v>771</v>
    <v>222</v>
    <v>Kigali</v>
    <v>20</v>
    <v>21</v>
    <v>Map</v>
    <v>22</v>
    <v>109</v>
    <v>RW-01</v>
    <v>4849</v>
    <v>4850</v>
    <v>Kigali is the capital and largest city of Rwanda. It is near the nation's geographic centre in a region of rolling hills, with a series of valleys and ridges joined by steep slopes. As a primate city, Kigali has been Rwanda's economic, cultural, ...</v>
    <v>4851</v>
    <v>4853</v>
    <v>4854</v>
    <v>Kigali</v>
    <v>4855</v>
    <v>Kigali</v>
    <v>mdp/vdpid/8109184879993815041</v>
  </rv>
  <rv s="2">
    <v>143</v>
    <v>22</v>
    <v>763</v>
    <v>3</v>
    <v>0</v>
    <v>Image of Rwanda</v>
  </rv>
  <rv s="8">
    <v>en-IN</v>
    <v>aw12mw</v>
    <v>268435456</v>
    <v>1</v>
    <v>Powered by Refinitiv</v>
    <v>42</v>
    <v>VND/USD</v>
    <v>43</v>
    <v>62</v>
    <v>Finance</v>
    <v>45</v>
    <v>3.9959999999999997E-5</v>
    <v>3.7780000000000001E-5</v>
    <v>7.0000000000000005E-8</v>
    <v>1.8440000000000002E-3</v>
    <v>USD</v>
    <v>VND</v>
    <v>3.8040000000000002E-5</v>
    <v>Currency Pair</v>
    <v>45957.214571759258</v>
    <v>3.7960000000000002E-5</v>
    <v>Vietnam Dong/US Dollar FX Cross Rate</v>
    <v>3.8000000000000002E-5</v>
    <v>3.7969999999999997E-5</v>
    <v>3.8040000000000002E-5</v>
    <v>VNDUSD</v>
    <v>VND/USD</v>
  </rv>
  <rv s="9">
    <v>4858</v>
  </rv>
  <rv s="0">
    <v>536870912</v>
    <v>Saint Kitts and Nevis</v>
    <v>20c6d98e-8969-529c-b2bd-822369713ba3</v>
    <v>en-IN</v>
    <v>Map</v>
  </rv>
  <rv s="1">
    <fb>0.230769230769231</fb>
    <v>24</v>
  </rv>
  <rv s="1">
    <fb>269.35876300000001</fb>
    <v>25</v>
  </rv>
  <rv s="1">
    <fb>12.6</fb>
    <v>26</v>
  </rv>
  <rv s="1">
    <fb>1869</fb>
    <v>27</v>
  </rv>
  <rv s="0">
    <v>536870912</v>
    <v>Basseterre</v>
    <v>5499dd37-9ccd-c4ce-c1fb-2ebab86a585b</v>
    <v>en-IN</v>
    <v>Map</v>
  </rv>
  <rv s="1">
    <fb>238.35499999999999</fb>
    <v>25</v>
  </rv>
  <rv s="1">
    <fb>104.565438498638</fb>
    <v>28</v>
  </rv>
  <rv s="1">
    <fb>-1.03712214131567E-2</fb>
    <v>24</v>
  </rv>
  <rv s="1">
    <fb>2.1070000000000002</fb>
    <v>26</v>
  </rv>
  <rv s="1">
    <fb>0.42307692307692302</fb>
    <v>24</v>
  </rv>
  <rv s="1">
    <fb>1050992592.59259</fb>
    <v>31</v>
  </rv>
  <rv s="1">
    <fb>1.0873554000000001</fb>
    <v>24</v>
  </rv>
  <rv s="1">
    <fb>0.86681489999999994</fb>
    <v>24</v>
  </rv>
  <rv s="2">
    <v>145</v>
    <v>22</v>
    <v>773</v>
    <v>7</v>
    <v>0</v>
    <v>Image of Saint Kitts and Nevis</v>
  </rv>
  <rv s="0">
    <v>805306368</v>
    <v>Terrance Drew (Prime minister)</v>
    <v>b68ba5f2-f02a-47fc-bd03-47de03f534ca</v>
    <v>en-IN</v>
    <v>Generic</v>
  </rv>
  <rv s="3">
    <v>261</v>
  </rv>
  <rv s="4">
    <v>https://www.bing.com/search?q=saint+kitts+and+nevis&amp;form=skydnc</v>
    <v>Learn more on Bing</v>
  </rv>
  <rv s="1">
    <fb>71.336585365853693</fb>
    <v>29</v>
  </rv>
  <rv s="1">
    <fb>3.33</fb>
    <v>30</v>
  </rv>
  <rv s="1">
    <fb>0.56642470860000005</fb>
    <v>24</v>
  </rv>
  <rv s="1">
    <fb>2.5230000000000001</fb>
    <v>26</v>
  </rv>
  <rv s="1">
    <fb>47657</fb>
    <v>25</v>
  </rv>
  <rv s="0">
    <v>536870912</v>
    <v>Christ Church Nichola Town Parish</v>
    <v>93d14397-fbce-683d-e160-5daaf274379d</v>
    <v>en-IN</v>
    <v>Map</v>
  </rv>
  <rv s="0">
    <v>536870912</v>
    <v>Saint Anne Sandy Point Parish</v>
    <v>fea87b10-36b5-e190-049d-89c29a63f28b</v>
    <v>en-IN</v>
    <v>Map</v>
  </rv>
  <rv s="0">
    <v>536870912</v>
    <v>Saint George Basseterre Parish</v>
    <v>4eba7d2f-0b43-faa1-51d8-dd780af97a32</v>
    <v>en-IN</v>
    <v>Map</v>
  </rv>
  <rv s="0">
    <v>536870912</v>
    <v>Saint John Capisterre Parish</v>
    <v>59de45ee-e9d2-0164-e273-130ec61998a9</v>
    <v>en-IN</v>
    <v>Map</v>
  </rv>
  <rv s="0">
    <v>536870912</v>
    <v>Saint Mary Cayon Parish</v>
    <v>32a7e1ec-54b3-46f2-3a8c-7006016058aa</v>
    <v>en-IN</v>
    <v>Map</v>
  </rv>
  <rv s="0">
    <v>536870912</v>
    <v>Saint Paul Capisterre Parish</v>
    <v>b9efdf66-4b91-3739-c006-a2b4596bd5d6</v>
    <v>en-IN</v>
    <v>Map</v>
  </rv>
  <rv s="0">
    <v>536870912</v>
    <v>Saint Peter Basseterre Parish</v>
    <v>fd5133af-7333-1f3c-cb80-b9fdccdd95fa</v>
    <v>en-IN</v>
    <v>Map</v>
  </rv>
  <rv s="0">
    <v>536870912</v>
    <v>Saint Thomas Middle Island Parish</v>
    <v>7a436e93-606e-9e0a-0a96-52f7379a0fa4</v>
    <v>en-IN</v>
    <v>Map</v>
  </rv>
  <rv s="0">
    <v>536870912</v>
    <v>Trinity Palmetto Point Parish</v>
    <v>abe9ec0f-01d0-a858-9825-83200d6d43e8</v>
    <v>en-IN</v>
    <v>Map</v>
  </rv>
  <rv s="0">
    <v>536870912</v>
    <v>Saint George Gingerland Parish</v>
    <v>a93eb8c1-76ab-6edc-880e-5dd4cede4dac</v>
    <v>en-IN</v>
    <v>Map</v>
  </rv>
  <rv s="0">
    <v>536870912</v>
    <v>Saint James Windward Parish</v>
    <v>f28867cb-4a6f-bdf1-2e34-da31f3558486</v>
    <v>en-IN</v>
    <v>Map</v>
  </rv>
  <rv s="0">
    <v>536870912</v>
    <v>Saint John Figtree Parish</v>
    <v>f01ac8d3-ea86-139b-7833-cde0d3a1df88</v>
    <v>en-IN</v>
    <v>Map</v>
  </rv>
  <rv s="0">
    <v>536870912</v>
    <v>Saint Paul Charlestown Parish</v>
    <v>7bdfd3dd-f1ea-0343-5fb3-a56e903b88c9</v>
    <v>en-IN</v>
    <v>Map</v>
  </rv>
  <rv s="0">
    <v>536870912</v>
    <v>Saint Thomas Lowland Parish</v>
    <v>6b790f9c-1f8d-5120-64df-0ef4ba0de189</v>
    <v>en-IN</v>
    <v>Map</v>
  </rv>
  <rv s="3">
    <v>262</v>
  </rv>
  <rv s="1">
    <fb>0.18461224110708599</fb>
    <v>24</v>
  </rv>
  <rv s="1">
    <fb>16269</fb>
    <v>25</v>
  </rv>
  <rv s="70">
    <v>#VALUE!</v>
    <v>en-IN</v>
    <v>20c6d98e-8969-529c-b2bd-822369713ba3</v>
    <v>536870912</v>
    <v>1</v>
    <v>776</v>
    <v>659</v>
    <v>Saint Kitts and Nevis</v>
    <v>20</v>
    <v>21</v>
    <v>Map</v>
    <v>22</v>
    <v>777</v>
    <v>KN</v>
    <v>4861</v>
    <v>4862</v>
    <v>4863</v>
    <v>4864</v>
    <v>4865</v>
    <v>4866</v>
    <v>4867</v>
    <v>4868</v>
    <v>XCD</v>
    <v>Saint Kitts and Nevis, officially the Federation of Saint Christopher and Nevis, is an island country and microstate consisting of the two islands of Saint Kitts and Nevis, both located in the West Indies, in the Leeward Islands chain of the ...</v>
    <v>4869</v>
    <v>4870</v>
    <v>1004</v>
    <v>4871</v>
    <v>4872</v>
    <v>4873</v>
    <v>4874</v>
    <v>3879</v>
    <v>4865</v>
    <v>4876</v>
    <v>4877</v>
    <v>4878</v>
    <v>4879</v>
    <v>Saint Kitts and Nevis</v>
    <v>O Land of Beauty!</v>
    <v>1974</v>
    <v>Saint Kitts and Nevis</v>
    <v>4880</v>
    <v>4881</v>
    <v>4882</v>
    <v>4897</v>
    <v>4898</v>
    <v>79</v>
    <v>Saint Kitts and Nevis</v>
    <v>4899</v>
    <v>mdp/vdpid/207</v>
  </rv>
  <rv s="0">
    <v>536870912</v>
    <v>Saint Kitts</v>
    <v>41f34384-1f8d-9e29-1c41-ab45329f987c</v>
    <v>en-IN</v>
    <v>Map</v>
  </rv>
  <rv s="1">
    <fb>6.4749702758399996</fb>
    <v>25</v>
  </rv>
  <rv s="2">
    <v>146</v>
    <v>22</v>
    <v>779</v>
    <v>7</v>
    <v>0</v>
    <v>Image of Basseterre</v>
  </rv>
  <rv s="1">
    <fb>17.298333333333002</fb>
    <v>37</v>
  </rv>
  <rv s="4">
    <v>https://www.bing.com/search?q=basseterre&amp;form=skydnc</v>
    <v>Learn more on Bing</v>
  </rv>
  <rv s="1">
    <fb>-62.734166666667001</fb>
    <v>37</v>
  </rv>
  <rv s="1">
    <fb>13220</fb>
    <v>25</v>
  </rv>
  <rv s="79">
    <v>#VALUE!</v>
    <v>en-IN</v>
    <v>5499dd37-9ccd-c4ce-c1fb-2ebab86a585b</v>
    <v>536870912</v>
    <v>1</v>
    <v>780</v>
    <v>781</v>
    <v>Basseterre</v>
    <v>20</v>
    <v>21</v>
    <v>Map</v>
    <v>22</v>
    <v>782</v>
    <v>4901</v>
    <v>4885</v>
    <v>4902</v>
    <v>4860</v>
    <v>Basseterre is the capital and largest city of Saint Kitts and Nevis with an estimated population of 14,000 in 2018. Geographically, the Basseterre port is located at 17°18′N 62°44′W / 17.300°N 62.733°W, on the south western coast of Saint Kitts ...</v>
    <v>4903</v>
    <v>4904</v>
    <v>4905</v>
    <v>4906</v>
    <v>Basseterre</v>
    <v>4907</v>
    <v>3301</v>
    <v>Basseterre</v>
    <v>mdp/vdpid/5586661516796493825</v>
  </rv>
  <rv s="2">
    <v>145</v>
    <v>22</v>
    <v>773</v>
    <v>3</v>
    <v>0</v>
    <v>Image of Saint Kitts and Nevis</v>
  </rv>
  <rv s="8">
    <v>en-IN</v>
    <v>avyr9c</v>
    <v>268435456</v>
    <v>1</v>
    <v>Powered by Refinitiv</v>
    <v>42</v>
    <v>USD/OMR</v>
    <v>43</v>
    <v>783</v>
    <v>Finance</v>
    <v>45</v>
    <v>0.3851</v>
    <v>0.38400000000000001</v>
    <v>0</v>
    <v>0</v>
    <v>OMR</v>
    <v>USD</v>
    <v>0.38500000000000001</v>
    <v>Currency Pair</v>
    <v>45957.217731481483</v>
    <v>0.38500000000000001</v>
    <v>US Dollar/Omani Rial FX Spot Rate</v>
    <v>0.38500000000000001</v>
    <v>0.38500000000000001</v>
    <v>0.38500000000000001</v>
    <v>USDOMR</v>
    <v>USD/OMR</v>
  </rv>
  <rv s="9">
    <v>4910</v>
  </rv>
  <rv s="0">
    <v>536870912</v>
    <v>Saint Lucia</v>
    <v>0d097960-d7ea-79a1-d032-ef196289d313</v>
    <v>en-IN</v>
    <v>Map</v>
  </rv>
  <rv s="1">
    <fb>0.17377049805688</fb>
    <v>24</v>
  </rv>
  <rv s="1">
    <fb>617.01286700000003</fb>
    <v>25</v>
  </rv>
  <rv s="1">
    <fb>12</fb>
    <v>26</v>
  </rv>
  <rv s="1">
    <fb>1758</fb>
    <v>27</v>
  </rv>
  <rv s="0">
    <v>536870912</v>
    <v>Castries</v>
    <v>93f2737c-8f89-dc8d-e6ce-37572bc03e81</v>
    <v>en-IN</v>
    <v>Map</v>
  </rv>
  <rv s="1">
    <fb>414.37099999999998</fb>
    <v>25</v>
  </rv>
  <rv s="1">
    <fb>110.132070405894</fb>
    <v>28</v>
  </rv>
  <rv s="1">
    <fb>1.9384624437607301E-2</fb>
    <v>24</v>
  </rv>
  <rv s="1">
    <fb>1.4359999999999999</fb>
    <v>26</v>
  </rv>
  <rv s="1">
    <fb>0.33180327493636397</fb>
    <v>24</v>
  </rv>
  <rv s="1">
    <fb>1.3</fb>
    <v>30</v>
  </rv>
  <rv s="1">
    <fb>2122450629.6296301</fb>
    <v>31</v>
  </rv>
  <rv s="1">
    <fb>1.0259824</fb>
    <v>24</v>
  </rv>
  <rv s="1">
    <fb>0.14066529999999999</fb>
    <v>24</v>
  </rv>
  <rv s="2">
    <v>147</v>
    <v>22</v>
    <v>785</v>
    <v>7</v>
    <v>0</v>
    <v>Image of Saint Lucia</v>
  </rv>
  <rv s="1">
    <fb>14.9</fb>
    <v>29</v>
  </rv>
  <rv s="0">
    <v>805306368</v>
    <v>Philip J. Pierre (Prime minister)</v>
    <v>b1a51566-d85f-d372-b391-606d8ec33ce7</v>
    <v>en-IN</v>
    <v>Generic</v>
  </rv>
  <rv s="3">
    <v>263</v>
  </rv>
  <rv s="4">
    <v>https://www.bing.com/search?q=saint+lucia&amp;form=skydnc</v>
    <v>Learn more on Bing</v>
  </rv>
  <rv s="1">
    <fb>76.057000000000002</fb>
    <v>29</v>
  </rv>
  <rv s="1">
    <fb>117</fb>
    <v>29</v>
  </rv>
  <rv s="3">
    <v>264</v>
  </rv>
  <rv s="1">
    <fb>0.48384949329999999</fb>
    <v>24</v>
  </rv>
  <rv s="1">
    <fb>0.64090000000000003</fb>
    <v>26</v>
  </rv>
  <rv s="1">
    <fb>179857</fb>
    <v>25</v>
  </rv>
  <rv s="1">
    <fb>0.38600000000000001</fb>
    <v>24</v>
  </rv>
  <rv s="1">
    <fb>0.55399999999999994</fb>
    <v>24</v>
  </rv>
  <rv s="1">
    <fb>9.0000000000000011E-3</fb>
    <v>24</v>
  </rv>
  <rv s="1">
    <fb>0.67103996276855493</fb>
    <v>24</v>
  </rv>
  <rv s="0">
    <v>536870912</v>
    <v>Anse la Raye District</v>
    <v>49bcb07d-d781-2821-2c0f-c78ecbfb297d</v>
    <v>en-IN</v>
    <v>Map</v>
  </rv>
  <rv s="0">
    <v>536870912</v>
    <v>Castries District</v>
    <v>620ed383-4ffb-87af-a78d-cdadd809a819</v>
    <v>en-IN</v>
    <v>Map</v>
  </rv>
  <rv s="0">
    <v>536870912</v>
    <v>Choiseul District</v>
    <v>aef719be-98a2-f966-6101-62b4f4a55d97</v>
    <v>en-IN</v>
    <v>Map</v>
  </rv>
  <rv s="0">
    <v>536870912</v>
    <v>Dennery District</v>
    <v>68931320-d357-bc4b-988f-0cfb5ab4c291</v>
    <v>en-IN</v>
    <v>Map</v>
  </rv>
  <rv s="0">
    <v>536870912</v>
    <v>Gros Islet District</v>
    <v>600643a1-b55a-bca0-45af-d42ce637fd8d</v>
    <v>en-IN</v>
    <v>Map</v>
  </rv>
  <rv s="0">
    <v>536870912</v>
    <v>Laborie District</v>
    <v>3b108f8f-0c97-2a9d-2078-8ffdbe6b0a7c</v>
    <v>en-IN</v>
    <v>Map</v>
  </rv>
  <rv s="0">
    <v>536870912</v>
    <v>Micoud District</v>
    <v>090c99ca-9dc1-a341-1ec2-2a3375d42811</v>
    <v>en-IN</v>
    <v>Map</v>
  </rv>
  <rv s="0">
    <v>536870912</v>
    <v>Soufrière District</v>
    <v>2aaecfe4-5269-4720-974e-eacd300d681b</v>
    <v>en-IN</v>
    <v>Map</v>
  </rv>
  <rv s="0">
    <v>536870912</v>
    <v>Vieux Fort District</v>
    <v>046e43c2-e11b-f1f9-39a6-2b18eab75228</v>
    <v>en-IN</v>
    <v>Map</v>
  </rv>
  <rv s="3">
    <v>265</v>
  </rv>
  <rv s="1">
    <fb>0.18219767764380101</fb>
    <v>24</v>
  </rv>
  <rv s="1">
    <fb>0.34700000000000003</fb>
    <v>24</v>
  </rv>
  <rv s="1">
    <fb>0.207059993743896</fb>
    <v>32</v>
  </rv>
  <rv s="1">
    <fb>34280</fb>
    <v>25</v>
  </rv>
  <rv s="80">
    <v>#VALUE!</v>
    <v>en-IN</v>
    <v>0d097960-d7ea-79a1-d032-ef196289d313</v>
    <v>536870912</v>
    <v>1</v>
    <v>788</v>
    <v>789</v>
    <v>Saint Lucia</v>
    <v>20</v>
    <v>21</v>
    <v>Map</v>
    <v>22</v>
    <v>790</v>
    <v>LC</v>
    <v>4913</v>
    <v>4914</v>
    <v>4915</v>
    <v>4916</v>
    <v>4917</v>
    <v>4918</v>
    <v>4919</v>
    <v>4920</v>
    <v>XCD</v>
    <v>Saint Lucia is a constitutional monarchy and an island country of the West Indies in the eastern Caribbean. The island was previously called Iouanalao and later Hewanorra, names given by the native Arawaks and Caribs, two Amerindian peoples. ...</v>
    <v>4921</v>
    <v>4922</v>
    <v>1004</v>
    <v>4923</v>
    <v>4924</v>
    <v>4925</v>
    <v>4926</v>
    <v>4927</v>
    <v>4928</v>
    <v>4917</v>
    <v>4930</v>
    <v>4931</v>
    <v>4932</v>
    <v>4933</v>
    <v>Saint Lucia</v>
    <v>Sons and Daughters of Saint Lucia</v>
    <v>4934</v>
    <v>Saint Lucia</v>
    <v>4935</v>
    <v>4936</v>
    <v>4937</v>
    <v>646</v>
    <v>4938</v>
    <v>4939</v>
    <v>4940</v>
    <v>412</v>
    <v>413</v>
    <v>1120</v>
    <v>4941</v>
    <v>4951</v>
    <v>4952</v>
    <v>4953</v>
    <v>4954</v>
    <v>Saint Lucia</v>
    <v>4955</v>
    <v>mdp/vdpid/218</v>
  </rv>
  <rv s="1">
    <fb>79</fb>
    <v>25</v>
  </rv>
  <rv s="2">
    <v>148</v>
    <v>22</v>
    <v>791</v>
    <v>7</v>
    <v>0</v>
    <v>Image of Castries</v>
  </rv>
  <rv s="1">
    <fb>14.016666666667</fb>
    <v>37</v>
  </rv>
  <rv s="0">
    <v>805306368</v>
    <v>Geraldine Lendor-Gabriel (Mayor)</v>
    <v>1a7db7eb-afbf-a8e6-653b-55b9997eefc0</v>
    <v>en-IN</v>
    <v>Generic</v>
  </rv>
  <rv s="3">
    <v>266</v>
  </rv>
  <rv s="4">
    <v>https://www.bing.com/search?q=castries&amp;form=skydnc</v>
    <v>Learn more on Bing</v>
  </rv>
  <rv s="1">
    <fb>-60.983333333333</fb>
    <v>37</v>
  </rv>
  <rv s="1">
    <fb>70000</fb>
    <v>25</v>
  </rv>
  <rv s="14">
    <v>#VALUE!</v>
    <v>en-IN</v>
    <v>93f2737c-8f89-dc8d-e6ce-37572bc03e81</v>
    <v>536870912</v>
    <v>1</v>
    <v>792</v>
    <v>82</v>
    <v>Castries</v>
    <v>20</v>
    <v>21</v>
    <v>Map</v>
    <v>22</v>
    <v>198</v>
    <v>4943</v>
    <v>4957</v>
    <v>4912</v>
    <v>Castries is the capital and largest city of Saint Lucia, an island country in the Caribbean. The urban area has a population of approximately 20,000, while the eponymous district has a population of 70,000, as at May 2013. The city stretches ...</v>
    <v>4958</v>
    <v>4959</v>
    <v>4961</v>
    <v>4962</v>
    <v>4963</v>
    <v>Castries</v>
    <v>4964</v>
    <v>Castries</v>
    <v>mdp/vdpid/5592382516582416385</v>
  </rv>
  <rv s="2">
    <v>147</v>
    <v>22</v>
    <v>785</v>
    <v>3</v>
    <v>0</v>
    <v>Image of Saint Lucia</v>
  </rv>
  <rv s="8">
    <v>en-IN</v>
    <v>avnx2w</v>
    <v>268435456</v>
    <v>1</v>
    <v>Powered by Refinitiv</v>
    <v>42</v>
    <v>OMR/USD</v>
    <v>43</v>
    <v>62</v>
    <v>Finance</v>
    <v>45</v>
    <v>2.6006</v>
    <v>2.5939000000000001</v>
    <v>0</v>
    <v>0</v>
    <v>USD</v>
    <v>OMR</v>
    <v>2.5975000000000001</v>
    <v>Currency Pair</v>
    <v>45957.217731481483</v>
    <v>2.5975000000000001</v>
    <v>Omani Rial/US Dollar FX Cross Rate</v>
    <v>2.5971000000000002</v>
    <v>2.5971000000000002</v>
    <v>2.5971000000000002</v>
    <v>OMRUSD</v>
    <v>OMR/USD</v>
  </rv>
  <rv s="9">
    <v>4967</v>
  </rv>
  <rv s="0">
    <v>536870912</v>
    <v>Saint Vincent and the Grenadines</v>
    <v>bb1a39ef-80f1-254c-7978-7fceaa2c82a4</v>
    <v>en-IN</v>
    <v>Map</v>
  </rv>
  <rv s="1">
    <fb>0.256410256410256</fb>
    <v>24</v>
  </rv>
  <rv s="1">
    <fb>389</fb>
    <v>25</v>
  </rv>
  <rv s="1">
    <fb>14.24</fb>
    <v>26</v>
  </rv>
  <rv s="1">
    <fb>1784</fb>
    <v>27</v>
  </rv>
  <rv s="0">
    <v>536870912</v>
    <v>Kingstown</v>
    <v>2e97a2fb-2576-d1d0-65cf-3744d16db95e</v>
    <v>en-IN</v>
    <v>Map</v>
  </rv>
  <rv s="1">
    <fb>220.02</fb>
    <v>25</v>
  </rv>
  <rv s="1">
    <fb>109.66567361800701</fb>
    <v>28</v>
  </rv>
  <rv s="1">
    <fb>2.3241448536792299E-2</fb>
    <v>24</v>
  </rv>
  <rv s="1">
    <fb>1.891</fb>
    <v>26</v>
  </rv>
  <rv s="1">
    <fb>0.69230769230769196</fb>
    <v>24</v>
  </rv>
  <rv s="1">
    <fb>825385185.18518496</fb>
    <v>31</v>
  </rv>
  <rv s="1">
    <fb>1.1340437000000001</fb>
    <v>24</v>
  </rv>
  <rv s="1">
    <fb>0.2366992</fb>
    <v>24</v>
  </rv>
  <rv s="2">
    <v>149</v>
    <v>22</v>
    <v>794</v>
    <v>7</v>
    <v>0</v>
    <v>Image of Saint Vincent and the Grenadines</v>
  </rv>
  <rv s="1">
    <fb>14.8</fb>
    <v>29</v>
  </rv>
  <rv s="0">
    <v>805306368</v>
    <v>Ralph Gonsalves (Prime minister)</v>
    <v>61e831b4-4a79-5e33-78c1-cd0cfdc6de05</v>
    <v>en-IN</v>
    <v>Generic</v>
  </rv>
  <rv s="3">
    <v>267</v>
  </rv>
  <rv s="4">
    <v>https://www.bing.com/search?q=saint+vincent+and+the+grenadines&amp;form=skydnc</v>
    <v>Learn more on Bing</v>
  </rv>
  <rv s="1">
    <fb>72.415000000000006</fb>
    <v>29</v>
  </rv>
  <rv s="1">
    <fb>68</fb>
    <v>29</v>
  </rv>
  <rv s="1">
    <fb>0.21445461069999999</fb>
    <v>24</v>
  </rv>
  <rv s="1">
    <fb>0.65869999999999995</fb>
    <v>26</v>
  </rv>
  <rv s="1">
    <fb>103948</fb>
    <v>25</v>
  </rv>
  <rv s="1">
    <fb>0.65867996215820301</fb>
    <v>24</v>
  </rv>
  <rv s="0">
    <v>536870912</v>
    <v>Charlotte Parish</v>
    <v>1d95d992-7305-266e-61e5-7d1ed2025f3a</v>
    <v>en-IN</v>
    <v>Map</v>
  </rv>
  <rv s="0">
    <v>536870912</v>
    <v>Grenadines Parish</v>
    <v>6a809794-2550-0e6f-4382-68d3cfa1b6bb</v>
    <v>en-IN</v>
    <v>Map</v>
  </rv>
  <rv s="0">
    <v>536870912</v>
    <v>Saint Andrew Parish</v>
    <v>2e08bb39-bf84-420a-1ef9-3683bd1c1f98</v>
    <v>en-IN</v>
    <v>Map</v>
  </rv>
  <rv s="0">
    <v>536870912</v>
    <v>Saint David Parish</v>
    <v>f9c9adeb-11f4-15af-9775-142177adcbc7</v>
    <v>en-IN</v>
    <v>Map</v>
  </rv>
  <rv s="0">
    <v>536870912</v>
    <v>Saint George Parish</v>
    <v>c6bdaa43-6734-2526-7bf7-95c7d7054c3f</v>
    <v>en-IN</v>
    <v>Map</v>
  </rv>
  <rv s="0">
    <v>536870912</v>
    <v>Saint Patrick Parish</v>
    <v>4d2fc162-19c5-7adf-fa07-b4ae2879001e</v>
    <v>en-IN</v>
    <v>Map</v>
  </rv>
  <rv s="3">
    <v>268</v>
  </rv>
  <rv s="1">
    <fb>0.25357663824057503</fb>
    <v>24</v>
  </rv>
  <rv s="1">
    <fb>0.37</fb>
    <v>24</v>
  </rv>
  <rv s="1">
    <fb>0.18881000518798799</fb>
    <v>32</v>
  </rv>
  <rv s="1">
    <fb>58185</fb>
    <v>25</v>
  </rv>
  <rv s="81">
    <v>#VALUE!</v>
    <v>en-IN</v>
    <v>bb1a39ef-80f1-254c-7978-7fceaa2c82a4</v>
    <v>536870912</v>
    <v>1</v>
    <v>797</v>
    <v>798</v>
    <v>Saint Vincent and the Grenadines</v>
    <v>20</v>
    <v>21</v>
    <v>Map</v>
    <v>22</v>
    <v>799</v>
    <v>VC</v>
    <v>4970</v>
    <v>4971</v>
    <v>4972</v>
    <v>4973</v>
    <v>4974</v>
    <v>4975</v>
    <v>4976</v>
    <v>4977</v>
    <v>XCD</v>
    <v>Saint Vincent and the Grenadines is an island country in the Caribbean. It is located in the southeast Windward Islands of the Lesser Antilles, which lie in the West Indies, at the southern end of the eastern border of the Caribbean Sea, where ...</v>
    <v>4978</v>
    <v>4979</v>
    <v>1004</v>
    <v>4980</v>
    <v>4981</v>
    <v>4982</v>
    <v>4983</v>
    <v>4984</v>
    <v>4974</v>
    <v>4986</v>
    <v>4987</v>
    <v>4988</v>
    <v>4989</v>
    <v>1291</v>
    <v>Saint Vincent and the Grenadines</v>
    <v>Saint Vincent Land so Beautiful</v>
    <v>1974</v>
    <v>Saint Vincent and the Grenadines</v>
    <v>4990</v>
    <v>4991</v>
    <v>4992</v>
    <v>4993</v>
    <v>5000</v>
    <v>5001</v>
    <v>5002</v>
    <v>5003</v>
    <v>Saint Vincent and the Grenadines</v>
    <v>5004</v>
    <v>mdp/vdpid/248</v>
  </rv>
  <rv s="2">
    <v>150</v>
    <v>22</v>
    <v>800</v>
    <v>7</v>
    <v>0</v>
    <v>Image of Kingstown</v>
  </rv>
  <rv s="1">
    <fb>13.166666666667</fb>
    <v>37</v>
  </rv>
  <rv s="4">
    <v>https://www.bing.com/search?q=kingstown&amp;form=skydnc</v>
    <v>Learn more on Bing</v>
  </rv>
  <rv s="1">
    <fb>-61.233333333333</fb>
    <v>37</v>
  </rv>
  <rv s="1">
    <fb>12909</fb>
    <v>25</v>
  </rv>
  <rv s="55">
    <v>#VALUE!</v>
    <v>en-IN</v>
    <v>2e97a2fb-2576-d1d0-65cf-3744d16db95e</v>
    <v>536870912</v>
    <v>1</v>
    <v>801</v>
    <v>438</v>
    <v>Kingstown</v>
    <v>20</v>
    <v>21</v>
    <v>Map</v>
    <v>22</v>
    <v>802</v>
    <v>4998</v>
    <v>4969</v>
    <v>Kingstown is the capital city of Saint Vincent and the Grenadines. The city has the main port and the biggest commercial center of the islands. In the 2005 census, it had a population of 25,148 inhabitants, being the city founded in 1722 by the ...</v>
    <v>5006</v>
    <v>5007</v>
    <v>5008</v>
    <v>5009</v>
    <v>Kingstown</v>
    <v>5010</v>
    <v>Kingstown</v>
    <v>mdp/vdpid/5592431275316084737</v>
  </rv>
  <rv s="2">
    <v>149</v>
    <v>22</v>
    <v>794</v>
    <v>3</v>
    <v>0</v>
    <v>Image of Saint Vincent and the Grenadines</v>
  </rv>
  <rv s="8">
    <v>en-IN</v>
    <v>avyp27</v>
    <v>268435456</v>
    <v>1</v>
    <v>Powered by Refinitiv</v>
    <v>42</v>
    <v>USD/KWD</v>
    <v>43</v>
    <v>803</v>
    <v>Finance</v>
    <v>45</v>
    <v>0.30919999999999997</v>
    <v>0.3044</v>
    <v>1E-4</v>
    <v>3.2620000000000001E-4</v>
    <v>KWD</v>
    <v>USD</v>
    <v>0.30659999999999998</v>
    <v>Currency Pair</v>
    <v>45957.217847222222</v>
    <v>0.30649999999999999</v>
    <v>US Dollar/Kuwaiti Dinar FX Spot Rate</v>
    <v>0.30649999999999999</v>
    <v>0.30649999999999999</v>
    <v>0.30659999999999998</v>
    <v>USDKWD</v>
    <v>USD/KWD</v>
  </rv>
  <rv s="9">
    <v>5013</v>
  </rv>
  <rv s="0">
    <v>536870912</v>
    <v>Samoa</v>
    <v>0da2bb1b-9823-c254-9ad3-a506224035c8</v>
    <v>en-IN</v>
    <v>Map</v>
  </rv>
  <rv s="1">
    <fb>0.123674911660777</fb>
    <v>24</v>
  </rv>
  <rv s="1">
    <fb>2842</fb>
    <v>25</v>
  </rv>
  <rv s="1">
    <fb>24.378</fb>
    <v>26</v>
  </rv>
  <rv s="1">
    <fb>685</fb>
    <v>27</v>
  </rv>
  <rv s="0">
    <v>536870912</v>
    <v>Apia</v>
    <v>afa512c2-f775-77f8-0d31-81026fc743bb</v>
    <v>en-IN</v>
    <v>Map</v>
  </rv>
  <rv s="1">
    <fb>245.68899999999999</fb>
    <v>25</v>
  </rv>
  <rv s="1">
    <fb>117.55552211969299</fb>
    <v>28</v>
  </rv>
  <rv s="1">
    <fb>9.8232656988814209E-3</fb>
    <v>24</v>
  </rv>
  <rv s="1">
    <fb>3.8769999999999998</fb>
    <v>26</v>
  </rv>
  <rv s="1">
    <fb>0.604240282685512</fb>
    <v>24</v>
  </rv>
  <rv s="1">
    <fb>850655017.22048795</fb>
    <v>31</v>
  </rv>
  <rv s="1">
    <fb>1.1052420999999999</fb>
    <v>24</v>
  </rv>
  <rv s="1">
    <fb>7.5638300000000006E-2</fb>
    <v>24</v>
  </rv>
  <rv s="2">
    <v>151</v>
    <v>22</v>
    <v>805</v>
    <v>7</v>
    <v>0</v>
    <v>Image of Samoa</v>
  </rv>
  <rv s="0">
    <v>805306368</v>
    <v>Fiamē Naomi Mataʻafa (Prime minister)</v>
    <v>c28d42ae-49ee-6f3d-3e5d-88e8bed267f6</v>
    <v>en-IN</v>
    <v>Generic</v>
  </rv>
  <rv s="3">
    <v>269</v>
  </rv>
  <rv s="4">
    <v>https://www.bing.com/search?q=samoa&amp;form=skydnc</v>
    <v>Learn more on Bing</v>
  </rv>
  <rv s="1">
    <fb>73.186999999999998</fb>
    <v>29</v>
  </rv>
  <rv s="1">
    <fb>43</fb>
    <v>29</v>
  </rv>
  <rv s="1">
    <fb>0.78</fb>
    <v>30</v>
  </rv>
  <rv s="3">
    <v>270</v>
  </rv>
  <rv s="1">
    <fb>0.1150121613</fb>
    <v>24</v>
  </rv>
  <rv s="1">
    <fb>0.34089999999999998</fb>
    <v>26</v>
  </rv>
  <rv s="1">
    <fb>222382</fb>
    <v>25</v>
  </rv>
  <rv s="1">
    <fb>0.20800000000000002</fb>
    <v>24</v>
  </rv>
  <rv s="1">
    <fb>0.46399999999999997</fb>
    <v>24</v>
  </rv>
  <rv s="1">
    <fb>6.8000000000000005E-2</fb>
    <v>24</v>
  </rv>
  <rv s="1">
    <fb>0.43685001373290999</fb>
    <v>24</v>
  </rv>
  <rv s="0">
    <v>536870912</v>
    <v>A'ana</v>
    <v>3e1140ec-bf1c-5091-d26d-e34381c72431</v>
    <v>en-IN</v>
    <v>Map</v>
  </rv>
  <rv s="0">
    <v>536870912</v>
    <v>Aiga-i-le-Tai</v>
    <v>80320dcd-b0cb-44fb-1f3b-798f8cf144e7</v>
    <v>en-IN</v>
    <v>Map</v>
  </rv>
  <rv s="0">
    <v>536870912</v>
    <v>Atua</v>
    <v>9977db0c-9a1a-fb15-627b-d1b3bfe37f13</v>
    <v>en-IN</v>
    <v>Map</v>
  </rv>
  <rv s="0">
    <v>536870912</v>
    <v>Va'a-o-Fonoti</v>
    <v>1b07655e-85f8-b534-87be-c12d9c23531e</v>
    <v>en-IN</v>
    <v>Map</v>
  </rv>
  <rv s="0">
    <v>536870912</v>
    <v>Fa'asaleleaga</v>
    <v>901af2b2-f534-df0f-2b91-29896d98918a</v>
    <v>en-IN</v>
    <v>Map</v>
  </rv>
  <rv s="0">
    <v>536870912</v>
    <v>Gaga'emauga</v>
    <v>950ebc6c-15a7-7ab7-37b6-e82bb5fb17ba</v>
    <v>en-IN</v>
    <v>Map</v>
  </rv>
  <rv s="0">
    <v>536870912</v>
    <v>Gaga'ifomauga</v>
    <v>cb26d958-beee-4c26-42f0-d6a0985dbe76</v>
    <v>en-IN</v>
    <v>Map</v>
  </rv>
  <rv s="0">
    <v>536870912</v>
    <v>Vaisigano</v>
    <v>e04db308-2e19-d4ed-7060-5207e5614abb</v>
    <v>en-IN</v>
    <v>Map</v>
  </rv>
  <rv s="0">
    <v>536870912</v>
    <v>Satupa'itea</v>
    <v>ad72f3e1-15a5-82a1-dfb3-3c80a5a8d456</v>
    <v>en-IN</v>
    <v>Map</v>
  </rv>
  <rv s="0">
    <v>536870912</v>
    <v>Palauli</v>
    <v>45171573-1326-b264-d243-eb8b999689f0</v>
    <v>en-IN</v>
    <v>Map</v>
  </rv>
  <rv s="3">
    <v>271</v>
  </rv>
  <rv s="1">
    <fb>0.25460185544525499</fb>
    <v>24</v>
  </rv>
  <rv s="1">
    <fb>0.193</fb>
    <v>24</v>
  </rv>
  <rv s="1">
    <fb>8.3590002059936511E-2</fb>
    <v>32</v>
  </rv>
  <rv s="1">
    <fb>35588</fb>
    <v>25</v>
  </rv>
  <rv s="82">
    <v>#VALUE!</v>
    <v>en-IN</v>
    <v>0da2bb1b-9823-c254-9ad3-a506224035c8</v>
    <v>536870912</v>
    <v>1</v>
    <v>808</v>
    <v>809</v>
    <v>Samoa</v>
    <v>20</v>
    <v>21</v>
    <v>Map</v>
    <v>22</v>
    <v>810</v>
    <v>WS</v>
    <v>5016</v>
    <v>5017</v>
    <v>5018</v>
    <v>5019</v>
    <v>5020</v>
    <v>5021</v>
    <v>5022</v>
    <v>5023</v>
    <v>WST</v>
    <v>Samoa, officially the Independent State of Samoa and until 1997 known as Western Samoa, is a Polynesian island country consisting of two main islands ; two smaller, inhabited islands ; and several smaller, uninhabited islands, including the ...</v>
    <v>5024</v>
    <v>5025</v>
    <v>1004</v>
    <v>3209</v>
    <v>5026</v>
    <v>5027</v>
    <v>5028</v>
    <v>5029</v>
    <v>2412</v>
    <v>5020</v>
    <v>5031</v>
    <v>5032</v>
    <v>5033</v>
    <v>5034</v>
    <v>5035</v>
    <v>Samoa</v>
    <v>The Banner of Freedom</v>
    <v>5036</v>
    <v>Западное Самоа</v>
    <v>5037</v>
    <v>5038</v>
    <v>5039</v>
    <v>5040</v>
    <v>236</v>
    <v>5041</v>
    <v>2891</v>
    <v>5042</v>
    <v>39</v>
    <v>145</v>
    <v>5043</v>
    <v>5054</v>
    <v>5055</v>
    <v>5056</v>
    <v>5057</v>
    <v>Samoa</v>
    <v>5058</v>
    <v>mdp/vdpid/259</v>
  </rv>
  <rv s="0">
    <v>536870912</v>
    <v>Tuamasaga</v>
    <v>ca4e9e1f-bf8d-d0a4-d2e0-651f81792de1</v>
    <v>en-IN</v>
    <v>Map</v>
  </rv>
  <rv s="1">
    <fb>123.81</fb>
    <v>25</v>
  </rv>
  <rv s="2">
    <v>152</v>
    <v>22</v>
    <v>811</v>
    <v>7</v>
    <v>0</v>
    <v>Image of Apia</v>
  </rv>
  <rv s="1">
    <fb>-13.833333333333</fb>
    <v>37</v>
  </rv>
  <rv s="4">
    <v>https://www.bing.com/search?q=apia&amp;form=skydnc</v>
    <v>Learn more on Bing</v>
  </rv>
  <rv s="1">
    <fb>-171.83333333332999</fb>
    <v>37</v>
  </rv>
  <rv s="1">
    <fb>37708</fb>
    <v>25</v>
  </rv>
  <rv s="29">
    <v>#VALUE!</v>
    <v>en-IN</v>
    <v>afa512c2-f775-77f8-0d31-81026fc743bb</v>
    <v>536870912</v>
    <v>1</v>
    <v>812</v>
    <v>188</v>
    <v>Apia</v>
    <v>20</v>
    <v>21</v>
    <v>Map</v>
    <v>22</v>
    <v>813</v>
    <v>5060</v>
    <v>5061</v>
    <v>5015</v>
    <v>Apia is the capital, largest, and only city of Samoa. It is located on the central north coast of Upolu, Samoa's second-largest island. Apia falls within the political district of Tuamasaga. The Apia Urban Area has a population of 35,974. Its ...</v>
    <v>5062</v>
    <v>5063</v>
    <v>5064</v>
    <v>5065</v>
    <v>Apia</v>
    <v>5066</v>
    <v>Apia</v>
    <v>mdp/vdpid/5785428418849931265</v>
  </rv>
  <rv s="2">
    <v>151</v>
    <v>22</v>
    <v>805</v>
    <v>3</v>
    <v>0</v>
    <v>Image of Samoa</v>
  </rv>
  <rv s="8">
    <v>en-IN</v>
    <v>avfqjc</v>
    <v>268435456</v>
    <v>1</v>
    <v>Powered by Refinitiv</v>
    <v>42</v>
    <v>KWD/USD</v>
    <v>43</v>
    <v>62</v>
    <v>Finance</v>
    <v>45</v>
    <v>3.2825000000000002</v>
    <v>3.2311000000000001</v>
    <v>-1.1000000000000001E-3</v>
    <v>-3.3730000000000001E-4</v>
    <v>USD</v>
    <v>KWD</v>
    <v>3.2622</v>
    <v>Currency Pair</v>
    <v>45957.217638888891</v>
    <v>3.2612000000000001</v>
    <v>Kuwaiti Dinar/US Dollar FX Cross Rate</v>
    <v>3.2605</v>
    <v>3.2612999999999999</v>
    <v>3.2602000000000002</v>
    <v>KWDUSD</v>
    <v>KWD/USD</v>
  </rv>
  <rv s="9">
    <v>5069</v>
  </rv>
  <rv s="0">
    <v>536870912</v>
    <v>San Marino</v>
    <v>185d8e87-9d95-fed8-e01c-773c13bf35ad</v>
    <v>en-IN</v>
    <v>Map</v>
  </rv>
  <rv s="1">
    <fb>0.16666666666666699</fb>
    <v>24</v>
  </rv>
  <rv s="1">
    <fb>61.2</fb>
    <v>25</v>
  </rv>
  <rv s="1">
    <fb>6.8</fb>
    <v>26</v>
  </rv>
  <rv s="1">
    <fb>378</fb>
    <v>27</v>
  </rv>
  <rv s="0">
    <v>536870912</v>
    <v>City of San Marino</v>
    <v>ff31ae3b-5108-043e-7ec1-27b0b35a08ab</v>
    <v>en-IN</v>
    <v>Map</v>
  </rv>
  <rv s="1">
    <fb>110.631595560108</fb>
    <v>28</v>
  </rv>
  <rv s="1">
    <fb>1.04597683468952E-2</fb>
    <v>24</v>
  </rv>
  <rv s="1">
    <fb>1.26</fb>
    <v>26</v>
  </rv>
  <rv s="1">
    <fb>1637931034.48276</fb>
    <v>31</v>
  </rv>
  <rv s="1">
    <fb>1.0808401999999999</fb>
    <v>24</v>
  </rv>
  <rv s="1">
    <fb>0.4247126</fb>
    <v>24</v>
  </rv>
  <rv s="2">
    <v>153</v>
    <v>22</v>
    <v>815</v>
    <v>7</v>
    <v>0</v>
    <v>Image of San Marino</v>
  </rv>
  <rv s="1">
    <fb>1.7</fb>
    <v>29</v>
  </rv>
  <rv s="4">
    <v>https://www.bing.com/search?q=san+marino&amp;form=skydnc</v>
    <v>Learn more on Bing</v>
  </rv>
  <rv s="1">
    <fb>85.417073170731697</fb>
    <v>29</v>
  </rv>
  <rv s="1">
    <fb>0.1832862469</fb>
    <v>24</v>
  </rv>
  <rv s="1">
    <fb>6.1093999999999999</fb>
    <v>26</v>
  </rv>
  <rv s="1">
    <fb>33660</fb>
    <v>25</v>
  </rv>
  <rv s="0">
    <v>536870912</v>
    <v>Acquaviva</v>
    <v>b21e8f47-a0e1-2624-b85b-a192cb36d873</v>
    <v>en-IN</v>
    <v>Map</v>
  </rv>
  <rv s="0">
    <v>536870912</v>
    <v>Borgo Maggiore</v>
    <v>b4a29c75-a2d6-9549-b7e2-fbf9b9a7694c</v>
    <v>en-IN</v>
    <v>Map</v>
  </rv>
  <rv s="0">
    <v>536870912</v>
    <v>Chiesanuova</v>
    <v>82f792b2-835d-b989-2431-0cf3c7297c61</v>
    <v>en-IN</v>
    <v>Map</v>
  </rv>
  <rv s="0">
    <v>536870912</v>
    <v>Domagnano</v>
    <v>0af8a8e5-f736-9c30-a1c9-019ace5ce8ba</v>
    <v>en-IN</v>
    <v>Map</v>
  </rv>
  <rv s="0">
    <v>536870912</v>
    <v>Faetano</v>
    <v>63ecdab7-192f-dc09-1c4a-d785f0d2f752</v>
    <v>en-IN</v>
    <v>Map</v>
  </rv>
  <rv s="0">
    <v>536870912</v>
    <v>Fiorentino</v>
    <v>a9b7b449-cec7-1d44-884b-e07cd92d20a2</v>
    <v>en-IN</v>
    <v>Map</v>
  </rv>
  <rv s="0">
    <v>536870912</v>
    <v>Montegiardino</v>
    <v>4c6dbef3-5260-9488-04f6-79cd40c59ebb</v>
    <v>en-IN</v>
    <v>Map</v>
  </rv>
  <rv s="0">
    <v>536870912</v>
    <v>Serravalle</v>
    <v>2c4b3d57-8854-1833-da4e-ae7736021f51</v>
    <v>en-IN</v>
    <v>Map</v>
  </rv>
  <rv s="3">
    <v>272</v>
  </rv>
  <rv s="1">
    <fb>0.18147244196106702</fb>
    <v>24</v>
  </rv>
  <rv s="1">
    <fb>32969</fb>
    <v>25</v>
  </rv>
  <rv s="83">
    <v>#VALUE!</v>
    <v>en-IN</v>
    <v>185d8e87-9d95-fed8-e01c-773c13bf35ad</v>
    <v>536870912</v>
    <v>1</v>
    <v>818</v>
    <v>819</v>
    <v>San Marino</v>
    <v>20</v>
    <v>21</v>
    <v>Map</v>
    <v>22</v>
    <v>820</v>
    <v>SM</v>
    <v>5072</v>
    <v>5073</v>
    <v>5074</v>
    <v>5075</v>
    <v>5076</v>
    <v>5077</v>
    <v>5078</v>
    <v>EUR</v>
    <v>San Marino, officially the Republic of San Marino and also known as the Most Serene Republic of San Marino, is a European microstate and country enclaved by Italy. Located on the northeastern side of the Apennine Mountains, San Marino is the ...</v>
    <v>5079</v>
    <v>4549</v>
    <v>5080</v>
    <v>5081</v>
    <v>5082</v>
    <v>5083</v>
    <v>5084</v>
    <v>5076</v>
    <v>5085</v>
    <v>5086</v>
    <v>San Marino</v>
    <v>Inno Nazionale della Repubblica di San Marino</v>
    <v>562</v>
    <v>Repubblica di San Marino</v>
    <v>5087</v>
    <v>5088</v>
    <v>5089</v>
    <v>5098</v>
    <v>5099</v>
    <v>1074</v>
    <v>3841</v>
    <v>San Marino</v>
    <v>5100</v>
    <v>mdp/vdpid/214</v>
  </rv>
  <rv s="1">
    <fb>7.09</fb>
    <v>25</v>
  </rv>
  <rv s="2">
    <v>154</v>
    <v>22</v>
    <v>821</v>
    <v>7</v>
    <v>0</v>
    <v>Image of City of San Marino</v>
  </rv>
  <rv s="4">
    <v>https://www.bing.com/search?q=capital+of+san+marino&amp;form=skydnc</v>
    <v>Learn more on Bing</v>
  </rv>
  <rv s="1">
    <fb>3997</fb>
    <v>25</v>
  </rv>
  <rv s="84">
    <v>#VALUE!</v>
    <v>en-IN</v>
    <v>ff31ae3b-5108-043e-7ec1-27b0b35a08ab</v>
    <v>536870912</v>
    <v>1</v>
    <v>823</v>
    <v>824</v>
    <v>City of San Marino</v>
    <v>20</v>
    <v>21</v>
    <v>Map</v>
    <v>22</v>
    <v>189</v>
    <v>SM-07</v>
    <v>5102</v>
    <v>5071</v>
    <v>The City of San Marino is the capital city of the Republic of San Marino. It has a population of 4,061. It is on the western slopes of San Marino's highest point, Monte Titano.</v>
    <v>5103</v>
    <v>5104</v>
    <v>City of San Marino</v>
    <v>562</v>
    <v>5105</v>
    <v>City of San Marino</v>
    <v>mdp/vdpid/7214899253330575363</v>
  </rv>
  <rv s="2">
    <v>153</v>
    <v>22</v>
    <v>815</v>
    <v>3</v>
    <v>0</v>
    <v>Image of San Marino</v>
  </rv>
  <rv s="35">
    <v>12</v>
    <v>Leader(s)</v>
    <v>0</v>
  </rv>
  <rv s="8">
    <v>en-IN</v>
    <v>avyrw7</v>
    <v>268435456</v>
    <v>1</v>
    <v>Powered by Refinitiv</v>
    <v>42</v>
    <v>USD/QAR</v>
    <v>43</v>
    <v>825</v>
    <v>Finance</v>
    <v>45</v>
    <v>3.6507999999999998</v>
    <v>3.5849000000000002</v>
    <v>0</v>
    <v>0</v>
    <v>QAR</v>
    <v>USD</v>
    <v>3.6448</v>
    <v>Currency Pair</v>
    <v>45957.208437499998</v>
    <v>3.6455000000000002</v>
    <v>US Dollar/Qatar Rial FX Spot Rate</v>
    <v>3.6248</v>
    <v>3.6419999999999999</v>
    <v>3.6419999999999999</v>
    <v>USDQAR</v>
    <v>USD/QAR</v>
  </rv>
  <rv s="9">
    <v>5109</v>
  </rv>
  <rv s="0">
    <v>536870912</v>
    <v>São Tomé and Príncipe</v>
    <v>54da485f-443f-55ec-0697-974f0aca178a</v>
    <v>en-IN</v>
    <v>Map</v>
  </rv>
  <rv s="1">
    <fb>0.50729167461395297</fb>
    <v>24</v>
  </rv>
  <rv s="1">
    <fb>1001</fb>
    <v>25</v>
  </rv>
  <rv s="1">
    <fb>1000</fb>
    <v>25</v>
  </rv>
  <rv s="1">
    <fb>31.538</fb>
    <v>26</v>
  </rv>
  <rv s="1">
    <fb>239</fb>
    <v>27</v>
  </rv>
  <rv s="0">
    <v>536870912</v>
    <v>São Tomé</v>
    <v>c0da709b-9496-c3f5-2f8d-b785f3df5634</v>
    <v>en-IN</v>
    <v>Map</v>
  </rv>
  <rv s="1">
    <fb>121.011</fb>
    <v>25</v>
  </rv>
  <rv s="1">
    <fb>185.08955168232399</fb>
    <v>28</v>
  </rv>
  <rv s="1">
    <fb>7.857064313335331E-2</fb>
    <v>24</v>
  </rv>
  <rv s="1">
    <fb>4.3209999999999997</fb>
    <v>26</v>
  </rv>
  <rv s="1">
    <fb>0.55833331743876102</fb>
    <v>24</v>
  </rv>
  <rv s="1">
    <fb>429016605.20820498</fb>
    <v>31</v>
  </rv>
  <rv s="1">
    <fb>1.0679154</fb>
    <v>24</v>
  </rv>
  <rv s="1">
    <fb>0.1338452</fb>
    <v>24</v>
  </rv>
  <rv s="2">
    <v>155</v>
    <v>22</v>
    <v>827</v>
    <v>7</v>
    <v>0</v>
    <v>Image of São Tomé and Príncipe</v>
  </rv>
  <rv s="1">
    <fb>24.4</fb>
    <v>29</v>
  </rv>
  <rv s="0">
    <v>805306368</v>
    <v>Carlos Vila Nova (President)</v>
    <v>56ed3022-c0e7-b4eb-e37e-2653d83e6f39</v>
    <v>en-IN</v>
    <v>Generic</v>
  </rv>
  <rv s="0">
    <v>805306368</v>
    <v>Patrice Trovoada (Prime minister)</v>
    <v>eb77ff3e-d7a3-b2ca-fe2c-b168ce534280</v>
    <v>en-IN</v>
    <v>Generic</v>
  </rv>
  <rv s="3">
    <v>273</v>
  </rv>
  <rv s="4">
    <v>https://www.bing.com/search?q=s%c3%a3o+tom%c3%a9+and+pr%c3%adncipe&amp;form=skydnc</v>
    <v>Learn more on Bing</v>
  </rv>
  <rv s="1">
    <fb>70.17</fb>
    <v>29</v>
  </rv>
  <rv s="1">
    <fb>130</fb>
    <v>29</v>
  </rv>
  <rv s="1">
    <fb>0.11673493260000001</fb>
    <v>24</v>
  </rv>
  <rv s="1">
    <fb>5.3100000000000001E-2</fb>
    <v>26</v>
  </rv>
  <rv s="1">
    <fb>227380</fb>
    <v>25</v>
  </rv>
  <rv s="1">
    <fb>0.161</fb>
    <v>24</v>
  </rv>
  <rv s="1">
    <fb>0.49200000000000005</fb>
    <v>24</v>
  </rv>
  <rv s="1">
    <fb>0.61199999999999999</fb>
    <v>24</v>
  </rv>
  <rv s="1">
    <fb>1.3000000000000001E-2</fb>
    <v>24</v>
  </rv>
  <rv s="1">
    <fb>0.57789001464843803</fb>
    <v>24</v>
  </rv>
  <rv s="0">
    <v>536870912</v>
    <v>Água Grande District</v>
    <v>157d2149-95a6-6d8b-f1b8-922b52161363</v>
    <v>en-IN</v>
    <v>Map</v>
  </rv>
  <rv s="0">
    <v>536870912</v>
    <v>Cantagalo District</v>
    <v>127e677e-be47-89a4-e6d6-3eb4c6d351c4</v>
    <v>en-IN</v>
    <v>Map</v>
  </rv>
  <rv s="0">
    <v>536870912</v>
    <v>Caué District</v>
    <v>0c0c6d89-a6fc-5b0a-22a1-093c5ff42db0</v>
    <v>en-IN</v>
    <v>Map</v>
  </rv>
  <rv s="0">
    <v>536870912</v>
    <v>Lembá District</v>
    <v>042bca9a-fa04-a8ab-27f3-6789c93bee7b</v>
    <v>en-IN</v>
    <v>Map</v>
  </rv>
  <rv s="0">
    <v>536870912</v>
    <v>Lobata District</v>
    <v>f3127fad-61d3-5340-c817-1a5c1694c2e6</v>
    <v>en-IN</v>
    <v>Map</v>
  </rv>
  <rv s="0">
    <v>536870912</v>
    <v>Mé-Zóchi District</v>
    <v>932c4417-0766-7348-365e-48d35f0573d7</v>
    <v>en-IN</v>
    <v>Map</v>
  </rv>
  <rv s="3">
    <v>274</v>
  </rv>
  <rv s="1">
    <fb>0.14612629428327001</fb>
    <v>24</v>
  </rv>
  <rv s="1">
    <fb>0.133690004348755</fb>
    <v>32</v>
  </rv>
  <rv s="1">
    <fb>158277</fb>
    <v>25</v>
  </rv>
  <rv s="85">
    <v>#VALUE!</v>
    <v>en-IN</v>
    <v>54da485f-443f-55ec-0697-974f0aca178a</v>
    <v>536870912</v>
    <v>1</v>
    <v>830</v>
    <v>831</v>
    <v>São Tomé and Príncipe</v>
    <v>20</v>
    <v>21</v>
    <v>Map</v>
    <v>22</v>
    <v>832</v>
    <v>ST</v>
    <v>5112</v>
    <v>5113</v>
    <v>5114</v>
    <v>5115</v>
    <v>5116</v>
    <v>5117</v>
    <v>5118</v>
    <v>5119</v>
    <v>5120</v>
    <v>STD</v>
    <v>São Tomé and Príncipe, officially the Democratic Republic of São Tomé and Príncipe, is an island country in the Gulf of Guinea, off the western equatorial coast of Central Africa. It consists of two archipelagos around the two main islands of ...</v>
    <v>5121</v>
    <v>5122</v>
    <v>1004</v>
    <v>5123</v>
    <v>5124</v>
    <v>5125</v>
    <v>5126</v>
    <v>5127</v>
    <v>5117</v>
    <v>5130</v>
    <v>5131</v>
    <v>5132</v>
    <v>5133</v>
    <v>São Tomé and Príncipe</v>
    <v>Independência total</v>
    <v>2961</v>
    <v>República Democrática de São Tomé e Príncipe</v>
    <v>5134</v>
    <v>5135</v>
    <v>5136</v>
    <v>5137</v>
    <v>5138</v>
    <v>5139</v>
    <v>5140</v>
    <v>3958</v>
    <v>1235</v>
    <v>39</v>
    <v>5141</v>
    <v>5148</v>
    <v>5149</v>
    <v>5002</v>
    <v>5150</v>
    <v>São Tomé and Príncipe</v>
    <v>5151</v>
    <v>mdp/vdpid/233</v>
  </rv>
  <rv s="1">
    <fb>17</fb>
    <v>25</v>
  </rv>
  <rv s="2">
    <v>156</v>
    <v>22</v>
    <v>833</v>
    <v>7</v>
    <v>0</v>
    <v>Image of São Tomé</v>
  </rv>
  <rv s="1">
    <fb>0.33333333333332998</fb>
    <v>37</v>
  </rv>
  <rv s="4">
    <v>https://www.bing.com/search?q=s%c3%a3o+tom%c3%a9&amp;form=skydnc</v>
    <v>Learn more on Bing</v>
  </rv>
  <rv s="1">
    <fb>6.7333333333332996</fb>
    <v>37</v>
  </rv>
  <rv s="1">
    <fb>71868</fb>
    <v>25</v>
  </rv>
  <rv s="29">
    <v>#VALUE!</v>
    <v>en-IN</v>
    <v>c0da709b-9496-c3f5-2f8d-b785f3df5634</v>
    <v>536870912</v>
    <v>1</v>
    <v>834</v>
    <v>188</v>
    <v>São Tomé</v>
    <v>20</v>
    <v>21</v>
    <v>Map</v>
    <v>22</v>
    <v>153</v>
    <v>5142</v>
    <v>5153</v>
    <v>5111</v>
    <v>São Tomé is the capital and largest city of the Central African island country of São Tomé and Príncipe. Its name is Portuguese for "Saint Thomas". Founded in the 15th century, it is one of Africa's oldest colonial cities.</v>
    <v>5154</v>
    <v>5155</v>
    <v>5156</v>
    <v>5157</v>
    <v>São Tomé</v>
    <v>5158</v>
    <v>São Tomé</v>
    <v>mdp/vdpid/7304126278590791681</v>
  </rv>
  <rv s="2">
    <v>155</v>
    <v>22</v>
    <v>827</v>
    <v>3</v>
    <v>0</v>
    <v>Image of São Tomé and Príncipe</v>
  </rv>
  <rv s="8">
    <v>en-IN</v>
    <v>avqcyc</v>
    <v>268435456</v>
    <v>1</v>
    <v>Powered by Refinitiv</v>
    <v>42</v>
    <v>QAR/USD</v>
    <v>43</v>
    <v>62</v>
    <v>Finance</v>
    <v>45</v>
    <v>0.27439999999999998</v>
    <v>0.26989999999999997</v>
    <v>0</v>
    <v>0</v>
    <v>USD</v>
    <v>QAR</v>
    <v>0.27429999999999999</v>
    <v>Currency Pair</v>
    <v>45957.208437499998</v>
    <v>0.27439999999999998</v>
    <v>Qatar Rial/US Dollar FX Cross Rate</v>
    <v>0.27289999999999998</v>
    <v>0.27410000000000001</v>
    <v>0.27410000000000001</v>
    <v>QARUSD</v>
    <v>QAR/USD</v>
  </rv>
  <rv s="9">
    <v>5161</v>
  </rv>
  <rv s="0">
    <v>536870912</v>
    <v>Saudi Arabia</v>
    <v>672bc136-22f9-3750-0459-2fbd2340f892</v>
    <v>en-IN</v>
    <v>Map</v>
  </rv>
  <rv s="1">
    <fb>0.80764668394047501</fb>
    <v>24</v>
  </rv>
  <rv s="1">
    <fb>2250000</fb>
    <v>25</v>
  </rv>
  <rv s="1">
    <fb>252000</fb>
    <v>25</v>
  </rv>
  <rv s="1">
    <fb>17.797999999999998</fb>
    <v>26</v>
  </rv>
  <rv s="1">
    <fb>966</fb>
    <v>27</v>
  </rv>
  <rv s="0">
    <v>536870912</v>
    <v>Riyadh</v>
    <v>77f8babc-744b-01c3-105d-fd8a09a9f9c3</v>
    <v>en-IN</v>
    <v>Map</v>
  </rv>
  <rv s="1">
    <fb>563449.21799999999</fb>
    <v>25</v>
  </rv>
  <rv s="1">
    <fb>118.399825471917</fb>
    <v>28</v>
  </rv>
  <rv s="1">
    <fb>-1.2060168826831901E-2</fb>
    <v>24</v>
  </rv>
  <rv s="1">
    <fb>9401.3667693566804</fb>
    <v>25</v>
  </rv>
  <rv s="1">
    <fb>2.319</fb>
    <v>26</v>
  </rv>
  <rv s="1">
    <fb>4.5448413492177901E-3</fb>
    <v>24</v>
  </rv>
  <rv s="1">
    <fb>99.928018621746105</fb>
    <v>29</v>
  </rv>
  <rv s="1">
    <fb>0.24</fb>
    <v>30</v>
  </rv>
  <rv s="1">
    <fb>792966838161.65906</fb>
    <v>31</v>
  </rv>
  <rv s="1">
    <fb>0.99769900000000011</fb>
    <v>24</v>
  </rv>
  <rv s="1">
    <fb>0.68039890000000003</fb>
    <v>24</v>
  </rv>
  <rv s="2">
    <v>157</v>
    <v>22</v>
    <v>836</v>
    <v>7</v>
    <v>0</v>
    <v>Image of Saudi Arabia</v>
  </rv>
  <rv s="0">
    <v>805306368</v>
    <v>Salman of Saudi Arabia (King)</v>
    <v>3b5a69d0-c16b-2cb2-fb8c-65e7c9a377e6</v>
    <v>en-IN</v>
    <v>Generic</v>
  </rv>
  <rv s="0">
    <v>805306368</v>
    <v>Mohammed bin Salman (Prime minister)</v>
    <v>485957f4-5f7f-4ecb-8ef8-627eb3f0b28a</v>
    <v>en-IN</v>
    <v>Generic</v>
  </rv>
  <rv s="3">
    <v>275</v>
  </rv>
  <rv s="4">
    <v>https://www.bing.com/search?q=saudi+arabia&amp;form=skydnc</v>
    <v>Learn more on Bing</v>
  </rv>
  <rv s="1">
    <fb>74.998000000000005</fb>
    <v>29</v>
  </rv>
  <rv s="1">
    <fb>2406819600000</fb>
    <v>31</v>
  </rv>
  <rv s="1">
    <fb>3.85</fb>
    <v>30</v>
  </rv>
  <rv s="1">
    <fb>0.1497993758</fb>
    <v>24</v>
  </rv>
  <rv s="1">
    <fb>2.6116999999999999</fb>
    <v>26</v>
  </rv>
  <rv s="1">
    <fb>36408820</fb>
    <v>25</v>
  </rv>
  <rv s="1">
    <fb>0.55880001068115204</fb>
    <v>24</v>
  </rv>
  <rv s="0">
    <v>536870912</v>
    <v>Al-Baha Province</v>
    <v>7992ca77-e569-6ff5-fb2f-bffd80b286d2</v>
    <v>en-IN</v>
    <v>Map</v>
  </rv>
  <rv s="0">
    <v>536870912</v>
    <v>Northern Borders Province</v>
    <v>c96091e3-d809-87b1-d966-1f062b46b0cb</v>
    <v>en-IN</v>
    <v>Map</v>
  </rv>
  <rv s="0">
    <v>536870912</v>
    <v>Al-Jawf Province</v>
    <v>fc636922-9e6f-97d1-e832-9a5ebe95f40f</v>
    <v>en-IN</v>
    <v>Map</v>
  </rv>
  <rv s="0">
    <v>536870912</v>
    <v>Medina Province</v>
    <v>89bd833e-07d7-972c-2ab0-a6eec140758d</v>
    <v>en-IN</v>
    <v>Map</v>
  </rv>
  <rv s="0">
    <v>536870912</v>
    <v>Al-Qassim Province</v>
    <v>13e366cf-6f0f-39be-9e4f-353301279390</v>
    <v>en-IN</v>
    <v>Map</v>
  </rv>
  <rv s="0">
    <v>536870912</v>
    <v>Riyadh Province</v>
    <v>b29357c5-8470-1b8c-8a9e-41280d15b829</v>
    <v>en-IN</v>
    <v>Map</v>
  </rv>
  <rv s="0">
    <v>536870912</v>
    <v>Eastern Province</v>
    <v>1c96fec0-30d7-7d30-b7b8-5a167655bb75</v>
    <v>en-IN</v>
    <v>Map</v>
  </rv>
  <rv s="0">
    <v>536870912</v>
    <v>'Asir Province</v>
    <v>8448761f-e815-168b-0e40-bd95f193a332</v>
    <v>en-IN</v>
    <v>Map</v>
  </rv>
  <rv s="0">
    <v>536870912</v>
    <v>Ḥa'il Province</v>
    <v>85ede757-28d8-0a5e-f697-8e85aca5da1a</v>
    <v>en-IN</v>
    <v>Map</v>
  </rv>
  <rv s="0">
    <v>536870912</v>
    <v>Jazan Province</v>
    <v>18655f63-623b-b55a-bd5e-437e81279119</v>
    <v>en-IN</v>
    <v>Map</v>
  </rv>
  <rv s="0">
    <v>536870912</v>
    <v>Mecca Province</v>
    <v>e5f1c8fd-81dd-0695-05d3-447b8aacfa82</v>
    <v>en-IN</v>
    <v>Map</v>
  </rv>
  <rv s="0">
    <v>536870912</v>
    <v>Najran Province</v>
    <v>1f1319e8-f032-cbd9-4335-7f25d8db19ed</v>
    <v>en-IN</v>
    <v>Map</v>
  </rv>
  <rv s="0">
    <v>536870912</v>
    <v>Tabuk Province</v>
    <v>b1fe1469-b64f-06bd-3c0a-e555c140338f</v>
    <v>en-IN</v>
    <v>Map</v>
  </rv>
  <rv s="3">
    <v>276</v>
  </rv>
  <rv s="1">
    <fb>8.92574503531601E-2</fb>
    <v>24</v>
  </rv>
  <rv s="1">
    <fb>0.157</fb>
    <v>24</v>
  </rv>
  <rv s="1">
    <fb>5.9270000457763698E-2</fb>
    <v>32</v>
  </rv>
  <rv s="1">
    <fb>28807838</fb>
    <v>25</v>
  </rv>
  <rv s="32">
    <v>#VALUE!</v>
    <v>en-IN</v>
    <v>672bc136-22f9-3750-0459-2fbd2340f892</v>
    <v>536870912</v>
    <v>1</v>
    <v>839</v>
    <v>207</v>
    <v>Saudi Arabia</v>
    <v>20</v>
    <v>21</v>
    <v>Map</v>
    <v>22</v>
    <v>840</v>
    <v>SA</v>
    <v>5164</v>
    <v>5165</v>
    <v>5166</v>
    <v>5167</v>
    <v>5168</v>
    <v>5169</v>
    <v>5170</v>
    <v>5171</v>
    <v>5172</v>
    <v>SAR</v>
    <v>Saudi Arabia, officially the Kingdom of Saudi Arabia, is a country in West Asia. It covers the bulk of the Arabian Peninsula and has a land area of about 2150000 km², making it the fifth-largest country in Asia and the largest in the Middle ...</v>
    <v>5173</v>
    <v>5174</v>
    <v>5175</v>
    <v>5176</v>
    <v>5177</v>
    <v>5178</v>
    <v>5179</v>
    <v>5180</v>
    <v>5181</v>
    <v>2229</v>
    <v>5169</v>
    <v>5184</v>
    <v>5185</v>
    <v>5186</v>
    <v>5187</v>
    <v>4698</v>
    <v>5188</v>
    <v>Saudi Arabia</v>
    <v>National Anthem of Saudi Arabia</v>
    <v>808</v>
    <v>الْمَمْلَكَةُ الْعَرَبِيَّةُ السُّعُودِيَّة</v>
    <v>5189</v>
    <v>5190</v>
    <v>5191</v>
    <v>5192</v>
    <v>5206</v>
    <v>5207</v>
    <v>5208</v>
    <v>5209</v>
    <v>Saudi Arabia</v>
    <v>5210</v>
    <v>mdp/vdpid/205</v>
  </rv>
  <rv s="1">
    <fb>1798</fb>
    <v>25</v>
  </rv>
  <rv s="2">
    <v>158</v>
    <v>22</v>
    <v>841</v>
    <v>7</v>
    <v>0</v>
    <v>Image of Riyadh</v>
  </rv>
  <rv s="1">
    <fb>24.65</fb>
    <v>37</v>
  </rv>
  <rv s="3">
    <v>277</v>
  </rv>
  <rv s="4">
    <v>https://www.bing.com/search?q=riyadh&amp;form=skydnc</v>
    <v>Learn more on Bing</v>
  </rv>
  <rv s="1">
    <fb>46.71</fb>
    <v>37</v>
  </rv>
  <rv s="1">
    <fb>7009100</fb>
    <v>25</v>
  </rv>
  <rv s="14">
    <v>#VALUE!</v>
    <v>en-IN</v>
    <v>77f8babc-744b-01c3-105d-fd8a09a9f9c3</v>
    <v>536870912</v>
    <v>1</v>
    <v>842</v>
    <v>82</v>
    <v>Riyadh</v>
    <v>20</v>
    <v>21</v>
    <v>Map</v>
    <v>22</v>
    <v>94</v>
    <v>5198</v>
    <v>5212</v>
    <v>5163</v>
    <v>Riyadh, formerly known as Hajr al-Yamamah, is the capital and largest city of Saudi Arabia. It is also the capital of the Riyadh Province and the centre of the Riyadh Governorate. It is the largest city on the Arabian Peninsula, and is situated ...</v>
    <v>5213</v>
    <v>5214</v>
    <v>5215</v>
    <v>5216</v>
    <v>5217</v>
    <v>Riyadh</v>
    <v>5218</v>
    <v>Riyadh</v>
    <v>mdp/vdpid/7373665753234407425</v>
  </rv>
  <rv s="2">
    <v>157</v>
    <v>22</v>
    <v>836</v>
    <v>3</v>
    <v>0</v>
    <v>Image of Saudi Arabia</v>
  </rv>
  <rv s="8">
    <v>en-IN</v>
    <v>avysec</v>
    <v>268435456</v>
    <v>1</v>
    <v>Powered by Refinitiv</v>
    <v>42</v>
    <v>USD/SAR</v>
    <v>43</v>
    <v>843</v>
    <v>Finance</v>
    <v>45</v>
    <v>3.7589000000000001</v>
    <v>3.7488000000000001</v>
    <v>0</v>
    <v>0</v>
    <v>SAR</v>
    <v>USD</v>
    <v>3.7503000000000002</v>
    <v>Currency Pair</v>
    <v>45957.217395833337</v>
    <v>3.7502</v>
    <v>US Dollar/Saudi Arabian Riyal FX Spot Rate</v>
    <v>3.7503000000000002</v>
    <v>3.7503000000000002</v>
    <v>3.7503000000000002</v>
    <v>USDSAR</v>
    <v>USD/SAR</v>
  </rv>
  <rv s="9">
    <v>5221</v>
  </rv>
  <rv s="0">
    <v>536870912</v>
    <v>Senegal</v>
    <v>61b4b41a-e86a-1c43-604a-57097e879fb9</v>
    <v>en-IN</v>
    <v>Map</v>
  </rv>
  <rv s="1">
    <fb>0.46060354230509504</fb>
    <v>24</v>
  </rv>
  <rv s="1">
    <fb>196722</fb>
    <v>25</v>
  </rv>
  <rv s="1">
    <fb>19000</fb>
    <v>25</v>
  </rv>
  <rv s="1">
    <fb>34.523000000000003</fb>
    <v>26</v>
  </rv>
  <rv s="1">
    <fb>221</fb>
    <v>27</v>
  </rv>
  <rv s="0">
    <v>536870912</v>
    <v>Dakar</v>
    <v>231d192c-d87d-99c6-2482-7dd7e8becc3e</v>
    <v>en-IN</v>
    <v>Map</v>
  </rv>
  <rv s="1">
    <fb>10901.991</fb>
    <v>25</v>
  </rv>
  <rv s="1">
    <fb>109.251270172291</fb>
    <v>28</v>
  </rv>
  <rv s="1">
    <fb>1.7585651759565901E-2</fb>
    <v>24</v>
  </rv>
  <rv s="1">
    <fb>229.35179510637599</fb>
    <v>25</v>
  </rv>
  <rv s="1">
    <fb>4.625</fb>
    <v>26</v>
  </rv>
  <rv s="1">
    <fb>0.42762166935023105</fb>
    <v>24</v>
  </rv>
  <rv s="1">
    <fb>53.909117209717202</fb>
    <v>29</v>
  </rv>
  <rv s="1">
    <fb>1.1399999999999999</fb>
    <v>30</v>
  </rv>
  <rv s="1">
    <fb>23578084052.014702</fb>
    <v>31</v>
  </rv>
  <rv s="1">
    <fb>0.80950040000000001</fb>
    <v>24</v>
  </rv>
  <rv s="1">
    <fb>0.12762589999999999</fb>
    <v>24</v>
  </rv>
  <rv s="2">
    <v>159</v>
    <v>22</v>
    <v>845</v>
    <v>7</v>
    <v>0</v>
    <v>Image of Senegal</v>
  </rv>
  <rv s="1">
    <fb>31.8</fb>
    <v>29</v>
  </rv>
  <rv s="0">
    <v>805306368</v>
    <v>Macky Sall (President)</v>
    <v>13544059-fefa-81bb-1f77-27b72c1b73e9</v>
    <v>en-IN</v>
    <v>Generic</v>
  </rv>
  <rv s="0">
    <v>805306368</v>
    <v>Amadou Ba (Prime minister)</v>
    <v>c658a748-dcab-d989-82ee-0ac7f3f8c1e4</v>
    <v>en-IN</v>
    <v>Generic</v>
  </rv>
  <rv s="3">
    <v>278</v>
  </rv>
  <rv s="4">
    <v>https://www.bing.com/search?q=senegal&amp;form=skydnc</v>
    <v>Learn more on Bing</v>
  </rv>
  <rv s="1">
    <fb>67.665000000000006</fb>
    <v>29</v>
  </rv>
  <rv s="1">
    <fb>315</fb>
    <v>29</v>
  </rv>
  <rv s="3">
    <v>279</v>
  </rv>
  <rv s="1">
    <fb>0.44180671030000002</fb>
    <v>24</v>
  </rv>
  <rv s="1">
    <fb>6.9099999999999995E-2</fb>
    <v>26</v>
  </rv>
  <rv s="1">
    <fb>17316449</fb>
    <v>25</v>
  </rv>
  <rv s="1">
    <fb>0.46899999999999997</fb>
    <v>24</v>
  </rv>
  <rv s="1">
    <fb>6.0999999999999999E-2</fb>
    <v>24</v>
  </rv>
  <rv s="1">
    <fb>0.15</fb>
    <v>24</v>
  </rv>
  <rv s="1">
    <fb>0.45683998107910201</fb>
    <v>24</v>
  </rv>
  <rv s="0">
    <v>536870912</v>
    <v>Dakar Region</v>
    <v>3bb61292-7b3c-7124-2947-27d8f8207ea6</v>
    <v>en-IN</v>
    <v>Map</v>
  </rv>
  <rv s="0">
    <v>536870912</v>
    <v>Diourbel Region</v>
    <v>3a04c367-3989-9214-f703-f9caae8c2380</v>
    <v>en-IN</v>
    <v>Map</v>
  </rv>
  <rv s="0">
    <v>536870912</v>
    <v>Fatick Region</v>
    <v>b43f17b3-9f6f-299a-9d6e-c6be9ad16f93</v>
    <v>en-IN</v>
    <v>Map</v>
  </rv>
  <rv s="0">
    <v>536870912</v>
    <v>Kaffrine Region</v>
    <v>d07d2758-d957-15b8-0148-96c6ac35c8cc</v>
    <v>en-IN</v>
    <v>Map</v>
  </rv>
  <rv s="0">
    <v>536870912</v>
    <v>Kaolack Region</v>
    <v>86e997d8-50b5-6fbb-a0e8-cc6f1af0d180</v>
    <v>en-IN</v>
    <v>Map</v>
  </rv>
  <rv s="0">
    <v>536870912</v>
    <v>Kédougou Region</v>
    <v>be665ea0-47d0-74cf-a4c9-749564e5d774</v>
    <v>en-IN</v>
    <v>Map</v>
  </rv>
  <rv s="0">
    <v>536870912</v>
    <v>Kolda Region</v>
    <v>c6cbe52c-3bb9-4f46-99ce-df49ccf17d78</v>
    <v>en-IN</v>
    <v>Map</v>
  </rv>
  <rv s="0">
    <v>536870912</v>
    <v>Louga Region</v>
    <v>08e6ec18-e2d9-407c-d36e-2d2b3e5812e7</v>
    <v>en-IN</v>
    <v>Map</v>
  </rv>
  <rv s="0">
    <v>536870912</v>
    <v>Matam Region</v>
    <v>5b6b478c-d8e5-3d03-e263-172092ca0e2a</v>
    <v>en-IN</v>
    <v>Map</v>
  </rv>
  <rv s="0">
    <v>536870912</v>
    <v>Saint-Louis Region</v>
    <v>dd8c5a0a-57ff-1d66-70a5-890cccde5de6</v>
    <v>en-IN</v>
    <v>Map</v>
  </rv>
  <rv s="0">
    <v>536870912</v>
    <v>Sédhiou Region</v>
    <v>9f50a8d2-d72a-ae8c-222b-a038d4bfa5bf</v>
    <v>en-IN</v>
    <v>Map</v>
  </rv>
  <rv s="0">
    <v>536870912</v>
    <v>Tambacounda Region</v>
    <v>81d98438-d785-d9fd-11a6-ed6aff0674b7</v>
    <v>en-IN</v>
    <v>Map</v>
  </rv>
  <rv s="0">
    <v>536870912</v>
    <v>Thiès Region</v>
    <v>aacbf82b-f645-4869-bdab-70cf7794b920</v>
    <v>en-IN</v>
    <v>Map</v>
  </rv>
  <rv s="0">
    <v>536870912</v>
    <v>Ziguinchor Region</v>
    <v>d4699e3e-86b1-9fdc-8429-2bd7e9bb2f07</v>
    <v>en-IN</v>
    <v>Map</v>
  </rv>
  <rv s="3">
    <v>280</v>
  </rv>
  <rv s="1">
    <fb>0.16294156680093402</fb>
    <v>24</v>
  </rv>
  <rv s="1">
    <fb>0.44799999999999995</fb>
    <v>24</v>
  </rv>
  <rv s="1">
    <fb>6.6040000915527294E-2</fb>
    <v>32</v>
  </rv>
  <rv s="1">
    <fb>7765706</fb>
    <v>25</v>
  </rv>
  <rv s="13">
    <v>#VALUE!</v>
    <v>en-IN</v>
    <v>61b4b41a-e86a-1c43-604a-57097e879fb9</v>
    <v>536870912</v>
    <v>1</v>
    <v>848</v>
    <v>78</v>
    <v>Senegal</v>
    <v>20</v>
    <v>21</v>
    <v>Map</v>
    <v>22</v>
    <v>849</v>
    <v>SN</v>
    <v>5224</v>
    <v>5225</v>
    <v>5226</v>
    <v>5227</v>
    <v>5228</v>
    <v>5229</v>
    <v>5230</v>
    <v>5231</v>
    <v>5232</v>
    <v>XOF</v>
    <v>Senegal, officially the Republic of Senegal, is a country in West Africa, on the Atlantic Ocean coastline. Senegal is bordered by Mauritania to the north, Mali to the east, Guinea to the southeast and Guinea-Bissau to the southwest. Senegal ...</v>
    <v>5233</v>
    <v>5234</v>
    <v>5235</v>
    <v>5236</v>
    <v>5237</v>
    <v>5238</v>
    <v>5239</v>
    <v>5240</v>
    <v>5241</v>
    <v>5242</v>
    <v>5229</v>
    <v>5245</v>
    <v>5246</v>
    <v>5247</v>
    <v>5248</v>
    <v>2615</v>
    <v>Senegal</v>
    <v>Le Lion rouge</v>
    <v>5249</v>
    <v>République du Sénégal</v>
    <v>5250</v>
    <v>5251</v>
    <v>5252</v>
    <v>139</v>
    <v>4155</v>
    <v>5253</v>
    <v>238</v>
    <v>5254</v>
    <v>240</v>
    <v>5255</v>
    <v>5256</v>
    <v>5271</v>
    <v>5272</v>
    <v>5273</v>
    <v>5274</v>
    <v>Senegal</v>
    <v>5275</v>
    <v>mdp/vdpid/210</v>
  </rv>
  <rv s="0">
    <v>536870912</v>
    <v>Dakar Department</v>
    <v>33f913b8-9cf6-4f46-8b1a-a58b40fcf60b</v>
    <v>en-IN</v>
    <v>Map</v>
  </rv>
  <rv s="1">
    <fb>82.5</fb>
    <v>25</v>
  </rv>
  <rv s="2">
    <v>160</v>
    <v>22</v>
    <v>850</v>
    <v>7</v>
    <v>0</v>
    <v>Image of Dakar</v>
  </rv>
  <rv s="1">
    <fb>14.731944444444</fb>
    <v>37</v>
  </rv>
  <rv s="0">
    <v>805306368</v>
    <v>Barthélemy Dias (Mayor)</v>
    <v>5666bd3d-345c-c259-8291-f54ded0b260a</v>
    <v>en-IN</v>
    <v>Generic</v>
  </rv>
  <rv s="3">
    <v>281</v>
  </rv>
  <rv s="4">
    <v>https://www.bing.com/search?q=dakar+senegal&amp;form=skydnc</v>
    <v>Learn more on Bing</v>
  </rv>
  <rv s="1">
    <fb>-17.457222222222001</fb>
    <v>37</v>
  </rv>
  <rv s="1">
    <fb>1438725</fb>
    <v>25</v>
  </rv>
  <rv s="21">
    <v>#VALUE!</v>
    <v>en-IN</v>
    <v>231d192c-d87d-99c6-2482-7dd7e8becc3e</v>
    <v>536870912</v>
    <v>1</v>
    <v>851</v>
    <v>120</v>
    <v>Dakar</v>
    <v>20</v>
    <v>21</v>
    <v>Map</v>
    <v>22</v>
    <v>362</v>
    <v>5257</v>
    <v>5277</v>
    <v>5278</v>
    <v>5223</v>
    <v>Dakar is the capital and largest city of Senegal. The city of Dakar proper has a population of 1,030,594, whereas the population of the Dakar metropolitan area is estimated at 3.94 million in 2021. The area around Dakar was colonized by the ...</v>
    <v>5279</v>
    <v>5280</v>
    <v>5282</v>
    <v>5283</v>
    <v>5284</v>
    <v>Dakar</v>
    <v>5285</v>
    <v>Dakar</v>
    <v>mdp/vdpid/5734176372293632001</v>
  </rv>
  <rv s="2">
    <v>159</v>
    <v>22</v>
    <v>845</v>
    <v>3</v>
    <v>0</v>
    <v>Image of Senegal</v>
  </rv>
  <rv s="8">
    <v>en-IN</v>
    <v>avs6mw</v>
    <v>268435456</v>
    <v>1</v>
    <v>Powered by Refinitiv</v>
    <v>42</v>
    <v>SAR/USD</v>
    <v>43</v>
    <v>62</v>
    <v>Finance</v>
    <v>45</v>
    <v>0.26690000000000003</v>
    <v>0.26590000000000003</v>
    <v>0</v>
    <v>0</v>
    <v>USD</v>
    <v>SAR</v>
    <v>0.26669999999999999</v>
    <v>Currency Pair</v>
    <v>45957.217743055553</v>
    <v>0.2666</v>
    <v>Saudi Arabian Riyal/US Dollar FX Cross Rate</v>
    <v>0.2666</v>
    <v>0.2666</v>
    <v>0.2666</v>
    <v>SARUSD</v>
    <v>SAR/USD</v>
  </rv>
  <rv s="9">
    <v>5288</v>
  </rv>
  <rv s="0">
    <v>536870912</v>
    <v>Serbia</v>
    <v>bfde06a5-c040-2791-7779-ac3934ad56d8</v>
    <v>en-IN</v>
    <v>Map</v>
  </rv>
  <rv s="1">
    <fb>0.39332266178824599</fb>
    <v>24</v>
  </rv>
  <rv s="1">
    <fb>88499</fb>
    <v>25</v>
  </rv>
  <rv s="1">
    <fb>32000</fb>
    <v>25</v>
  </rv>
  <rv s="1">
    <fb>381</fb>
    <v>27</v>
  </rv>
  <rv s="0">
    <v>536870912</v>
    <v>Belgrade</v>
    <v>23967a85-77cf-f376-c0a7-769fd8f12d6b</v>
    <v>en-IN</v>
    <v>Map</v>
  </rv>
  <rv s="1">
    <fb>45221.444000000003</fb>
    <v>25</v>
  </rv>
  <rv s="1">
    <fb>143.997573551714</fb>
    <v>28</v>
  </rv>
  <rv s="1">
    <fb>1.8492298451108998E-2</fb>
    <v>24</v>
  </rv>
  <rv s="1">
    <fb>4271.7446669105002</fb>
    <v>25</v>
  </rv>
  <rv s="1">
    <fb>1.49</fb>
    <v>26</v>
  </rv>
  <rv s="1">
    <fb>0.31115937598259202</fb>
    <v>24</v>
  </rv>
  <rv s="1">
    <fb>83.871261642928602</fb>
    <v>29</v>
  </rv>
  <rv s="1">
    <fb>51409167350.754799</fb>
    <v>31</v>
  </rv>
  <rv s="1">
    <fb>1.0030193000000001</fb>
    <v>24</v>
  </rv>
  <rv s="1">
    <fb>0.67158659999999992</fb>
    <v>24</v>
  </rv>
  <rv s="2">
    <v>161</v>
    <v>22</v>
    <v>853</v>
    <v>7</v>
    <v>0</v>
    <v>Image of Serbia</v>
  </rv>
  <rv s="1">
    <fb>4.8</fb>
    <v>29</v>
  </rv>
  <rv s="0">
    <v>805306368</v>
    <v>Aleksandar Vučić (President)</v>
    <v>a8f29601-b0b4-618d-06c1-225d9c9ca494</v>
    <v>en-IN</v>
    <v>Generic</v>
  </rv>
  <rv s="0">
    <v>805306368</v>
    <v>Ana Brnabić (Prime minister)</v>
    <v>b7a6bbea-7ffd-d647-94f2-ef3f91381582</v>
    <v>en-IN</v>
    <v>Generic</v>
  </rv>
  <rv s="3">
    <v>282</v>
  </rv>
  <rv s="4">
    <v>https://www.bing.com/search?q=serbia&amp;form=skydnc</v>
    <v>Learn more on Bing</v>
  </rv>
  <rv s="1">
    <fb>75.539024390243895</fb>
    <v>29</v>
  </rv>
  <rv s="1">
    <fb>1791690000</fb>
    <v>31</v>
  </rv>
  <rv s="3">
    <v>283</v>
  </rv>
  <rv s="1">
    <fb>0.40587734609999998</fb>
    <v>24</v>
  </rv>
  <rv s="1">
    <fb>3.1131000000000002</fb>
    <v>26</v>
  </rv>
  <rv s="1">
    <fb>6760087</fb>
    <v>25</v>
  </rv>
  <rv s="1">
    <fb>0.23800000000000002</fb>
    <v>24</v>
  </rv>
  <rv s="1">
    <fb>0.25600000000000001</fb>
    <v>24</v>
  </rv>
  <rv s="1">
    <fb>1.3999999999999999E-2</fb>
    <v>24</v>
  </rv>
  <rv s="1">
    <fb>0.54875999450683599</fb>
    <v>24</v>
  </rv>
  <rv s="0">
    <v>536870912</v>
    <v>Bor District</v>
    <v>9ffcfa10-55be-f82f-cb8e-afca4700a28b</v>
    <v>en-IN</v>
    <v>Map</v>
  </rv>
  <rv s="0">
    <v>536870912</v>
    <v>Braničevo District</v>
    <v>a07c6be1-8fe2-69b2-2187-39748186c884</v>
    <v>en-IN</v>
    <v>Map</v>
  </rv>
  <rv s="0">
    <v>536870912</v>
    <v>Zaječar District</v>
    <v>bf30904f-9632-457e-b741-4ebc19b76af2</v>
    <v>en-IN</v>
    <v>Map</v>
  </rv>
  <rv s="0">
    <v>536870912</v>
    <v>West Bačka District</v>
    <v>49dfcc2e-e5c1-4a00-a596-a4b6abe539fd</v>
    <v>en-IN</v>
    <v>Map</v>
  </rv>
  <rv s="0">
    <v>536870912</v>
    <v>Zlatibor District</v>
    <v>7ed061c8-ef14-f3ec-edf4-656d71063c27</v>
    <v>en-IN</v>
    <v>Map</v>
  </rv>
  <rv s="0">
    <v>536870912</v>
    <v>Jablanica District</v>
    <v>16236efd-1eca-d77d-cde8-546ed74407d7</v>
    <v>en-IN</v>
    <v>Map</v>
  </rv>
  <rv s="0">
    <v>536870912</v>
    <v>South Banat District</v>
    <v>1cb5c728-aa24-9ee2-4304-f3f4d7f9bc36</v>
    <v>en-IN</v>
    <v>Map</v>
  </rv>
  <rv s="0">
    <v>536870912</v>
    <v>South Bačka District</v>
    <v>3b6bf260-5f36-2f33-f93c-25ddc78dc37b</v>
    <v>en-IN</v>
    <v>Map</v>
  </rv>
  <rv s="0">
    <v>536870912</v>
    <v>Kolubara District</v>
    <v>4cfa6c33-d52d-c0e0-d59e-4b97a24548aa</v>
    <v>en-IN</v>
    <v>Map</v>
  </rv>
  <rv s="0">
    <v>536870912</v>
    <v>Mačva District</v>
    <v>3700cd33-66a3-4307-a6a4-0052c5a1a9cd</v>
    <v>en-IN</v>
    <v>Map</v>
  </rv>
  <rv s="0">
    <v>536870912</v>
    <v>Moravica District</v>
    <v>89880f9b-171d-cf8e-1a53-c8d66d717f83</v>
    <v>en-IN</v>
    <v>Map</v>
  </rv>
  <rv s="0">
    <v>536870912</v>
    <v>Nišava District</v>
    <v>56d3daa6-6c64-4b4e-b95a-92901df4991a</v>
    <v>en-IN</v>
    <v>Map</v>
  </rv>
  <rv s="0">
    <v>536870912</v>
    <v>Pirot District</v>
    <v>0b1d3d41-522e-85f6-2839-c1a73f48bfa2</v>
    <v>en-IN</v>
    <v>Map</v>
  </rv>
  <rv s="0">
    <v>536870912</v>
    <v>Podunavlje District</v>
    <v>1bc538cc-ed8c-0a64-aaef-80eebb06eed4</v>
    <v>en-IN</v>
    <v>Map</v>
  </rv>
  <rv s="0">
    <v>536870912</v>
    <v>Pomoravlje District</v>
    <v>03b3cb07-b7d9-574d-5772-db151f2e2919</v>
    <v>en-IN</v>
    <v>Map</v>
  </rv>
  <rv s="0">
    <v>536870912</v>
    <v>Pčinja District</v>
    <v>553f9237-b6f3-4d59-b448-e891febf795f</v>
    <v>en-IN</v>
    <v>Map</v>
  </rv>
  <rv s="0">
    <v>536870912</v>
    <v>Rasina District</v>
    <v>b07edd1c-21ee-ac36-f59e-703020e74185</v>
    <v>en-IN</v>
    <v>Map</v>
  </rv>
  <rv s="0">
    <v>536870912</v>
    <v>Raška District</v>
    <v>8c653eb9-14b9-489c-ab00-f38e993137fc</v>
    <v>en-IN</v>
    <v>Map</v>
  </rv>
  <rv s="0">
    <v>536870912</v>
    <v>North Banat District</v>
    <v>412e968b-7dc0-3592-2176-e8fa00bf85fa</v>
    <v>en-IN</v>
    <v>Map</v>
  </rv>
  <rv s="0">
    <v>536870912</v>
    <v>North Bačka District</v>
    <v>4264da16-3531-4cc1-99c5-0559ace6880f</v>
    <v>en-IN</v>
    <v>Map</v>
  </rv>
  <rv s="0">
    <v>536870912</v>
    <v>Central Banat District</v>
    <v>db1a60f4-4d29-db90-281b-e46d486156c9</v>
    <v>en-IN</v>
    <v>Map</v>
  </rv>
  <rv s="0">
    <v>536870912</v>
    <v>Srem District</v>
    <v>794a5a1f-3b8d-b0db-5924-9e66b4a9fb3f</v>
    <v>en-IN</v>
    <v>Map</v>
  </rv>
  <rv s="0">
    <v>536870912</v>
    <v>Toplica District</v>
    <v>55dcdea5-a7b1-53a8-08e0-41bb67c07978</v>
    <v>en-IN</v>
    <v>Map</v>
  </rv>
  <rv s="0">
    <v>536870912</v>
    <v>Šumadija District</v>
    <v>5ab530fd-7899-457b-a64a-7737385a8eb7</v>
    <v>en-IN</v>
    <v>Map</v>
  </rv>
  <rv s="3">
    <v>284</v>
  </rv>
  <rv s="1">
    <fb>0.185525002126608</fb>
    <v>24</v>
  </rv>
  <rv s="1">
    <fb>0.36599999999999999</fb>
    <v>24</v>
  </rv>
  <rv s="1">
    <fb>0.12685999870300299</fb>
    <v>32</v>
  </rv>
  <rv s="1">
    <fb>3907243</fb>
    <v>25</v>
  </rv>
  <rv s="5">
    <v>#VALUE!</v>
    <v>en-IN</v>
    <v>bfde06a5-c040-2791-7779-ac3934ad56d8</v>
    <v>536870912</v>
    <v>1</v>
    <v>856</v>
    <v>18</v>
    <v>Serbia</v>
    <v>20</v>
    <v>21</v>
    <v>Map</v>
    <v>22</v>
    <v>857</v>
    <v>RS</v>
    <v>5291</v>
    <v>5292</v>
    <v>5293</v>
    <v>2207</v>
    <v>5294</v>
    <v>5295</v>
    <v>5296</v>
    <v>5297</v>
    <v>5298</v>
    <v>RSD</v>
    <v>Serbia, officially the Republic of Serbia, is a landlocked country in Southeast and Central Europe, situated at the crossroads of the Pannonian Basin and the Balkans. It shares land borders with Hungary to the north, Romania to the northeast, ...</v>
    <v>5299</v>
    <v>5300</v>
    <v>5301</v>
    <v>5302</v>
    <v>1291</v>
    <v>5303</v>
    <v>5304</v>
    <v>5305</v>
    <v>5306</v>
    <v>5307</v>
    <v>5295</v>
    <v>5310</v>
    <v>5311</v>
    <v>5312</v>
    <v>5313</v>
    <v>1107</v>
    <v>481</v>
    <v>Serbia</v>
    <v>Bože pravde</v>
    <v>5314</v>
    <v>Србија</v>
    <v>5315</v>
    <v>5316</v>
    <v>5317</v>
    <v>5318</v>
    <v>5319</v>
    <v>3228</v>
    <v>5320</v>
    <v>2811</v>
    <v>817</v>
    <v>2965</v>
    <v>5321</v>
    <v>5346</v>
    <v>5347</v>
    <v>1074</v>
    <v>5348</v>
    <v>5349</v>
    <v>Serbia</v>
    <v>5350</v>
    <v>mdp/vdpid/271</v>
  </rv>
  <rv s="1">
    <fb>359.96</fb>
    <v>25</v>
  </rv>
  <rv s="2">
    <v>162</v>
    <v>22</v>
    <v>858</v>
    <v>7</v>
    <v>0</v>
    <v>Image of Belgrade</v>
  </rv>
  <rv s="0">
    <v>805306368</v>
    <v>Aleksandar Šapić (Mayor)</v>
    <v>03648505-2c13-8fb3-7e22-4596c6c03ada</v>
    <v>en-IN</v>
    <v>Generic</v>
  </rv>
  <rv s="3">
    <v>285</v>
  </rv>
  <rv s="4">
    <v>https://www.bing.com/search?q=belgrade&amp;form=skydnc</v>
    <v>Learn more on Bing</v>
  </rv>
  <rv s="1">
    <fb>1378682</fb>
    <v>25</v>
  </rv>
  <rv s="33">
    <v>#VALUE!</v>
    <v>en-IN</v>
    <v>23967a85-77cf-f376-c0a7-769fd8f12d6b</v>
    <v>536870912</v>
    <v>1</v>
    <v>860</v>
    <v>222</v>
    <v>Belgrade</v>
    <v>20</v>
    <v>21</v>
    <v>Map</v>
    <v>22</v>
    <v>41</v>
    <v>RS-00</v>
    <v>5352</v>
    <v>362</v>
    <v>Belgrade is the capital and largest city of Serbia. It is located at the confluence of the Sava and Danube rivers and at the crossroads of the Pannonian Plain and the Balkan Peninsula. The population of the Belgrade metropolitan area is ...</v>
    <v>5353</v>
    <v>5355</v>
    <v>5356</v>
    <v>Belgrade</v>
    <v>5357</v>
    <v>Belgrade</v>
    <v>mdp/vdpid/7217621128724873221</v>
  </rv>
  <rv s="2">
    <v>161</v>
    <v>22</v>
    <v>853</v>
    <v>3</v>
    <v>0</v>
    <v>Image of Serbia</v>
  </rv>
  <rv s="8">
    <v>en-IN</v>
    <v>avyu1h</v>
    <v>268435456</v>
    <v>1</v>
    <v>Powered by Refinitiv</v>
    <v>42</v>
    <v>USD/AED</v>
    <v>43</v>
    <v>861</v>
    <v>Finance</v>
    <v>45</v>
    <v>3.6736</v>
    <v>3.6709000000000001</v>
    <v>1E-4</v>
    <v>2.7230000000000002E-5</v>
    <v>AED</v>
    <v>USD</v>
    <v>3.6728999999999998</v>
    <v>Currency Pair</v>
    <v>45957.216886574075</v>
    <v>3.6728999999999998</v>
    <v>US Dollar/UAE Dirham FX Spot Rate</v>
    <v>3.6720000000000002</v>
    <v>3.6720000000000002</v>
    <v>3.6720999999999999</v>
    <v>USDAED</v>
    <v>USD/AED</v>
  </rv>
  <rv s="9">
    <v>5360</v>
  </rv>
  <rv s="0">
    <v>536870912</v>
    <v>Seychelles</v>
    <v>edbdad3e-b40e-62fd-849a-f3eaffadc75d</v>
    <v>en-IN</v>
    <v>Map</v>
  </rv>
  <rv s="1">
    <fb>3.3695651137310399E-2</fb>
    <v>24</v>
  </rv>
  <rv s="1">
    <fb>459</fb>
    <v>25</v>
  </rv>
  <rv s="1">
    <fb>17.100000000000001</fb>
    <v>26</v>
  </rv>
  <rv s="1">
    <fb>248</fb>
    <v>27</v>
  </rv>
  <rv s="0">
    <v>536870912</v>
    <v>Victoria</v>
    <v>775ad069-ad7c-7703-43b7-0fd25b36e04a</v>
    <v>en-IN</v>
    <v>Map</v>
  </rv>
  <rv s="1">
    <fb>605.05499999999995</fb>
    <v>25</v>
  </rv>
  <rv s="1">
    <fb>129.95819746015201</fb>
    <v>28</v>
  </rv>
  <rv s="1">
    <fb>1.8061115998362701E-2</fb>
    <v>24</v>
  </rv>
  <rv s="1">
    <fb>2.41</fb>
    <v>26</v>
  </rv>
  <rv s="1">
    <fb>0.88413039497707202</fb>
    <v>24</v>
  </rv>
  <rv s="1">
    <fb>1698843062.76141</fb>
    <v>31</v>
  </rv>
  <rv s="1">
    <fb>1.0037948999999999</fb>
    <v>24</v>
  </rv>
  <rv s="1">
    <fb>0.17079849999999999</fb>
    <v>24</v>
  </rv>
  <rv s="2">
    <v>163</v>
    <v>22</v>
    <v>863</v>
    <v>7</v>
    <v>0</v>
    <v>Image of Seychelles</v>
  </rv>
  <rv s="0">
    <v>805306368</v>
    <v>Wavel Ramkalawan (President)</v>
    <v>083a7524-88a8-9381-3900-0a9fc1b5d357</v>
    <v>en-IN</v>
    <v>Generic</v>
  </rv>
  <rv s="0">
    <v>805306368</v>
    <v>Ahmed Afif (Vice president)</v>
    <v>7ca58186-1ab3-446a-dcde-f2c549a55021</v>
    <v>en-IN</v>
    <v>Generic</v>
  </rv>
  <rv s="3">
    <v>286</v>
  </rv>
  <rv s="4">
    <v>https://www.bing.com/search?q=seychelles&amp;form=skydnc</v>
    <v>Learn more on Bing</v>
  </rv>
  <rv s="1">
    <fb>72.841463414634106</fb>
    <v>29</v>
  </rv>
  <rv s="1">
    <fb>1136540000</fb>
    <v>31</v>
  </rv>
  <rv s="3">
    <v>287</v>
  </rv>
  <rv s="1">
    <fb>2.4844012200000001E-2</fb>
    <v>24</v>
  </rv>
  <rv s="1">
    <fb>0.94579999999999997</fb>
    <v>26</v>
  </rv>
  <rv s="1">
    <fb>100060</fb>
    <v>25</v>
  </rv>
  <rv s="1">
    <fb>0.184</fb>
    <v>24</v>
  </rv>
  <rv s="1">
    <fb>0.53</fb>
    <v>24</v>
  </rv>
  <rv s="0">
    <v>536870912</v>
    <v>Bel Air</v>
    <v>6028dc63-f5bc-b003-614f-c3423b3283ac</v>
    <v>en-IN</v>
    <v>Map</v>
  </rv>
  <rv s="0">
    <v>536870912</v>
    <v>English River, Seychelles</v>
    <v>41563f20-dd24-017f-a035-e38d8191c88d</v>
    <v>en-IN</v>
    <v>Map</v>
  </rv>
  <rv s="0">
    <v>536870912</v>
    <v>Les Mamelles</v>
    <v>c1ef852d-383b-ac8a-ad2f-fce594a4e355</v>
    <v>en-IN</v>
    <v>Map</v>
  </rv>
  <rv s="0">
    <v>536870912</v>
    <v>Mont Buxton</v>
    <v>faaae7c2-897c-738e-66ca-b43069e8b9e4</v>
    <v>en-IN</v>
    <v>Map</v>
  </rv>
  <rv s="0">
    <v>536870912</v>
    <v>Mont Fleuri</v>
    <v>997d5069-a1df-ac64-2fb4-98539abfd098</v>
    <v>en-IN</v>
    <v>Map</v>
  </rv>
  <rv s="0">
    <v>536870912</v>
    <v>Plaisance</v>
    <v>0b547d04-47e0-ade2-72c2-53d1e2a2eecc</v>
    <v>en-IN</v>
    <v>Map</v>
  </rv>
  <rv s="0">
    <v>536870912</v>
    <v>Roche Caiman</v>
    <v>27e3108d-54be-afb4-144d-2984f7caacd8</v>
    <v>en-IN</v>
    <v>Map</v>
  </rv>
  <rv s="0">
    <v>536870912</v>
    <v>Saint Louis</v>
    <v>d0a0dba1-e562-fee5-84d6-2f356eaa0fe3</v>
    <v>en-IN</v>
    <v>Map</v>
  </rv>
  <rv s="0">
    <v>536870912</v>
    <v>Anse aux Pins</v>
    <v>a916d846-fbee-0b9c-d9ee-dd4692f23771</v>
    <v>en-IN</v>
    <v>Map</v>
  </rv>
  <rv s="0">
    <v>536870912</v>
    <v>Anse Boileau</v>
    <v>5116d6e9-dfe9-3bc8-afd9-3e340b122891</v>
    <v>en-IN</v>
    <v>Map</v>
  </rv>
  <rv s="0">
    <v>536870912</v>
    <v>Anse Etoile</v>
    <v>9637b260-1d1a-215b-1a6f-c53c26c2f6a3</v>
    <v>en-IN</v>
    <v>Map</v>
  </rv>
  <rv s="0">
    <v>536870912</v>
    <v>Au Cap</v>
    <v>09a4fe1f-6895-97cb-440e-2401a22b8c8c</v>
    <v>en-IN</v>
    <v>Map</v>
  </rv>
  <rv s="0">
    <v>536870912</v>
    <v>Anse Royale</v>
    <v>e73216fd-8d69-dd96-beaf-1435086aead1</v>
    <v>en-IN</v>
    <v>Map</v>
  </rv>
  <rv s="0">
    <v>536870912</v>
    <v>Baie Lazare</v>
    <v>9541bf03-b038-b270-6118-dc714f32f008</v>
    <v>en-IN</v>
    <v>Map</v>
  </rv>
  <rv s="0">
    <v>536870912</v>
    <v>Beau Vallon</v>
    <v>a17a6c77-755a-8725-5022-5cc26b762c89</v>
    <v>en-IN</v>
    <v>Map</v>
  </rv>
  <rv s="0">
    <v>536870912</v>
    <v>Bel Ombre</v>
    <v>2c2f4200-45d7-7e9c-bdaf-312fa8f2aea3</v>
    <v>en-IN</v>
    <v>Map</v>
  </rv>
  <rv s="0">
    <v>536870912</v>
    <v>Cascade</v>
    <v>09a1d7d4-e49e-71be-d2ae-db520ec3cd0d</v>
    <v>en-IN</v>
    <v>Map</v>
  </rv>
  <rv s="0">
    <v>536870912</v>
    <v>Glacis</v>
    <v>c32ae8df-1e45-b167-67dc-cc954cc3fba6</v>
    <v>en-IN</v>
    <v>Map</v>
  </rv>
  <rv s="0">
    <v>536870912</v>
    <v>Grand'Anse Mahé</v>
    <v>1174b345-2bed-cf59-0822-8763981c46fb</v>
    <v>en-IN</v>
    <v>Map</v>
  </rv>
  <rv s="0">
    <v>536870912</v>
    <v>Pointe La Rue</v>
    <v>a165b555-c1f4-532b-3dfc-0a710fec98aa</v>
    <v>en-IN</v>
    <v>Map</v>
  </rv>
  <rv s="0">
    <v>536870912</v>
    <v>Port Glaud</v>
    <v>e48919e6-ccf5-033b-cdc2-6cf948dcbb7e</v>
    <v>en-IN</v>
    <v>Map</v>
  </rv>
  <rv s="0">
    <v>536870912</v>
    <v>Takamaka</v>
    <v>6e453608-ae0a-b342-f5ab-ce26f302bcd8</v>
    <v>en-IN</v>
    <v>Map</v>
  </rv>
  <rv s="0">
    <v>536870912</v>
    <v>Baie Saint Anne</v>
    <v>ad8766b0-6597-9be8-40b0-d55b2fe77246</v>
    <v>en-IN</v>
    <v>Map</v>
  </rv>
  <rv s="0">
    <v>536870912</v>
    <v>Grand'Anse Praslin</v>
    <v>9c29603b-c760-5e2d-3835-19d72d32a41c</v>
    <v>en-IN</v>
    <v>Map</v>
  </rv>
  <rv s="3">
    <v>288</v>
  </rv>
  <rv s="1">
    <fb>0.341163212544145</fb>
    <v>24</v>
  </rv>
  <rv s="1">
    <fb>55762</fb>
    <v>25</v>
  </rv>
  <rv s="86">
    <v>#VALUE!</v>
    <v>en-IN</v>
    <v>edbdad3e-b40e-62fd-849a-f3eaffadc75d</v>
    <v>536870912</v>
    <v>1</v>
    <v>866</v>
    <v>867</v>
    <v>Seychelles</v>
    <v>20</v>
    <v>21</v>
    <v>Map</v>
    <v>22</v>
    <v>868</v>
    <v>SC</v>
    <v>5363</v>
    <v>5364</v>
    <v>1633</v>
    <v>5365</v>
    <v>5366</v>
    <v>5367</v>
    <v>5368</v>
    <v>5369</v>
    <v>5370</v>
    <v>SCR</v>
    <v>Seychelles, officially the Republic of Seychelles, is an island country and archipelagic state consisting of 155 islands in the Indian Ocean. Its capital and largest city, Victoria, is 1,500 kilometres east of mainland Africa. Nearby island ...</v>
    <v>5371</v>
    <v>5372</v>
    <v>1004</v>
    <v>5373</v>
    <v>5374</v>
    <v>5375</v>
    <v>5376</v>
    <v>222</v>
    <v>5367</v>
    <v>5379</v>
    <v>5380</v>
    <v>5381</v>
    <v>5382</v>
    <v>2095</v>
    <v>2281</v>
    <v>Seychelles</v>
    <v>Koste Seselwa</v>
    <v>5383</v>
    <v>Repubblica delle Seychelles</v>
    <v>5384</v>
    <v>5385</v>
    <v>5386</v>
    <v>5387</v>
    <v>3038</v>
    <v>5388</v>
    <v>502</v>
    <v>2489</v>
    <v>890</v>
    <v>1981</v>
    <v>5413</v>
    <v>5414</v>
    <v>183</v>
    <v>Seychelles</v>
    <v>5415</v>
    <v>mdp/vdpid/208</v>
  </rv>
  <rv s="1">
    <fb>20.100000000000001</fb>
    <v>25</v>
  </rv>
  <rv s="2">
    <v>164</v>
    <v>22</v>
    <v>869</v>
    <v>7</v>
    <v>0</v>
    <v>Image of Victoria, Seychelles</v>
  </rv>
  <rv s="1">
    <fb>-4.6236111111111002</fb>
    <v>37</v>
  </rv>
  <rv s="0">
    <v>805306368</v>
    <v>David André (Mayor)</v>
    <v>93d2a6bc-7ccf-74c4-3052-83ab3174b10f</v>
    <v>en-IN</v>
    <v>Generic</v>
  </rv>
  <rv s="3">
    <v>289</v>
  </rv>
  <rv s="4">
    <v>https://www.bing.com/search?q=victoria+seychelles&amp;form=skydnc</v>
    <v>Learn more on Bing</v>
  </rv>
  <rv s="1">
    <fb>55.454444444444</fb>
    <v>37</v>
  </rv>
  <rv s="1">
    <fb>24701</fb>
    <v>25</v>
  </rv>
  <rv s="22">
    <v>#VALUE!</v>
    <v>en-IN</v>
    <v>775ad069-ad7c-7703-43b7-0fd25b36e04a</v>
    <v>536870912</v>
    <v>1</v>
    <v>870</v>
    <v>131</v>
    <v>Victoria, Seychelles</v>
    <v>20</v>
    <v>21</v>
    <v>Map</v>
    <v>22</v>
    <v>382</v>
    <v>5417</v>
    <v>5362</v>
    <v>Victoria is the capital and largest city of the Republic of Seychelles, situated on the north-eastern side of Mahé island, the archipelago's main island. The city was first established as the seat of the British colonial government. In 2010, the ...</v>
    <v>5418</v>
    <v>5419</v>
    <v>5421</v>
    <v>5422</v>
    <v>5423</v>
    <v>Victoria, Seychelles</v>
    <v>5424</v>
    <v>Victoria, Seychelles</v>
    <v>mdp/vdpid/8218957649929043969</v>
  </rv>
  <rv s="2">
    <v>163</v>
    <v>22</v>
    <v>863</v>
    <v>3</v>
    <v>0</v>
    <v>Image of Seychelles</v>
  </rv>
  <rv s="8">
    <v>en-IN</v>
    <v>avy8vh</v>
    <v>268435456</v>
    <v>1</v>
    <v>Powered by Refinitiv</v>
    <v>42</v>
    <v>AED/USD</v>
    <v>43</v>
    <v>62</v>
    <v>Finance</v>
    <v>45</v>
    <v>0.27239999999999998</v>
    <v>0.2722</v>
    <v>-6.9999999999999999E-6</v>
    <v>-2.5709999999999999E-5</v>
    <v>USD</v>
    <v>AED</v>
    <v>0.27229999999999999</v>
    <v>Currency Pair</v>
    <v>45957.216886574075</v>
    <v>0.27229999999999999</v>
    <v>UAE Dirham/US Dollar FX Cross Rate</v>
    <v>0.27229999999999999</v>
    <v>0.27229999999999999</v>
    <v>0.27229999999999999</v>
    <v>AEDUSD</v>
    <v>AED/USD</v>
  </rv>
  <rv s="9">
    <v>5427</v>
  </rv>
  <rv s="0">
    <v>536870912</v>
    <v>Sierra Leone</v>
    <v>41793478-51d5-adbf-c119-180944ed6ef5</v>
    <v>en-IN</v>
    <v>Map</v>
  </rv>
  <rv s="1">
    <fb>0.54710446106954802</fb>
    <v>24</v>
  </rv>
  <rv s="1">
    <fb>71740</fb>
    <v>25</v>
  </rv>
  <rv s="1">
    <fb>33.405999999999999</fb>
    <v>26</v>
  </rv>
  <rv s="1">
    <fb>232</fb>
    <v>27</v>
  </rv>
  <rv s="0">
    <v>536870912</v>
    <v>Freetown</v>
    <v>55165688-4d05-763a-a26e-f7e79cafa0da</v>
    <v>en-IN</v>
    <v>Map</v>
  </rv>
  <rv s="1">
    <fb>1092.7660000000001</fb>
    <v>25</v>
  </rv>
  <rv s="1">
    <fb>234.15870949074099</fb>
    <v>28</v>
  </rv>
  <rv s="1">
    <fb>0.148030585681759</fb>
    <v>24</v>
  </rv>
  <rv s="1">
    <fb>4.2629999999999999</fb>
    <v>26</v>
  </rv>
  <rv s="1">
    <fb>0.43053478770521603</fb>
    <v>24</v>
  </rv>
  <rv s="1">
    <fb>1.08</fb>
    <v>30</v>
  </rv>
  <rv s="1">
    <fb>3941474310.7691302</fb>
    <v>31</v>
  </rv>
  <rv s="1">
    <fb>1.1275457</fb>
    <v>24</v>
  </rv>
  <rv s="1">
    <fb>1.9587799999999999E-2</fb>
    <v>24</v>
  </rv>
  <rv s="2">
    <v>165</v>
    <v>22</v>
    <v>872</v>
    <v>7</v>
    <v>0</v>
    <v>Image of Sierra Leone</v>
  </rv>
  <rv s="1">
    <fb>78.5</fb>
    <v>29</v>
  </rv>
  <rv s="0">
    <v>805306368</v>
    <v>Julius Maada Bio (President)</v>
    <v>dba1e7bb-97c5-18a9-378b-8f97f7a20670</v>
    <v>en-IN</v>
    <v>Generic</v>
  </rv>
  <rv s="0">
    <v>805306368</v>
    <v>Mohamed Juldeh Jalloh (Vice president)</v>
    <v>c772cd24-8e86-0208-1402-c6235a4729a1</v>
    <v>en-IN</v>
    <v>Generic</v>
  </rv>
  <rv s="0">
    <v>805306368</v>
    <v>David Moinina Sengeh (Chief minister)</v>
    <v>e7e20cbf-f65b-4363-64a9-7cd634d44949</v>
    <v>en-IN</v>
    <v>Generic</v>
  </rv>
  <rv s="3">
    <v>290</v>
  </rv>
  <rv s="4">
    <v>https://www.bing.com/search?q=sierra+leone&amp;form=skydnc</v>
    <v>Learn more on Bing</v>
  </rv>
  <rv s="1">
    <fb>54.308999999999997</fb>
    <v>29</v>
  </rv>
  <rv s="1">
    <fb>1120</fb>
    <v>29</v>
  </rv>
  <rv s="1">
    <fb>0.56999999999999995</fb>
    <v>30</v>
  </rv>
  <rv s="1">
    <fb>0.38238115090000002</fb>
    <v>24</v>
  </rv>
  <rv s="1">
    <fb>2.5000000000000001E-2</fb>
    <v>26</v>
  </rv>
  <rv s="1">
    <fb>8605718</fb>
    <v>25</v>
  </rv>
  <rv s="1">
    <fb>0.29399999999999998</fb>
    <v>24</v>
  </rv>
  <rv s="1">
    <fb>0.57895999908447304</fb>
    <v>24</v>
  </rv>
  <rv s="0">
    <v>536870912</v>
    <v>Northern Province</v>
    <v>bd7b6207-d6cb-1c1f-6277-d09bea114dfb</v>
    <v>en-IN</v>
    <v>Map</v>
  </rv>
  <rv s="0">
    <v>536870912</v>
    <v>Southern Province</v>
    <v>2f3c9dcb-0cd5-6744-49b4-b8117e86218c</v>
    <v>en-IN</v>
    <v>Map</v>
  </rv>
  <rv s="0">
    <v>536870912</v>
    <v>Eastern Province</v>
    <v>afd79e24-2e3a-f3e5-34e1-a805620bfd76</v>
    <v>en-IN</v>
    <v>Map</v>
  </rv>
  <rv s="0">
    <v>536870912</v>
    <v>Western Area</v>
    <v>97c4bd99-40a7-27ce-e2dd-0f1433b76c55</v>
    <v>en-IN</v>
    <v>Map</v>
  </rv>
  <rv s="3">
    <v>291</v>
  </rv>
  <rv s="1">
    <fb>8.5952159824142504E-2</fb>
    <v>24</v>
  </rv>
  <rv s="1">
    <fb>0.307</fb>
    <v>24</v>
  </rv>
  <rv s="1">
    <fb>4.4279999732971198E-2</fb>
    <v>32</v>
  </rv>
  <rv s="1">
    <fb>3319366</fb>
    <v>25</v>
  </rv>
  <rv s="36">
    <v>#VALUE!</v>
    <v>en-IN</v>
    <v>41793478-51d5-adbf-c119-180944ed6ef5</v>
    <v>536870912</v>
    <v>1</v>
    <v>875</v>
    <v>231</v>
    <v>Sierra Leone</v>
    <v>20</v>
    <v>21</v>
    <v>Map</v>
    <v>22</v>
    <v>876</v>
    <v>SL</v>
    <v>5430</v>
    <v>5431</v>
    <v>380</v>
    <v>5432</v>
    <v>5433</v>
    <v>5434</v>
    <v>5435</v>
    <v>5436</v>
    <v>5437</v>
    <v>SLE</v>
    <v>Sierra Leone, officially the Republic of Sierra Leone, is a country on the southwest coast of West Africa. It shares its southeastern border with Liberia, and the northern half of the nation is surrounded by Guinea. Covering a total area of ...</v>
    <v>5438</v>
    <v>5439</v>
    <v>5440</v>
    <v>5441</v>
    <v>5442</v>
    <v>5443</v>
    <v>5444</v>
    <v>5445</v>
    <v>5434</v>
    <v>5449</v>
    <v>5450</v>
    <v>5451</v>
    <v>5452</v>
    <v>5453</v>
    <v>Sierra Leone</v>
    <v>High We Exalt Thee, Realm of the Free</v>
    <v>1974</v>
    <v>Repubblica della Sierra Leone</v>
    <v>5454</v>
    <v>5455</v>
    <v>5456</v>
    <v>1231</v>
    <v>5457</v>
    <v>501</v>
    <v>2103</v>
    <v>413</v>
    <v>1310</v>
    <v>1237</v>
    <v>5458</v>
    <v>5463</v>
    <v>5464</v>
    <v>5465</v>
    <v>5466</v>
    <v>Sierra Leone</v>
    <v>5467</v>
    <v>mdp/vdpid/213</v>
  </rv>
  <rv s="1">
    <fb>357</fb>
    <v>25</v>
  </rv>
  <rv s="2">
    <v>166</v>
    <v>22</v>
    <v>878</v>
    <v>7</v>
    <v>0</v>
    <v>Image of Freetown</v>
  </rv>
  <rv s="1">
    <fb>8.4833333333333005</fb>
    <v>37</v>
  </rv>
  <rv s="0">
    <v>805306368</v>
    <v>Yvonne Aki-Sawyerr (Mayor)</v>
    <v>7aff7b80-71ef-b90b-75c8-0188a4853607</v>
    <v>en-IN</v>
    <v>Generic</v>
  </rv>
  <rv s="3">
    <v>292</v>
  </rv>
  <rv s="4">
    <v>https://www.bing.com/search?q=freetown&amp;form=skydnc</v>
    <v>Learn more on Bing</v>
  </rv>
  <rv s="1">
    <fb>-13.233055555556</fb>
    <v>37</v>
  </rv>
  <rv s="1">
    <fb>1055964</fb>
    <v>25</v>
  </rv>
  <rv s="14">
    <v>#VALUE!</v>
    <v>en-IN</v>
    <v>55165688-4d05-763a-a26e-f7e79cafa0da</v>
    <v>536870912</v>
    <v>1</v>
    <v>879</v>
    <v>82</v>
    <v>Freetown</v>
    <v>20</v>
    <v>21</v>
    <v>Map</v>
    <v>22</v>
    <v>153</v>
    <v>5462</v>
    <v>5469</v>
    <v>5429</v>
    <v>Freetown is the capital and largest city of Sierra Leone. It is a major port city on the Atlantic Ocean and is located in the Western Area of the country. Freetown is Sierra Leone's major urban, economic, financial, cultural, educational and ...</v>
    <v>5470</v>
    <v>5471</v>
    <v>5473</v>
    <v>5474</v>
    <v>5475</v>
    <v>Freetown</v>
    <v>5476</v>
    <v>Freetown</v>
    <v>mdp/vdpid/5749818884106485761</v>
  </rv>
  <rv s="2">
    <v>165</v>
    <v>22</v>
    <v>872</v>
    <v>3</v>
    <v>0</v>
    <v>Image of Sierra Leone</v>
  </rv>
  <rv s="8">
    <v>en-IN</v>
    <v>avykpr</v>
    <v>268435456</v>
    <v>1</v>
    <v>Powered by Refinitiv</v>
    <v>42</v>
    <v>USD/BHD</v>
    <v>43</v>
    <v>880</v>
    <v>Finance</v>
    <v>45</v>
    <v>0.37740000000000001</v>
    <v>0.37619999999999998</v>
    <v>0</v>
    <v>0</v>
    <v>BHD</v>
    <v>USD</v>
    <v>0.377</v>
    <v>Currency Pair</v>
    <v>45957.217731481483</v>
    <v>0.377</v>
    <v>US Dollar/Bahraini Dinar FX Spot Rate</v>
    <v>0.377</v>
    <v>0.377</v>
    <v>0.377</v>
    <v>USDBHD</v>
    <v>USD/BHD</v>
  </rv>
  <rv s="9">
    <v>5479</v>
  </rv>
  <rv s="0">
    <v>536870912</v>
    <v>Singapore</v>
    <v>f5ffb882-7230-f3fe-7141-cde5f4b5ed1a</v>
    <v>en-IN</v>
    <v>Map</v>
  </rv>
  <rv s="1">
    <fb>9.3088859241440211E-3</fb>
    <v>24</v>
  </rv>
  <rv s="1">
    <fb>719.1</fb>
    <v>25</v>
  </rv>
  <rv s="1">
    <fb>81000</fb>
    <v>25</v>
  </rv>
  <rv s="1">
    <fb>8.8000000000000007</fb>
    <v>26</v>
  </rv>
  <rv s="1">
    <fb>65</fb>
    <v>27</v>
  </rv>
  <rv s="0">
    <v>536870912</v>
    <v>Singapore</v>
    <v>bc4c8e45-2078-1a1c-ec5f-c53a31c59378</v>
    <v>en-IN</v>
    <v>Map</v>
  </rv>
  <rv s="1">
    <fb>37535.411999999997</fb>
    <v>25</v>
  </rv>
  <rv s="1">
    <fb>114.40578588194499</fb>
    <v>28</v>
  </rv>
  <rv s="1">
    <fb>5.6526056878035804E-3</fb>
    <v>24</v>
  </rv>
  <rv s="1">
    <fb>8844.6875930120095</fb>
    <v>25</v>
  </rv>
  <rv s="1">
    <fb>1.1399999999999999</fb>
    <v>26</v>
  </rv>
  <rv s="1">
    <fb>0.23060648842866199</fb>
    <v>24</v>
  </rv>
  <rv s="1">
    <fb>90.578873580503199</fb>
    <v>29</v>
  </rv>
  <rv s="1">
    <fb>1.25</fb>
    <v>30</v>
  </rv>
  <rv s="1">
    <fb>372062527488.638</fb>
    <v>31</v>
  </rv>
  <rv s="1">
    <fb>1.0062694999999999</fb>
    <v>24</v>
  </rv>
  <rv s="1">
    <fb>0.8479291000000001</fb>
    <v>24</v>
  </rv>
  <rv s="2">
    <v>167</v>
    <v>22</v>
    <v>882</v>
    <v>7</v>
    <v>0</v>
    <v>Image of Singapore</v>
  </rv>
  <rv s="0">
    <v>805306368</v>
    <v>Tharman Shanmugaratnam (President)</v>
    <v>98678290-c25c-ece2-19bf-1b9d4e19eff5</v>
    <v>en-IN</v>
    <v>Generic</v>
  </rv>
  <rv s="0">
    <v>805306368</v>
    <v>Lee Hsien Loong (Prime minister)</v>
    <v>a1036a81-858a-b9b5-05e7-b0d5b1f8d37d</v>
    <v>en-IN</v>
    <v>Generic</v>
  </rv>
  <rv s="3">
    <v>293</v>
  </rv>
  <rv s="4">
    <v>https://www.bing.com/search?q=singapore&amp;form=skydnc</v>
    <v>Learn more on Bing</v>
  </rv>
  <rv s="1">
    <fb>83.146341463414601</fb>
    <v>29</v>
  </rv>
  <rv s="1">
    <fb>697271330000</fb>
    <v>31</v>
  </rv>
  <rv s="3">
    <v>294</v>
  </rv>
  <rv s="1">
    <fb>0.367371636</fb>
    <v>24</v>
  </rv>
  <rv s="1">
    <fb>2.2936000000000001</fb>
    <v>26</v>
  </rv>
  <rv s="1">
    <fb>5637022</fb>
    <v>25</v>
  </rv>
  <rv s="1">
    <fb>0.70538002014160195</fb>
    <v>24</v>
  </rv>
  <rv s="1">
    <fb>0.131417170586072</fb>
    <v>24</v>
  </rv>
  <rv s="3">
    <v>295</v>
  </rv>
  <rv s="1">
    <fb>4.1090002059936494E-2</fb>
    <v>32</v>
  </rv>
  <rv s="1">
    <fb>5703569</fb>
    <v>25</v>
  </rv>
  <rv s="87">
    <v>#VALUE!</v>
    <v>en-IN</v>
    <v>f5ffb882-7230-f3fe-7141-cde5f4b5ed1a</v>
    <v>536870912</v>
    <v>1</v>
    <v>885</v>
    <v>886</v>
    <v>Singapore</v>
    <v>20</v>
    <v>21</v>
    <v>Map</v>
    <v>22</v>
    <v>887</v>
    <v>SG</v>
    <v>5482</v>
    <v>5483</v>
    <v>5484</v>
    <v>5485</v>
    <v>5486</v>
    <v>5487</v>
    <v>5488</v>
    <v>5489</v>
    <v>5490</v>
    <v>SGD</v>
    <v>Singapore, officially the Republic of Singapore, is an island country and city-state in maritime Southeast Asia. It is located about one degree of latitude north of the equator, off the southern tip of the Malay Peninsula, bordering the Strait ...</v>
    <v>5491</v>
    <v>5492</v>
    <v>5493</v>
    <v>5494</v>
    <v>5495</v>
    <v>5496</v>
    <v>5497</v>
    <v>5498</v>
    <v>5499</v>
    <v>2795</v>
    <v>5502</v>
    <v>5503</v>
    <v>5504</v>
    <v>5505</v>
    <v>1778</v>
    <v>Singapore</v>
    <v>Majulah Singapura</v>
    <v>5506</v>
    <v>Republic of Singapore</v>
    <v>5507</v>
    <v>5508</v>
    <v>5509</v>
    <v>5510</v>
    <v>5511</v>
    <v>5512</v>
    <v>1231</v>
    <v>5513</v>
    <v>Singapore</v>
    <v>5514</v>
    <v>mdp/vdpid/215</v>
  </rv>
  <rv s="2">
    <v>167</v>
    <v>22</v>
    <v>882</v>
    <v>3</v>
    <v>0</v>
    <v>Image of Singapore</v>
  </rv>
  <rv s="8">
    <v>en-IN</v>
    <v>auyo3m</v>
    <v>268435456</v>
    <v>1</v>
    <v>Powered by Refinitiv</v>
    <v>42</v>
    <v>BHD/USD</v>
    <v>43</v>
    <v>62</v>
    <v>Finance</v>
    <v>45</v>
    <v>2.6534</v>
    <v>2.6478000000000002</v>
    <v>0</v>
    <v>0</v>
    <v>USD</v>
    <v>BHD</v>
    <v>2.6526000000000001</v>
    <v>Currency Pair</v>
    <v>45957.217731481483</v>
    <v>2.6526999999999998</v>
    <v>Bahraini Dinar/US Dollar FX Cross Rate</v>
    <v>2.6524999999999999</v>
    <v>2.6524999999999999</v>
    <v>2.6524999999999999</v>
    <v>BHDUSD</v>
    <v>BHD/USD</v>
  </rv>
  <rv s="9">
    <v>5517</v>
  </rv>
  <rv s="0">
    <v>536870912</v>
    <v>Slovakia</v>
    <v>edb4720a-f85f-2ef3-4669-e9de895513b0</v>
    <v>en-IN</v>
    <v>Map</v>
  </rv>
  <rv s="1">
    <fb>0.39226289517470903</fb>
    <v>24</v>
  </rv>
  <rv s="1">
    <fb>49035</fb>
    <v>25</v>
  </rv>
  <rv s="1">
    <fb>10.6</fb>
    <v>26</v>
  </rv>
  <rv s="1">
    <fb>421</fb>
    <v>27</v>
  </rv>
  <rv s="0">
    <v>536870912</v>
    <v>Bratislava</v>
    <v>58b70fde-dfcf-1beb-05ed-c5baeec68486</v>
    <v>en-IN</v>
    <v>Map</v>
  </rv>
  <rv s="1">
    <fb>32423.614000000001</fb>
    <v>25</v>
  </rv>
  <rv s="1">
    <fb>115.338987748767</fb>
    <v>28</v>
  </rv>
  <rv s="1">
    <fb>2.6645613342544297E-2</fb>
    <v>24</v>
  </rv>
  <rv s="1">
    <fb>5137.0738351939799</fb>
    <v>25</v>
  </rv>
  <rv s="1">
    <fb>1.52</fb>
    <v>26</v>
  </rv>
  <rv s="1">
    <fb>0.40353576355488302</fb>
    <v>24</v>
  </rv>
  <rv s="1">
    <fb>64.091495098880202</fb>
    <v>29</v>
  </rv>
  <rv s="1">
    <fb>1.32</fb>
    <v>30</v>
  </rv>
  <rv s="1">
    <fb>105422304975.576</fb>
    <v>31</v>
  </rv>
  <rv s="1">
    <fb>0.98732050000000005</fb>
    <v>24</v>
  </rv>
  <rv s="1">
    <fb>0.46634390000000003</fb>
    <v>24</v>
  </rv>
  <rv s="2">
    <v>168</v>
    <v>22</v>
    <v>889</v>
    <v>7</v>
    <v>0</v>
    <v>Image of Slovakia</v>
  </rv>
  <rv s="1">
    <fb>4.5999999999999996</fb>
    <v>29</v>
  </rv>
  <rv s="0">
    <v>805306368</v>
    <v>Zuzana Čaputová (President)</v>
    <v>9d2029cc-0721-952f-3d48-6d6a36bb8f47</v>
    <v>en-IN</v>
    <v>Generic</v>
  </rv>
  <rv s="0">
    <v>805306368</v>
    <v>Ľudovít Ódor (Prime minister)</v>
    <v>b183191b-7267-f81d-1609-e1a908e4d7ee</v>
    <v>en-IN</v>
    <v>Generic</v>
  </rv>
  <rv s="3">
    <v>296</v>
  </rv>
  <rv s="4">
    <v>https://www.bing.com/search?q=slovakia&amp;form=skydnc</v>
    <v>Learn more on Bing</v>
  </rv>
  <rv s="1">
    <fb>77.165853658536605</fb>
    <v>29</v>
  </rv>
  <rv s="1">
    <fb>4801320000</fb>
    <v>31</v>
  </rv>
  <rv s="1">
    <fb>3.11</fb>
    <v>30</v>
  </rv>
  <rv s="3">
    <v>297</v>
  </rv>
  <rv s="1">
    <fb>0.18443573520000001</fb>
    <v>24</v>
  </rv>
  <rv s="1">
    <fb>3.4156</fb>
    <v>26</v>
  </rv>
  <rv s="1">
    <fb>5431752</fb>
    <v>25</v>
  </rv>
  <rv s="1">
    <fb>0.23199999999999998</fb>
    <v>24</v>
  </rv>
  <rv s="1">
    <fb>0.19899999999999998</fb>
    <v>24</v>
  </rv>
  <rv s="1">
    <fb>0.34</fb>
    <v>24</v>
  </rv>
  <rv s="1">
    <fb>8.6999999999999994E-2</fb>
    <v>24</v>
  </rv>
  <rv s="1">
    <fb>0.151</fb>
    <v>24</v>
  </rv>
  <rv s="1">
    <fb>0.19</fb>
    <v>24</v>
  </rv>
  <rv s="1">
    <fb>0.59541000366210906</fb>
    <v>24</v>
  </rv>
  <rv s="0">
    <v>536870912</v>
    <v>Bratislava Region</v>
    <v>e637bf19-eeaa-4459-9caf-f56123dbf175</v>
    <v>en-IN</v>
    <v>Map</v>
  </rv>
  <rv s="0">
    <v>536870912</v>
    <v>Trnava Region</v>
    <v>4f2bb7cb-6583-4c39-9bf0-d4e3bb63dc18</v>
    <v>en-IN</v>
    <v>Map</v>
  </rv>
  <rv s="0">
    <v>536870912</v>
    <v>Nitra Region</v>
    <v>d1ead58e-466d-468e-a927-7b14d511bee9</v>
    <v>en-IN</v>
    <v>Map</v>
  </rv>
  <rv s="0">
    <v>536870912</v>
    <v>Trenčín Region</v>
    <v>20297534-639a-464f-90d3-81da4026bd2b</v>
    <v>en-IN</v>
    <v>Map</v>
  </rv>
  <rv s="0">
    <v>536870912</v>
    <v>Žilina Region</v>
    <v>712f0aa7-5c71-4ca0-b231-743ce5252eb2</v>
    <v>en-IN</v>
    <v>Map</v>
  </rv>
  <rv s="0">
    <v>536870912</v>
    <v>Banská Bystrica Region</v>
    <v>2e442f08-059f-48a2-8f6e-cbe382c50935</v>
    <v>en-IN</v>
    <v>Map</v>
  </rv>
  <rv s="0">
    <v>536870912</v>
    <v>Košice Region</v>
    <v>d93306fe-d07e-40fc-876e-e0ebf15d5b24</v>
    <v>en-IN</v>
    <v>Map</v>
  </rv>
  <rv s="0">
    <v>536870912</v>
    <v>Prešov Region</v>
    <v>9ed1d64f-c597-423c-8a57-6c255167c0ef</v>
    <v>en-IN</v>
    <v>Map</v>
  </rv>
  <rv s="3">
    <v>298</v>
  </rv>
  <rv s="1">
    <fb>0.18701973520562698</fb>
    <v>24</v>
  </rv>
  <rv s="1">
    <fb>5.56099987030029E-2</fb>
    <v>32</v>
  </rv>
  <rv s="1">
    <fb>2930419</fb>
    <v>25</v>
  </rv>
  <rv s="5">
    <v>#VALUE!</v>
    <v>en-IN</v>
    <v>edb4720a-f85f-2ef3-4669-e9de895513b0</v>
    <v>536870912</v>
    <v>1</v>
    <v>892</v>
    <v>18</v>
    <v>Slovakia</v>
    <v>20</v>
    <v>21</v>
    <v>Map</v>
    <v>22</v>
    <v>893</v>
    <v>SK</v>
    <v>5520</v>
    <v>5521</v>
    <v>3088</v>
    <v>5522</v>
    <v>5523</v>
    <v>5524</v>
    <v>5525</v>
    <v>5526</v>
    <v>5527</v>
    <v>EUR</v>
    <v>Slovakia, officially the Slovak Republic, is a landlocked country in Central Europe. It is bordered by Poland to the north, Ukraine to the east, Hungary to the south, Austria to the west, and the Czech Republic to the northwest. Slovakia's ...</v>
    <v>5528</v>
    <v>5529</v>
    <v>5530</v>
    <v>5531</v>
    <v>5532</v>
    <v>5533</v>
    <v>5534</v>
    <v>5535</v>
    <v>5536</v>
    <v>5537</v>
    <v>5524</v>
    <v>5540</v>
    <v>5541</v>
    <v>5542</v>
    <v>5543</v>
    <v>403</v>
    <v>5544</v>
    <v>Slovakia</v>
    <v>Nad Tatrou sa blýska</v>
    <v>5545</v>
    <v>Slovenská republika</v>
    <v>5546</v>
    <v>5547</v>
    <v>5548</v>
    <v>5549</v>
    <v>5550</v>
    <v>5551</v>
    <v>709</v>
    <v>5552</v>
    <v>5553</v>
    <v>5554</v>
    <v>5555</v>
    <v>5564</v>
    <v>5565</v>
    <v>1074</v>
    <v>79</v>
    <v>5566</v>
    <v>Slovakia</v>
    <v>5567</v>
    <v>mdp/vdpid/143</v>
  </rv>
  <rv s="1">
    <fb>367.6</fb>
    <v>25</v>
  </rv>
  <rv s="0">
    <v>536870912</v>
    <v>Austria-Hungary</v>
    <v>09b8630d-3ac1-93e8-a27e-b8a55de26a17</v>
    <v>en-IN</v>
    <v>Map</v>
  </rv>
  <rv s="2">
    <v>169</v>
    <v>22</v>
    <v>894</v>
    <v>7</v>
    <v>0</v>
    <v>Image of Bratislava</v>
  </rv>
  <rv s="1">
    <fb>48.144722222222001</fb>
    <v>37</v>
  </rv>
  <rv s="0">
    <v>805306368</v>
    <v>Matúš Vallo (Mayor)</v>
    <v>219049a6-8e4d-2d89-06a4-be9a2a5d04c8</v>
    <v>en-IN</v>
    <v>Generic</v>
  </rv>
  <rv s="3">
    <v>299</v>
  </rv>
  <rv s="4">
    <v>https://www.bing.com/search?q=bratislava&amp;form=skydnc</v>
    <v>Learn more on Bing</v>
  </rv>
  <rv s="1">
    <fb>17.112777777778</fb>
    <v>37</v>
  </rv>
  <rv s="1">
    <fb>475503</fb>
    <v>25</v>
  </rv>
  <rv s="21">
    <v>#VALUE!</v>
    <v>en-IN</v>
    <v>58b70fde-dfcf-1beb-05ed-c5baeec68486</v>
    <v>536870912</v>
    <v>1</v>
    <v>895</v>
    <v>120</v>
    <v>Bratislava</v>
    <v>20</v>
    <v>21</v>
    <v>Map</v>
    <v>22</v>
    <v>362</v>
    <v>5556</v>
    <v>5556</v>
    <v>5569</v>
    <v>5570</v>
    <v>Bratislava, historically known as Preßburg, is the capital and largest city of Slovakia. Officially, the population of the city is about 475,000; however, it is estimated to be more than 660,000—approximately 140% of the official figures. ...</v>
    <v>5571</v>
    <v>5572</v>
    <v>5574</v>
    <v>5575</v>
    <v>5576</v>
    <v>Bratislava</v>
    <v>5577</v>
    <v>Bratislava</v>
    <v>mdp/vdpid/7023742287930720257</v>
  </rv>
  <rv s="2">
    <v>168</v>
    <v>22</v>
    <v>889</v>
    <v>3</v>
    <v>0</v>
    <v>Image of Slovakia</v>
  </rv>
  <rv s="8">
    <v>en-IN</v>
    <v>avyopr</v>
    <v>268435456</v>
    <v>1</v>
    <v>Powered by Refinitiv</v>
    <v>42</v>
    <v>USD/JOD</v>
    <v>43</v>
    <v>896</v>
    <v>Finance</v>
    <v>45</v>
    <v>0.70989999999999998</v>
    <v>0.70650000000000002</v>
    <v>0</v>
    <v>0</v>
    <v>JOD</v>
    <v>USD</v>
    <v>0.70820000000000005</v>
    <v>Currency Pair</v>
    <v>45957.21775462963</v>
    <v>0.70899999999999996</v>
    <v>US Dollar/Jordanian Dinar FX Spot Rate</v>
    <v>0.70799999999999996</v>
    <v>0.70799999999999996</v>
    <v>0.70799999999999996</v>
    <v>USDJOD</v>
    <v>USD/JOD</v>
  </rv>
  <rv s="9">
    <v>5580</v>
  </rv>
  <rv s="0">
    <v>536870912</v>
    <v>Slovenia</v>
    <v>4982784a-4967-52d1-c08e-ffd0f091566e</v>
    <v>en-IN</v>
    <v>Map</v>
  </rv>
  <rv s="1">
    <fb>0.30656339759590101</fb>
    <v>24</v>
  </rv>
  <rv s="1">
    <fb>20271</fb>
    <v>25</v>
  </rv>
  <rv s="1">
    <fb>9.4</fb>
    <v>26</v>
  </rv>
  <rv s="1">
    <fb>386</fb>
    <v>27</v>
  </rv>
  <rv s="0">
    <v>536870912</v>
    <v>Ljubljana</v>
    <v>692acddf-5ab9-3bdd-6312-19b898edc3c2</v>
    <v>en-IN</v>
    <v>Map</v>
  </rv>
  <rv s="1">
    <fb>12632.815000000001</fb>
    <v>25</v>
  </rv>
  <rv s="1">
    <fb>111.051074912815</fb>
    <v>28</v>
  </rv>
  <rv s="1">
    <fb>1.6305226075433801E-2</fb>
    <v>24</v>
  </rv>
  <rv s="1">
    <fb>6727.9993016421104</fb>
    <v>25</v>
  </rv>
  <rv s="1">
    <fb>0.61970011986429907</fb>
    <v>24</v>
  </rv>
  <rv s="1">
    <fb>61.114199486891998</fb>
    <v>29</v>
  </rv>
  <rv s="1">
    <fb>53742159516.927803</fb>
    <v>31</v>
  </rv>
  <rv s="1">
    <fb>1.0039673999999998</fb>
    <v>24</v>
  </rv>
  <rv s="1">
    <fb>0.78588999999999998</fb>
    <v>24</v>
  </rv>
  <rv s="2">
    <v>170</v>
    <v>22</v>
    <v>898</v>
    <v>7</v>
    <v>0</v>
    <v>Image of Slovenia</v>
  </rv>
  <rv s="0">
    <v>805306368</v>
    <v>Nataša Pirc Musar (President)</v>
    <v>d6e983fd-ed88-47fa-3eaf-3d59eb5d7466</v>
    <v>en-IN</v>
    <v>Generic</v>
  </rv>
  <rv s="0">
    <v>805306368</v>
    <v>Robert Golob (Prime minister)</v>
    <v>520708e8-d129-bc6f-c374-2d90c03e2703</v>
    <v>en-IN</v>
    <v>Generic</v>
  </rv>
  <rv s="3">
    <v>300</v>
  </rv>
  <rv s="4">
    <v>https://www.bing.com/search?q=slovenia&amp;form=skydnc</v>
    <v>Learn more on Bing</v>
  </rv>
  <rv s="1">
    <fb>81.0292682926829</fb>
    <v>29</v>
  </rv>
  <rv s="1">
    <fb>7923300000</fb>
    <v>31</v>
  </rv>
  <rv s="1">
    <fb>7</fb>
    <v>29</v>
  </rv>
  <rv s="1">
    <fb>5.25</fb>
    <v>30</v>
  </rv>
  <rv s="3">
    <v>301</v>
  </rv>
  <rv s="1">
    <fb>0.125241191</fb>
    <v>24</v>
  </rv>
  <rv s="1">
    <fb>3.0861000000000001</fb>
    <v>26</v>
  </rv>
  <rv s="1">
    <fb>2108732</fb>
    <v>25</v>
  </rv>
  <rv s="1">
    <fb>0.34399999999999997</fb>
    <v>24</v>
  </rv>
  <rv s="1">
    <fb>4.0999999999999995E-2</fb>
    <v>24</v>
  </rv>
  <rv s="1">
    <fb>0.183</fb>
    <v>24</v>
  </rv>
  <rv s="1">
    <fb>0.58361000061035195</fb>
    <v>24</v>
  </rv>
  <rv s="0">
    <v>536870912</v>
    <v>Ajdovščina Municipality</v>
    <v>e8ff9634-75bc-4bdf-b721-48a5c99cb8e7</v>
    <v>en-IN</v>
    <v>Map</v>
  </rv>
  <rv s="0">
    <v>536870912</v>
    <v>Municipality of Beltinci</v>
    <v>9bef4396-7834-4e89-8a71-3735c39c837c</v>
    <v>en-IN</v>
    <v>Map</v>
  </rv>
  <rv s="0">
    <v>536870912</v>
    <v>Municipality of Bled</v>
    <v>d22f33ac-dfad-42d4-96a3-6c14611c338e</v>
    <v>en-IN</v>
    <v>Map</v>
  </rv>
  <rv s="0">
    <v>536870912</v>
    <v>Bohinj Municipality</v>
    <v>70a7ae97-dd74-45bf-ad1e-f34e0c54d3da</v>
    <v>en-IN</v>
    <v>Map</v>
  </rv>
  <rv s="0">
    <v>536870912</v>
    <v>Municipality of Bovec</v>
    <v>3dbad65b-0a46-b2fe-4229-cd346b82cfe8</v>
    <v>en-IN</v>
    <v>Map</v>
  </rv>
  <rv s="0">
    <v>536870912</v>
    <v>Municipality of Brda</v>
    <v>8706e65c-319b-4d94-4a64-e8a1f09ca2fa</v>
    <v>en-IN</v>
    <v>Map</v>
  </rv>
  <rv s="0">
    <v>536870912</v>
    <v>Municipality of Brezovica</v>
    <v>4b143cea-bac0-dee4-b861-8e14139e781e</v>
    <v>en-IN</v>
    <v>Map</v>
  </rv>
  <rv s="0">
    <v>536870912</v>
    <v>Municipality of Brežice</v>
    <v>8535b92e-e877-460a-af8f-6671983c8c81</v>
    <v>en-IN</v>
    <v>Map</v>
  </rv>
  <rv s="0">
    <v>536870912</v>
    <v>City Municipality of Celje</v>
    <v>5448cb43-700f-4546-8569-ad374b1c670b</v>
    <v>en-IN</v>
    <v>Map</v>
  </rv>
  <rv s="0">
    <v>536870912</v>
    <v>Municipality of Črenšovci</v>
    <v>5daa3032-e789-47e1-ab7c-d1d07e94ebc3</v>
    <v>en-IN</v>
    <v>Map</v>
  </rv>
  <rv s="0">
    <v>536870912</v>
    <v>Municipality of Destrnik</v>
    <v>872cd5ee-f057-44f0-897a-1fa370dc1d57</v>
    <v>en-IN</v>
    <v>Map</v>
  </rv>
  <rv s="0">
    <v>536870912</v>
    <v>Municipality of Divača</v>
    <v>cc9661a9-2ecf-4c19-9afd-afafee80f680</v>
    <v>en-IN</v>
    <v>Map</v>
  </rv>
  <rv s="0">
    <v>536870912</v>
    <v>Municipality of Dobrepolje</v>
    <v>9445b929-d2c6-6874-ec87-29f93f7564dc</v>
    <v>en-IN</v>
    <v>Map</v>
  </rv>
  <rv s="0">
    <v>536870912</v>
    <v>Municipality of Dobrova–Polhov Gradec</v>
    <v>a41dfdc8-e1bd-4d23-a960-8e5a1d077f02</v>
    <v>en-IN</v>
    <v>Map</v>
  </rv>
  <rv s="0">
    <v>536870912</v>
    <v>Municipality of Dol pri Ljubljani</v>
    <v>477a8d0d-8575-4212-be19-783c6ad90b05</v>
    <v>en-IN</v>
    <v>Map</v>
  </rv>
  <rv s="0">
    <v>536870912</v>
    <v>Municipality of Duplek</v>
    <v>ce314c0f-8d0c-2ef8-d81d-f76a543937ff</v>
    <v>en-IN</v>
    <v>Map</v>
  </rv>
  <rv s="0">
    <v>536870912</v>
    <v>Municipality of Gorenja Vas–Poljane</v>
    <v>82a5c332-c591-1246-be55-faf20094676e</v>
    <v>en-IN</v>
    <v>Map</v>
  </rv>
  <rv s="0">
    <v>536870912</v>
    <v>Municipality of Gorišnica</v>
    <v>778dee11-22c3-cab7-0ece-21d7c8d8c0b5</v>
    <v>en-IN</v>
    <v>Map</v>
  </rv>
  <rv s="0">
    <v>536870912</v>
    <v>Municipality of Gornji Grad</v>
    <v>d38afdb1-5bd4-4ab1-8d8f-fef8042cb7b1</v>
    <v>en-IN</v>
    <v>Map</v>
  </rv>
  <rv s="0">
    <v>536870912</v>
    <v>Municipality of Gornji Petrovci</v>
    <v>7234f13b-e596-4f77-b637-9fbdf41fa328</v>
    <v>en-IN</v>
    <v>Map</v>
  </rv>
  <rv s="0">
    <v>536870912</v>
    <v>Municipality of Grosuplje</v>
    <v>24c6acfb-3390-4af4-982d-6b58e1fe3afe</v>
    <v>en-IN</v>
    <v>Map</v>
  </rv>
  <rv s="0">
    <v>536870912</v>
    <v>Hrastnik Municipality</v>
    <v>94e901c0-a700-44c1-8134-b4212b6f6967</v>
    <v>en-IN</v>
    <v>Map</v>
  </rv>
  <rv s="0">
    <v>536870912</v>
    <v>Municipality of Hrpelje-Kozina</v>
    <v>829ee96f-2640-1af6-c541-7be0ed0c63ef</v>
    <v>en-IN</v>
    <v>Map</v>
  </rv>
  <rv s="0">
    <v>536870912</v>
    <v>Ig Municipality</v>
    <v>f670f221-cd60-a73f-d01a-d77448677c41</v>
    <v>en-IN</v>
    <v>Map</v>
  </rv>
  <rv s="0">
    <v>536870912</v>
    <v>Municipality of Ilirska Bistrica</v>
    <v>0012cd22-ec2f-44ff-a277-0a9209b17616</v>
    <v>en-IN</v>
    <v>Map</v>
  </rv>
  <rv s="0">
    <v>536870912</v>
    <v>Municipality of Jesenice</v>
    <v>c4918381-5682-414f-bd5d-e1a6f7c3ebb6</v>
    <v>en-IN</v>
    <v>Map</v>
  </rv>
  <rv s="0">
    <v>536870912</v>
    <v>Municipality of Kidričevo</v>
    <v>95d831e0-4a31-4e9b-9b80-c894da1ae7db</v>
    <v>en-IN</v>
    <v>Map</v>
  </rv>
  <rv s="0">
    <v>536870912</v>
    <v>Kobarid Municipality</v>
    <v>2a4cba2d-bf96-465f-9bb3-73b091cfc4bc</v>
    <v>en-IN</v>
    <v>Map</v>
  </rv>
  <rv s="0">
    <v>536870912</v>
    <v>Komen Municipality</v>
    <v>9df8677d-7209-b583-b423-55b3d8997b6b</v>
    <v>en-IN</v>
    <v>Map</v>
  </rv>
  <rv s="0">
    <v>536870912</v>
    <v>City Municipality of Koper</v>
    <v>d3de7f6d-7925-e2c1-7187-80b51ad55eb9</v>
    <v>en-IN</v>
    <v>Map</v>
  </rv>
  <rv s="0">
    <v>536870912</v>
    <v>City Municipality of Kranj</v>
    <v>d7eafa53-5595-f433-f879-e6844c650c86</v>
    <v>en-IN</v>
    <v>Map</v>
  </rv>
  <rv s="0">
    <v>536870912</v>
    <v>Municipality of Kranjska Gora</v>
    <v>d92d5871-12c7-4959-9a58-8018c2c67df3</v>
    <v>en-IN</v>
    <v>Map</v>
  </rv>
  <rv s="0">
    <v>536870912</v>
    <v>Municipality of Kungota</v>
    <v>44545c8a-ea6c-90bd-ed99-43b2f0014bb5</v>
    <v>en-IN</v>
    <v>Map</v>
  </rv>
  <rv s="0">
    <v>536870912</v>
    <v>Municipality of Kuzma</v>
    <v>686415d3-270c-4976-9708-599cdcd35299</v>
    <v>en-IN</v>
    <v>Map</v>
  </rv>
  <rv s="0">
    <v>536870912</v>
    <v>Laško Municipality</v>
    <v>301bdb97-f6e0-c1dd-2e76-b21ceccd57ea</v>
    <v>en-IN</v>
    <v>Map</v>
  </rv>
  <rv s="0">
    <v>536870912</v>
    <v>Municipality of Lenart</v>
    <v>41fcd7f1-b493-476c-af12-2985c31a2f41</v>
    <v>en-IN</v>
    <v>Map</v>
  </rv>
  <rv s="0">
    <v>536870912</v>
    <v>Municipality of Litija</v>
    <v>8643e662-1188-ecff-acca-47ee63a722f3</v>
    <v>en-IN</v>
    <v>Map</v>
  </rv>
  <rv s="0">
    <v>536870912</v>
    <v>Loška Dolina Municipality</v>
    <v>e485c452-386a-4b8e-949c-412a9d18d3c0</v>
    <v>en-IN</v>
    <v>Map</v>
  </rv>
  <rv s="0">
    <v>536870912</v>
    <v>Municipality of Loški Potok</v>
    <v>6802b984-59c0-62c0-bb00-1b4331045a14</v>
    <v>en-IN</v>
    <v>Map</v>
  </rv>
  <rv s="0">
    <v>536870912</v>
    <v>Municipality of Luče</v>
    <v>1b6b2f19-5954-def0-cae4-97ca90fe52a0</v>
    <v>en-IN</v>
    <v>Map</v>
  </rv>
  <rv s="0">
    <v>536870912</v>
    <v>Municipality of Lukovica</v>
    <v>df2c2492-744a-2180-0a62-4d20ab7fc703</v>
    <v>en-IN</v>
    <v>Map</v>
  </rv>
  <rv s="0">
    <v>536870912</v>
    <v>Municipality of Majšperk</v>
    <v>172c3fc2-3a5d-4a26-9af6-924b93061fb0</v>
    <v>en-IN</v>
    <v>Map</v>
  </rv>
  <rv s="0">
    <v>536870912</v>
    <v>Municipality of Mengeš</v>
    <v>b4ae743d-2364-4b6f-8f50-251ec0cde413</v>
    <v>en-IN</v>
    <v>Map</v>
  </rv>
  <rv s="0">
    <v>536870912</v>
    <v>Miren–Kostanjevica Municipality</v>
    <v>40ef47ea-0319-49a2-8509-7181df2880a0</v>
    <v>en-IN</v>
    <v>Map</v>
  </rv>
  <rv s="0">
    <v>536870912</v>
    <v>Municipality of Moravske Toplice</v>
    <v>afcb8131-48c0-4412-c5f1-f7bcad8ac609</v>
    <v>en-IN</v>
    <v>Map</v>
  </rv>
  <rv s="0">
    <v>536870912</v>
    <v>City Municipality of Murska Sobota</v>
    <v>05e2b813-5069-8cbe-6653-24791383acad</v>
    <v>en-IN</v>
    <v>Map</v>
  </rv>
  <rv s="0">
    <v>536870912</v>
    <v>Municipality of Muta</v>
    <v>f8077c81-8f3d-54b8-6076-fb947d0c5778</v>
    <v>en-IN</v>
    <v>Map</v>
  </rv>
  <rv s="0">
    <v>536870912</v>
    <v>Municipality of Naklo</v>
    <v>11380975-60b5-4966-fbe3-9a3250b3a68b</v>
    <v>en-IN</v>
    <v>Map</v>
  </rv>
  <rv s="0">
    <v>536870912</v>
    <v>Municipality of Nazarje</v>
    <v>8bb06049-922f-44f3-8006-9fe6bfb22cf3</v>
    <v>en-IN</v>
    <v>Map</v>
  </rv>
  <rv s="0">
    <v>536870912</v>
    <v>City Municipality of Novo Mesto</v>
    <v>ecb68727-78e6-82f8-03d8-2bd74d3216bd</v>
    <v>en-IN</v>
    <v>Map</v>
  </rv>
  <rv s="0">
    <v>536870912</v>
    <v>Municipality of Ormož</v>
    <v>3c23e56e-c6fc-8c60-e735-693ef913c10d</v>
    <v>en-IN</v>
    <v>Map</v>
  </rv>
  <rv s="0">
    <v>536870912</v>
    <v>Municipality of Osilnica</v>
    <v>ff1963f2-c9be-08fb-02f6-1b8d2b2c3036</v>
    <v>en-IN</v>
    <v>Map</v>
  </rv>
  <rv s="0">
    <v>536870912</v>
    <v>Municipality of Pesnica</v>
    <v>12c6baa9-cdac-e528-61fd-44e3449331d0</v>
    <v>en-IN</v>
    <v>Map</v>
  </rv>
  <rv s="0">
    <v>536870912</v>
    <v>Municipality of Pivka</v>
    <v>69d42788-fc69-40d4-af00-15bd96297795</v>
    <v>en-IN</v>
    <v>Map</v>
  </rv>
  <rv s="0">
    <v>536870912</v>
    <v>Municipality of Postojna</v>
    <v>dd32dd11-8a80-4071-862f-8f4d834587ba</v>
    <v>en-IN</v>
    <v>Map</v>
  </rv>
  <rv s="0">
    <v>536870912</v>
    <v>Municipality of Rače-Fram</v>
    <v>58cea260-cf6d-130e-955f-75446f99d042</v>
    <v>en-IN</v>
    <v>Map</v>
  </rv>
  <rv s="0">
    <v>536870912</v>
    <v>Municipality of Radenci</v>
    <v>d24d6079-5c53-6f39-1610-f4262eed09bd</v>
    <v>en-IN</v>
    <v>Map</v>
  </rv>
  <rv s="0">
    <v>536870912</v>
    <v>Municipality of Radlje ob Dravi</v>
    <v>faef4ce0-028b-1997-16c0-11374da11083</v>
    <v>en-IN</v>
    <v>Map</v>
  </rv>
  <rv s="0">
    <v>536870912</v>
    <v>Municipality of Ribnica</v>
    <v>9df4ab22-5e42-1f7e-a74f-d1da8b718ea8</v>
    <v>en-IN</v>
    <v>Map</v>
  </rv>
  <rv s="0">
    <v>536870912</v>
    <v>Municipality of Rogaška Slatina</v>
    <v>704d0b89-cc99-6d2e-afbd-85da1e3a309e</v>
    <v>en-IN</v>
    <v>Map</v>
  </rv>
  <rv s="0">
    <v>536870912</v>
    <v>Municipality of Rogatec</v>
    <v>bc705953-b090-4299-84cb-1cc3e80d18c2</v>
    <v>en-IN</v>
    <v>Map</v>
  </rv>
  <rv s="0">
    <v>536870912</v>
    <v>Municipality of Ruše</v>
    <v>fa881299-d55e-4b33-a067-7da80ca0ba11</v>
    <v>en-IN</v>
    <v>Map</v>
  </rv>
  <rv s="0">
    <v>536870912</v>
    <v>Municipality of Semič</v>
    <v>db1f2f4a-80bb-ac15-e657-2433a69f8bf2</v>
    <v>en-IN</v>
    <v>Map</v>
  </rv>
  <rv s="0">
    <v>536870912</v>
    <v>Municipality of Sevnica</v>
    <v>35e0a39f-7973-41d4-8057-b1414abaf87e</v>
    <v>en-IN</v>
    <v>Map</v>
  </rv>
  <rv s="0">
    <v>536870912</v>
    <v>Municipality of Sežana</v>
    <v>8afe5878-39dc-438b-4114-ef612d14f40b</v>
    <v>en-IN</v>
    <v>Map</v>
  </rv>
  <rv s="0">
    <v>536870912</v>
    <v>City Municipality of Slovenj Gradec</v>
    <v>309d93b6-7675-411c-b968-258e6b7d8b0f</v>
    <v>en-IN</v>
    <v>Map</v>
  </rv>
  <rv s="0">
    <v>536870912</v>
    <v>Municipality of Šenčur</v>
    <v>ca24f4d6-78d3-cbdf-5cf1-524b2b4e960f</v>
    <v>en-IN</v>
    <v>Map</v>
  </rv>
  <rv s="0">
    <v>536870912</v>
    <v>Municipality of Šentilj</v>
    <v>be951893-e5d9-40b5-882a-96da6ddcdd18</v>
    <v>en-IN</v>
    <v>Map</v>
  </rv>
  <rv s="0">
    <v>536870912</v>
    <v>Municipality of Šentjur</v>
    <v>d1d1359a-ca60-4335-b889-9169c2f46fed</v>
    <v>en-IN</v>
    <v>Map</v>
  </rv>
  <rv s="0">
    <v>536870912</v>
    <v>Municipality of Škocjan</v>
    <v>1d48bed2-934f-4331-bfa1-9139441ebe51</v>
    <v>en-IN</v>
    <v>Map</v>
  </rv>
  <rv s="0">
    <v>536870912</v>
    <v>Municipality of Škofja Loka</v>
    <v>15e2d3a1-0921-48e4-9cba-ada833e53279</v>
    <v>en-IN</v>
    <v>Map</v>
  </rv>
  <rv s="0">
    <v>536870912</v>
    <v>Municipality of Šoštanj</v>
    <v>087d824f-75aa-4050-96df-3a5dab14d8c7</v>
    <v>en-IN</v>
    <v>Map</v>
  </rv>
  <rv s="0">
    <v>536870912</v>
    <v>Municipality of Trebnje</v>
    <v>2551f98c-fd81-46cd-9704-90d5157b8a7d</v>
    <v>en-IN</v>
    <v>Map</v>
  </rv>
  <rv s="0">
    <v>536870912</v>
    <v>Municipality of Tržič</v>
    <v>b478781d-dd10-af6a-0efd-f8010ff3aefd</v>
    <v>en-IN</v>
    <v>Map</v>
  </rv>
  <rv s="0">
    <v>536870912</v>
    <v>Municipality of Turnišče</v>
    <v>fd350329-24bd-4322-9855-1ae9bbd787d1</v>
    <v>en-IN</v>
    <v>Map</v>
  </rv>
  <rv s="0">
    <v>536870912</v>
    <v>Municipality of Velike Lašče</v>
    <v>9f9bc323-2682-3f3c-66d9-9f811ced26f0</v>
    <v>en-IN</v>
    <v>Map</v>
  </rv>
  <rv s="0">
    <v>536870912</v>
    <v>Municipality of Videm</v>
    <v>7d09ed20-8b8b-4203-7009-eb3fbae59451</v>
    <v>en-IN</v>
    <v>Map</v>
  </rv>
  <rv s="0">
    <v>536870912</v>
    <v>Municipality of Vojnik</v>
    <v>811ebf57-dd97-492e-ac84-d14a067994ec</v>
    <v>en-IN</v>
    <v>Map</v>
  </rv>
  <rv s="0">
    <v>536870912</v>
    <v>Municipality of Vrhnika</v>
    <v>38f8778f-7b02-4c8f-a186-99d42dc7ce83</v>
    <v>en-IN</v>
    <v>Map</v>
  </rv>
  <rv s="0">
    <v>536870912</v>
    <v>Municipality of Vuzenica</v>
    <v>36d6761e-9889-2ccf-8be6-8df212dcd3d1</v>
    <v>en-IN</v>
    <v>Map</v>
  </rv>
  <rv s="0">
    <v>536870912</v>
    <v>Municipality of Železniki</v>
    <v>b9f73d63-e80b-8fad-00e8-10df8b61f80c</v>
    <v>en-IN</v>
    <v>Map</v>
  </rv>
  <rv s="0">
    <v>536870912</v>
    <v>Municipality of Žiri</v>
    <v>a5fe8a66-0871-b51c-52f6-fc56b709e4d3</v>
    <v>en-IN</v>
    <v>Map</v>
  </rv>
  <rv s="0">
    <v>536870912</v>
    <v>Municipality of Bistrica ob Sotli</v>
    <v>34f5707e-443e-4c35-bf5f-8a6e014f3ade</v>
    <v>en-IN</v>
    <v>Map</v>
  </rv>
  <rv s="0">
    <v>536870912</v>
    <v>Municipality of Bloke</v>
    <v>81844042-134b-ade4-b6af-19673540e55a</v>
    <v>en-IN</v>
    <v>Map</v>
  </rv>
  <rv s="0">
    <v>536870912</v>
    <v>Municipality of Braslovče</v>
    <v>5c3cb026-5918-49e6-a366-62519b4f7fce</v>
    <v>en-IN</v>
    <v>Map</v>
  </rv>
  <rv s="0">
    <v>536870912</v>
    <v>Municipality of Cankova</v>
    <v>c4cd8384-ca99-4519-88f7-0c8ea9d00655</v>
    <v>en-IN</v>
    <v>Map</v>
  </rv>
  <rv s="0">
    <v>536870912</v>
    <v>Municipality of Dobje</v>
    <v>6248b25f-0560-eca6-7148-61c3c7eb5aa5</v>
    <v>en-IN</v>
    <v>Map</v>
  </rv>
  <rv s="0">
    <v>536870912</v>
    <v>Municipality of Dobrna</v>
    <v>22bff8d4-8c8c-449f-b90f-b1b4470be361</v>
    <v>en-IN</v>
    <v>Map</v>
  </rv>
  <rv s="0">
    <v>536870912</v>
    <v>Municipality of Dobrovnik</v>
    <v>3f50f1ce-1a62-4cb3-8d03-24472f0281e1</v>
    <v>en-IN</v>
    <v>Map</v>
  </rv>
  <rv s="0">
    <v>536870912</v>
    <v>Dolenjske Toplice Municipality</v>
    <v>830d8042-fb73-42b1-d215-2d72ef4a68ba</v>
    <v>en-IN</v>
    <v>Map</v>
  </rv>
  <rv s="0">
    <v>536870912</v>
    <v>Municipality of Grad</v>
    <v>93d9eb01-47d2-631f-ba05-a9db08affa8b</v>
    <v>en-IN</v>
    <v>Map</v>
  </rv>
  <rv s="0">
    <v>536870912</v>
    <v>Municipality of Hajdina</v>
    <v>a47a1372-d3fd-9c76-69dd-1f74f6d59feb</v>
    <v>en-IN</v>
    <v>Map</v>
  </rv>
  <rv s="0">
    <v>536870912</v>
    <v>Municipality of Hoče-Slivnica</v>
    <v>7b5c4ad5-7d8e-bd65-1713-96ba30f890b9</v>
    <v>en-IN</v>
    <v>Map</v>
  </rv>
  <rv s="0">
    <v>536870912</v>
    <v>Municipality of Hodoš</v>
    <v>36eafae6-24a1-48f2-8677-04ea6cc19fdb</v>
    <v>en-IN</v>
    <v>Map</v>
  </rv>
  <rv s="0">
    <v>536870912</v>
    <v>Municipality of Horjul</v>
    <v>1b15adb4-fda2-957c-5728-4b5ae73adb17</v>
    <v>en-IN</v>
    <v>Map</v>
  </rv>
  <rv s="0">
    <v>536870912</v>
    <v>Municipality of Jezersko</v>
    <v>adf4417c-70c5-b6e4-b2b4-c3150ddee49e</v>
    <v>en-IN</v>
    <v>Map</v>
  </rv>
  <rv s="0">
    <v>536870912</v>
    <v>Komenda Municipality</v>
    <v>46827302-9d16-4bc4-8395-1553b7a56a4a</v>
    <v>en-IN</v>
    <v>Map</v>
  </rv>
  <rv s="0">
    <v>536870912</v>
    <v>Kostel Municipality</v>
    <v>3d02add7-0ed3-44a9-abe3-cbd5ba7de8a9</v>
    <v>en-IN</v>
    <v>Map</v>
  </rv>
  <rv s="0">
    <v>536870912</v>
    <v>Municipality of Križevci</v>
    <v>89b4a194-526f-4384-ac61-561640fe2a3e</v>
    <v>en-IN</v>
    <v>Map</v>
  </rv>
  <rv s="0">
    <v>536870912</v>
    <v>Municipality of Lovrenc na Pohorju</v>
    <v>1131334e-4177-47a5-8935-9bc1b8c845af</v>
    <v>en-IN</v>
    <v>Map</v>
  </rv>
  <rv s="0">
    <v>536870912</v>
    <v>Municipality of Miklavž na Dravskem Polju</v>
    <v>ea68566a-545a-44f9-9a6c-5544e94480cc</v>
    <v>en-IN</v>
    <v>Map</v>
  </rv>
  <rv s="0">
    <v>536870912</v>
    <v>Mirna Peč Municipality</v>
    <v>b8f2d548-4947-ab86-9cbb-65b24b559582</v>
    <v>en-IN</v>
    <v>Map</v>
  </rv>
  <rv s="0">
    <v>536870912</v>
    <v>Municipality of Prebold</v>
    <v>8fded940-5b8d-4940-a2cc-6f53fb4de6eb</v>
    <v>en-IN</v>
    <v>Map</v>
  </rv>
  <rv s="0">
    <v>536870912</v>
    <v>Municipality of Razkrižje</v>
    <v>1fe228a1-de9a-4065-ba7c-4943411fe572</v>
    <v>en-IN</v>
    <v>Map</v>
  </rv>
  <rv s="0">
    <v>536870912</v>
    <v>Municipality of Sodražica</v>
    <v>faf2102c-a652-501a-6560-c70c946f87b3</v>
    <v>en-IN</v>
    <v>Map</v>
  </rv>
  <rv s="0">
    <v>536870912</v>
    <v>Municipality of Solčava</v>
    <v>1988486a-930a-92f0-bc88-f7b00a880de5</v>
    <v>en-IN</v>
    <v>Map</v>
  </rv>
  <rv s="0">
    <v>536870912</v>
    <v>Municipality of Sveti Andraž v Slovenskih Goricah</v>
    <v>9ecfbead-a9dd-5095-a8f5-8ab94a0e81cb</v>
    <v>en-IN</v>
    <v>Map</v>
  </rv>
  <rv s="0">
    <v>536870912</v>
    <v>Municipality of Šempeter-Vrtojba</v>
    <v>4c7b336a-886e-4632-90ba-0a143f939cf8</v>
    <v>en-IN</v>
    <v>Map</v>
  </rv>
  <rv s="0">
    <v>536870912</v>
    <v>Municipality of Trnovska Vas</v>
    <v>6ec91fbd-72b7-40bf-86fc-bfe535a0ea48</v>
    <v>en-IN</v>
    <v>Map</v>
  </rv>
  <rv s="0">
    <v>536870912</v>
    <v>Municipality of Veržej</v>
    <v>d07fa182-24a5-4b92-a267-208e6b60fe5f</v>
    <v>en-IN</v>
    <v>Map</v>
  </rv>
  <rv s="0">
    <v>536870912</v>
    <v>Municipality of Žalec</v>
    <v>3b045e42-9802-1691-998e-c2fb7791b3b3</v>
    <v>en-IN</v>
    <v>Map</v>
  </rv>
  <rv s="0">
    <v>536870912</v>
    <v>Municipality of Žirovnica</v>
    <v>7cf15cfc-de56-1fda-b1d0-73f139585af6</v>
    <v>en-IN</v>
    <v>Map</v>
  </rv>
  <rv s="0">
    <v>536870912</v>
    <v>Municipality of Šmartno pri Litiji</v>
    <v>d520f250-5faa-4c03-af72-5ad0c897927c</v>
    <v>en-IN</v>
    <v>Map</v>
  </rv>
  <rv s="0">
    <v>536870912</v>
    <v>Municipality of Apače</v>
    <v>88e8afa4-3f8b-438b-8aeb-12de59333fb4</v>
    <v>en-IN</v>
    <v>Map</v>
  </rv>
  <rv s="0">
    <v>536870912</v>
    <v>Municipality of Cirkulane</v>
    <v>b2b430b8-654b-4ca4-a8e0-5c37c2868eab</v>
    <v>en-IN</v>
    <v>Map</v>
  </rv>
  <rv s="0">
    <v>536870912</v>
    <v>Mokronog-Trebelno Municipality</v>
    <v>9c5ccbb1-2766-6ba1-93de-f8865ce00a05</v>
    <v>en-IN</v>
    <v>Map</v>
  </rv>
  <rv s="0">
    <v>536870912</v>
    <v>Municipality of Renče–Vogrsko</v>
    <v>9634dd56-dadf-4d1d-9a12-b65f14d57168</v>
    <v>en-IN</v>
    <v>Map</v>
  </rv>
  <rv s="0">
    <v>536870912</v>
    <v>Municipality of Straža</v>
    <v>6600a980-fec2-fed4-9414-71daca7fc01a</v>
    <v>en-IN</v>
    <v>Map</v>
  </rv>
  <rv s="0">
    <v>536870912</v>
    <v>Municipality of Sveta Trojica v Slovenskih Goricah</v>
    <v>bafc1328-988b-ccd4-0649-480da11121d6</v>
    <v>en-IN</v>
    <v>Map</v>
  </rv>
  <rv s="0">
    <v>536870912</v>
    <v>Municipality of Sveti Tomaž</v>
    <v>b2260fe5-ca56-4f13-91d5-93cb17c7836f</v>
    <v>en-IN</v>
    <v>Map</v>
  </rv>
  <rv s="0">
    <v>536870912</v>
    <v>Municipality of Šmarješke Toplice</v>
    <v>c7e55001-78c9-41db-85b5-e8e9bd21ad85</v>
    <v>en-IN</v>
    <v>Map</v>
  </rv>
  <rv s="0">
    <v>536870912</v>
    <v>Municipality of Gorje</v>
    <v>c1e95d1f-74e2-b67b-dd6c-0627fe6fb1a5</v>
    <v>en-IN</v>
    <v>Map</v>
  </rv>
  <rv s="0">
    <v>536870912</v>
    <v>Municipality of Log-Dragomer</v>
    <v>d5de88e3-5ac6-53ea-0f27-707b45e685d1</v>
    <v>en-IN</v>
    <v>Map</v>
  </rv>
  <rv s="0">
    <v>536870912</v>
    <v>Municipality of Sveti Jurij v Slovenskih Goricah</v>
    <v>b0016596-5082-37e9-6354-8b17ed79978c</v>
    <v>en-IN</v>
    <v>Map</v>
  </rv>
  <rv s="0">
    <v>536870912</v>
    <v>Municipality of Šentrupert</v>
    <v>33bdae3d-5f12-f41a-7783-9812948801e6</v>
    <v>en-IN</v>
    <v>Map</v>
  </rv>
  <rv s="3">
    <v>302</v>
  </rv>
  <rv s="1">
    <fb>0.18626997966917902</fb>
    <v>24</v>
  </rv>
  <rv s="1">
    <fb>4.1950001716613797E-2</fb>
    <v>32</v>
  </rv>
  <rv s="1">
    <fb>1144654</fb>
    <v>25</v>
  </rv>
  <rv s="5">
    <v>#VALUE!</v>
    <v>en-IN</v>
    <v>4982784a-4967-52d1-c08e-ffd0f091566e</v>
    <v>536870912</v>
    <v>1</v>
    <v>901</v>
    <v>18</v>
    <v>Slovenia</v>
    <v>20</v>
    <v>21</v>
    <v>Map</v>
    <v>22</v>
    <v>718</v>
    <v>SI</v>
    <v>5583</v>
    <v>5584</v>
    <v>2595</v>
    <v>5585</v>
    <v>5586</v>
    <v>5587</v>
    <v>5588</v>
    <v>5589</v>
    <v>5590</v>
    <v>EUR</v>
    <v>Slovenia, officially the Republic of Slovenia, is a country in southern Central Europe. It is bordered by Italy to the west, Austria to the north, Hungary to the northeast, Croatia to the southeast, and a short coastline within the Adriatic Sea ...</v>
    <v>5591</v>
    <v>1288</v>
    <v>5592</v>
    <v>5593</v>
    <v>5532</v>
    <v>5594</v>
    <v>5595</v>
    <v>5596</v>
    <v>5597</v>
    <v>5084</v>
    <v>5587</v>
    <v>5600</v>
    <v>5601</v>
    <v>5602</v>
    <v>5603</v>
    <v>5604</v>
    <v>5605</v>
    <v>Slovenia</v>
    <v>National anthem of Slovenia</v>
    <v>5606</v>
    <v>Republika Slovenija</v>
    <v>5607</v>
    <v>5608</v>
    <v>5609</v>
    <v>329</v>
    <v>1868</v>
    <v>5610</v>
    <v>5611</v>
    <v>1918</v>
    <v>241</v>
    <v>5612</v>
    <v>5613</v>
    <v>5739</v>
    <v>5740</v>
    <v>1074</v>
    <v>4155</v>
    <v>5741</v>
    <v>Slovenia</v>
    <v>5742</v>
    <v>mdp/vdpid/212</v>
  </rv>
  <rv s="1">
    <fb>163.76</fb>
    <v>25</v>
  </rv>
  <rv s="0">
    <v>536870912</v>
    <v>Kingdom of Serbs, Croats and Slovenes</v>
    <v>0a415c49-1434-4ddb-89ad-8dff4c50b643</v>
    <v>en-IN</v>
    <v>Map</v>
  </rv>
  <rv s="2">
    <v>171</v>
    <v>22</v>
    <v>902</v>
    <v>7</v>
    <v>0</v>
    <v>Image of Ljubljana</v>
  </rv>
  <rv s="1">
    <fb>46.051388888888901</fb>
    <v>37</v>
  </rv>
  <rv s="0">
    <v>805306368</v>
    <v>Zoran Janković (Mayor)</v>
    <v>02500339-a76b-99e4-64e9-a33e31d7704e</v>
    <v>en-IN</v>
    <v>Generic</v>
  </rv>
  <rv s="3">
    <v>303</v>
  </rv>
  <rv s="4">
    <v>https://www.bing.com/search?q=ljubljana&amp;form=skydnc</v>
    <v>Learn more on Bing</v>
  </rv>
  <rv s="1">
    <fb>14.5061111111111</fb>
    <v>37</v>
  </rv>
  <rv s="1">
    <fb>284293</fb>
    <v>25</v>
  </rv>
  <rv s="12">
    <v>#VALUE!</v>
    <v>en-IN</v>
    <v>692acddf-5ab9-3bdd-6312-19b898edc3c2</v>
    <v>536870912</v>
    <v>1</v>
    <v>903</v>
    <v>71</v>
    <v>Ljubljana</v>
    <v>20</v>
    <v>21</v>
    <v>Map</v>
    <v>22</v>
    <v>94</v>
    <v>5744</v>
    <v>5745</v>
    <v>Ljubljana is the capital and largest city of Slovenia, located along a trade route between the northern Adriatic Sea and the Danube region, north of the country's largest marsh, inhabited since prehistoric times. It is the country's cultural, ...</v>
    <v>5746</v>
    <v>5747</v>
    <v>5749</v>
    <v>5750</v>
    <v>5751</v>
    <v>Ljubljana</v>
    <v>5752</v>
    <v>1074</v>
    <v>Ljubljana</v>
    <v>mdp/vdpid/7023096595918880769</v>
  </rv>
  <rv s="2">
    <v>170</v>
    <v>22</v>
    <v>898</v>
    <v>3</v>
    <v>0</v>
    <v>Image of Slovenia</v>
  </rv>
  <rv s="8">
    <v>en-IN</v>
    <v>avej3m</v>
    <v>268435456</v>
    <v>1</v>
    <v>Powered by Refinitiv</v>
    <v>42</v>
    <v>JOD/USD</v>
    <v>43</v>
    <v>62</v>
    <v>Finance</v>
    <v>45</v>
    <v>1.4124000000000001</v>
    <v>1.4036999999999999</v>
    <v>0</v>
    <v>0</v>
    <v>USD</v>
    <v>JOD</v>
    <v>1.4104000000000001</v>
    <v>Currency Pair</v>
    <v>45957.21775462963</v>
    <v>1.4119999999999999</v>
    <v>Jordanian Dinar/US Dollar FX Cross Rate</v>
    <v>1.4085000000000001</v>
    <v>1.4085000000000001</v>
    <v>1.4085000000000001</v>
    <v>JODUSD</v>
    <v>JOD/USD</v>
  </rv>
  <rv s="9">
    <v>5755</v>
  </rv>
  <rv s="0">
    <v>536870912</v>
    <v>Solomon Islands</v>
    <v>21782a7b-8132-6cb7-9c19-a969f888720b</v>
    <v>en-IN</v>
    <v>Map</v>
  </rv>
  <rv s="1">
    <fb>3.8585209003215402E-2</fb>
    <v>24</v>
  </rv>
  <rv s="1">
    <fb>28400</fb>
    <v>25</v>
  </rv>
  <rv s="1">
    <fb>32.439</fb>
    <v>26</v>
  </rv>
  <rv s="1">
    <fb>677</fb>
    <v>27</v>
  </rv>
  <rv s="0">
    <v>536870912</v>
    <v>Honiara</v>
    <v>77747d9e-93e3-f430-0c78-72e024efa89c</v>
    <v>en-IN</v>
    <v>Map</v>
  </rv>
  <rv s="1">
    <fb>168.68199999999999</fb>
    <v>25</v>
  </rv>
  <rv s="1">
    <fb>133.06203318559099</fb>
    <v>28</v>
  </rv>
  <rv s="1">
    <fb>1.6348554401224201E-2</fb>
    <v>24</v>
  </rv>
  <rv s="1">
    <fb>4.4029999999999996</fb>
    <v>26</v>
  </rv>
  <rv s="1">
    <fb>0.778635191977045</fb>
    <v>24</v>
  </rv>
  <rv s="1">
    <fb>1425074225.7779801</fb>
    <v>31</v>
  </rv>
  <rv s="1">
    <fb>1.0620649</fb>
    <v>24</v>
  </rv>
  <rv s="2">
    <v>172</v>
    <v>22</v>
    <v>905</v>
    <v>7</v>
    <v>0</v>
    <v>Image of Solomon Islands</v>
  </rv>
  <rv s="1">
    <fb>17.100000000000001</fb>
    <v>29</v>
  </rv>
  <rv s="0">
    <v>805306368</v>
    <v>Manasseh Sogavare (Prime minister)</v>
    <v>5ab8d805-6fa8-94a9-7dab-525e18b6d009</v>
    <v>en-IN</v>
    <v>Generic</v>
  </rv>
  <rv s="3">
    <v>304</v>
  </rv>
  <rv s="4">
    <v>https://www.bing.com/search?q=solomon+islands&amp;form=skydnc</v>
    <v>Learn more on Bing</v>
  </rv>
  <rv s="1">
    <fb>72.834999999999994</fb>
    <v>29</v>
  </rv>
  <rv s="1">
    <fb>104</fb>
    <v>29</v>
  </rv>
  <rv s="3">
    <v>305</v>
  </rv>
  <rv s="1">
    <fb>3.2869159699999997E-2</fb>
    <v>24</v>
  </rv>
  <rv s="1">
    <fb>0.19370000000000001</fb>
    <v>26</v>
  </rv>
  <rv s="1">
    <fb>724273</fb>
    <v>25</v>
  </rv>
  <rv s="1">
    <fb>0.29199999999999998</fb>
    <v>24</v>
  </rv>
  <rv s="1">
    <fb>7.0000000000000007E-2</fb>
    <v>24</v>
  </rv>
  <rv s="1">
    <fb>0.114</fb>
    <v>24</v>
  </rv>
  <rv s="1">
    <fb>0.83835998535156309</fb>
    <v>24</v>
  </rv>
  <rv s="0">
    <v>536870912</v>
    <v>Central Province</v>
    <v>bc5be92b-5d58-c58f-ee5f-213b45ff6a4f</v>
    <v>en-IN</v>
    <v>Map</v>
  </rv>
  <rv s="0">
    <v>536870912</v>
    <v>Choiseul Province</v>
    <v>8eeabac9-4950-1ac3-3b05-3beacb4a9512</v>
    <v>en-IN</v>
    <v>Map</v>
  </rv>
  <rv s="0">
    <v>536870912</v>
    <v>Guadalcanal Province</v>
    <v>e1b97407-dbe0-6e1d-42d9-2376e710a2d4</v>
    <v>en-IN</v>
    <v>Map</v>
  </rv>
  <rv s="0">
    <v>536870912</v>
    <v>Isabel Province</v>
    <v>294cf314-1d95-99d6-287d-30d961ff5fb9</v>
    <v>en-IN</v>
    <v>Map</v>
  </rv>
  <rv s="0">
    <v>536870912</v>
    <v>Makira-Ulawa Province</v>
    <v>1844274e-618a-56ab-13bc-496222093fc5</v>
    <v>en-IN</v>
    <v>Map</v>
  </rv>
  <rv s="0">
    <v>536870912</v>
    <v>Malaita Province</v>
    <v>cc9ca4b7-6dae-e7cf-76c0-801fe795f2aa</v>
    <v>en-IN</v>
    <v>Map</v>
  </rv>
  <rv s="0">
    <v>536870912</v>
    <v>Western Province</v>
    <v>a0981a2a-e472-d95b-ce9e-87c83b667336</v>
    <v>en-IN</v>
    <v>Map</v>
  </rv>
  <rv s="0">
    <v>536870912</v>
    <v>Rennell and Bellona Province</v>
    <v>a86f7d3f-72cf-17d3-141b-601bc739195e</v>
    <v>en-IN</v>
    <v>Map</v>
  </rv>
  <rv s="0">
    <v>536870912</v>
    <v>Temotu Province</v>
    <v>689698f0-224c-41c3-f8a0-ebb77cf4e684</v>
    <v>en-IN</v>
    <v>Map</v>
  </rv>
  <rv s="3">
    <v>306</v>
  </rv>
  <rv s="1">
    <fb>0.29549349568202299</fb>
    <v>24</v>
  </rv>
  <rv s="1">
    <fb>0.32</fb>
    <v>24</v>
  </rv>
  <rv s="1">
    <fb>5.75999975204468E-3</fb>
    <v>32</v>
  </rv>
  <rv s="1">
    <fb>162164</fb>
    <v>25</v>
  </rv>
  <rv s="88">
    <v>#VALUE!</v>
    <v>en-IN</v>
    <v>21782a7b-8132-6cb7-9c19-a969f888720b</v>
    <v>536870912</v>
    <v>1</v>
    <v>908</v>
    <v>909</v>
    <v>Solomon Islands</v>
    <v>20</v>
    <v>21</v>
    <v>Map</v>
    <v>22</v>
    <v>910</v>
    <v>SB</v>
    <v>5758</v>
    <v>5759</v>
    <v>5760</v>
    <v>5761</v>
    <v>5762</v>
    <v>5763</v>
    <v>5764</v>
    <v>5765</v>
    <v>SBD</v>
    <v>Solomon Islands is a country consisting of six major islands and over 900 smaller islands in Melanesia, part of Oceania, to the northeast of Australia. It is directly adjacent to Papua New Guinea to the northwest, Australia to the southwest, New ...</v>
    <v>5766</v>
    <v>5767</v>
    <v>1004</v>
    <v>5768</v>
    <v>5769</v>
    <v>5770</v>
    <v>5771</v>
    <v>5762</v>
    <v>5773</v>
    <v>5774</v>
    <v>5775</v>
    <v>5776</v>
    <v>4551</v>
    <v>Solomon Islands</v>
    <v>God Save Our Solomon Islands</v>
    <v>5777</v>
    <v>Solomon Islands</v>
    <v>5778</v>
    <v>5779</v>
    <v>5780</v>
    <v>812</v>
    <v>5781</v>
    <v>1233</v>
    <v>142</v>
    <v>5782</v>
    <v>5783</v>
    <v>2428</v>
    <v>5784</v>
    <v>5794</v>
    <v>5795</v>
    <v>5796</v>
    <v>5797</v>
    <v>Solomon Islands</v>
    <v>5798</v>
    <v>mdp/vdpid/30</v>
  </rv>
  <rv s="1">
    <fb>22</fb>
    <v>25</v>
  </rv>
  <rv s="2">
    <v>173</v>
    <v>22</v>
    <v>912</v>
    <v>7</v>
    <v>0</v>
    <v>Image of Honiara</v>
  </rv>
  <rv s="0">
    <v>805306368</v>
    <v>Eddie Siapu (Mayor)</v>
    <v>452937ff-6e99-5db3-94ea-cdcceb9bad9b</v>
    <v>en-IN</v>
    <v>Generic</v>
  </rv>
  <rv s="3">
    <v>307</v>
  </rv>
  <rv s="4">
    <v>https://www.bing.com/search?q=honiara&amp;form=skydnc</v>
    <v>Learn more on Bing</v>
  </rv>
  <rv s="1">
    <fb>84520</fb>
    <v>25</v>
  </rv>
  <rv s="33">
    <v>#VALUE!</v>
    <v>en-IN</v>
    <v>77747d9e-93e3-f430-0c78-72e024efa89c</v>
    <v>536870912</v>
    <v>1</v>
    <v>913</v>
    <v>222</v>
    <v>Honiara</v>
    <v>20</v>
    <v>21</v>
    <v>Map</v>
    <v>22</v>
    <v>651</v>
    <v>SB-CT</v>
    <v>5800</v>
    <v>5757</v>
    <v>Honiara is the capital and largest city of Solomon Islands, situated on the northwestern coast of Guadalcanal. As of 2021, it had a population of 92,344 people. The city is served by Honiara International Airport and the seaport of Point Cruz, ...</v>
    <v>5801</v>
    <v>5803</v>
    <v>5804</v>
    <v>Honiara</v>
    <v>5805</v>
    <v>Honiara</v>
    <v>mdp/vdpid/8832939474901008385</v>
  </rv>
  <rv s="2">
    <v>172</v>
    <v>22</v>
    <v>905</v>
    <v>3</v>
    <v>0</v>
    <v>Image of Solomon Islands</v>
  </rv>
  <rv s="8">
    <v>en-IN</v>
    <v>avypjc</v>
    <v>268435456</v>
    <v>1</v>
    <v>Powered by Refinitiv</v>
    <v>42</v>
    <v>USD/LYD</v>
    <v>43</v>
    <v>914</v>
    <v>Finance</v>
    <v>45</v>
    <v>5.5475000000000003</v>
    <v>4.79</v>
    <v>0</v>
    <v>0</v>
    <v>LYD</v>
    <v>USD</v>
    <v>5.4249999999999998</v>
    <v>Currency Pair</v>
    <v>45957.145775462966</v>
    <v>5.4527000000000001</v>
    <v>US Dollar/Libyan Dinar FX Spot Rate</v>
    <v>5.4249999999999998</v>
    <v>5.4249999999999998</v>
    <v>5.4249999999999998</v>
    <v>USDLYD</v>
    <v>USD/LYD</v>
  </rv>
  <rv s="9">
    <v>5808</v>
  </rv>
  <rv s="0">
    <v>536870912</v>
    <v>Somalia</v>
    <v>14f0659c-f28d-2a2c-7272-22ac7398b0ed</v>
    <v>en-IN</v>
    <v>Map</v>
  </rv>
  <rv s="1">
    <fb>0.70336659546657299</fb>
    <v>24</v>
  </rv>
  <rv s="1">
    <fb>637657</fb>
    <v>25</v>
  </rv>
  <rv s="1">
    <fb>20000</fb>
    <v>25</v>
  </rv>
  <rv s="1">
    <fb>41.753</fb>
    <v>26</v>
  </rv>
  <rv s="1">
    <fb>252</fb>
    <v>27</v>
  </rv>
  <rv s="0">
    <v>536870912</v>
    <v>Mogadishu</v>
    <v>6b153fea-d687-ac84-f937-d59d0a5bdaf6</v>
    <v>en-IN</v>
    <v>Map</v>
  </rv>
  <rv s="1">
    <fb>645.39200000000005</fb>
    <v>25</v>
  </rv>
  <rv s="1">
    <fb>6.0720000000000001</fb>
    <v>26</v>
  </rv>
  <rv s="1">
    <fb>0.10020403920222699</fb>
    <v>24</v>
  </rv>
  <rv s="1">
    <fb>1.41</fb>
    <v>30</v>
  </rv>
  <rv s="1">
    <fb>4720727278.1883297</fb>
    <v>31</v>
  </rv>
  <rv s="1">
    <fb>0.23363539999999999</fb>
    <v>24</v>
  </rv>
  <rv s="1">
    <fb>2.46041E-2</fb>
    <v>24</v>
  </rv>
  <rv s="2">
    <v>174</v>
    <v>22</v>
    <v>916</v>
    <v>7</v>
    <v>0</v>
    <v>Image of Somalia</v>
  </rv>
  <rv s="1">
    <fb>76.599999999999994</fb>
    <v>29</v>
  </rv>
  <rv s="0">
    <v>805306368</v>
    <v>Hassan Sheikh Mohamud (President)</v>
    <v>d1819e08-8cad-4518-ac6e-f3ef48938ebd</v>
    <v>en-IN</v>
    <v>Generic</v>
  </rv>
  <rv s="0">
    <v>805306368</v>
    <v>Hamza Abdi Barre (Prime minister)</v>
    <v>ca870171-69e7-4e60-80e2-a0812c621b0a</v>
    <v>en-IN</v>
    <v>Generic</v>
  </rv>
  <rv s="0">
    <v>805306368</v>
    <v>Aden Madobe (Speaker)</v>
    <v>e3b8ab63-876b-82a8-8149-3d07a50bd651</v>
    <v>en-IN</v>
    <v>Generic</v>
  </rv>
  <rv s="3">
    <v>308</v>
  </rv>
  <rv s="4">
    <v>https://www.bing.com/search?q=somalia&amp;form=skydnc</v>
    <v>Learn more on Bing</v>
  </rv>
  <rv s="1">
    <fb>57.067999999999998</fb>
    <v>29</v>
  </rv>
  <rv s="1">
    <fb>829</fb>
    <v>29</v>
  </rv>
  <rv s="3">
    <v>309</v>
  </rv>
  <rv s="1">
    <fb>2.29E-2</fb>
    <v>26</v>
  </rv>
  <rv s="1">
    <fb>17597511</fb>
    <v>25</v>
  </rv>
  <rv s="1">
    <fb>0.47397998809814501</fb>
    <v>24</v>
  </rv>
  <rv s="0">
    <v>536870912</v>
    <v>Awdal Region</v>
    <v>dc88f9a6-2153-a64c-06a2-87f616cf8e06</v>
    <v>en-IN</v>
    <v>Map</v>
  </rv>
  <rv s="0">
    <v>536870912</v>
    <v>Bakool</v>
    <v>dadbaa78-4326-e3cb-8889-109ae596a2a3</v>
    <v>en-IN</v>
    <v>Map</v>
  </rv>
  <rv s="0">
    <v>536870912</v>
    <v>Banaadir</v>
    <v>47a94b95-50da-e3cb-c6c9-dd8cba83fba4</v>
    <v>en-IN</v>
    <v>Map</v>
  </rv>
  <rv s="0">
    <v>536870912</v>
    <v>Bari</v>
    <v>26e6ebcf-d0b4-0e6a-c727-158f90261893</v>
    <v>en-IN</v>
    <v>Map</v>
  </rv>
  <rv s="0">
    <v>536870912</v>
    <v>Bay</v>
    <v>5720b10c-535c-ff5b-3f90-78350a201b15</v>
    <v>en-IN</v>
    <v>Map</v>
  </rv>
  <rv s="0">
    <v>536870912</v>
    <v>Galguduud</v>
    <v>0cbca1a2-c990-a55a-9a31-acb985524f41</v>
    <v>en-IN</v>
    <v>Map</v>
  </rv>
  <rv s="0">
    <v>536870912</v>
    <v>Gedo</v>
    <v>935ff2fb-6bd8-18e7-3544-4e4a67e78e85</v>
    <v>en-IN</v>
    <v>Map</v>
  </rv>
  <rv s="0">
    <v>536870912</v>
    <v>Hiran</v>
    <v>585d50a6-f0b8-2668-7102-7c0d361e87fd</v>
    <v>en-IN</v>
    <v>Map</v>
  </rv>
  <rv s="0">
    <v>536870912</v>
    <v>Middle Juba</v>
    <v>b27d7a5a-c58f-fde4-79ad-b72da787b9c1</v>
    <v>en-IN</v>
    <v>Map</v>
  </rv>
  <rv s="0">
    <v>536870912</v>
    <v>Lower Juba</v>
    <v>1c3a23f3-dc33-9f09-ce2f-838195564920</v>
    <v>en-IN</v>
    <v>Map</v>
  </rv>
  <rv s="0">
    <v>536870912</v>
    <v>Mudug</v>
    <v>3197077f-31df-5f39-98ac-d91829097e30</v>
    <v>en-IN</v>
    <v>Map</v>
  </rv>
  <rv s="0">
    <v>536870912</v>
    <v>Middle Shabelle</v>
    <v>81542177-8bd5-073d-612d-0f67ff1e44f2</v>
    <v>en-IN</v>
    <v>Map</v>
  </rv>
  <rv s="0">
    <v>536870912</v>
    <v>Lower Shabelle</v>
    <v>ff07773d-4ae7-d991-aeae-d84e23217903</v>
    <v>en-IN</v>
    <v>Map</v>
  </rv>
  <rv s="3">
    <v>310</v>
  </rv>
  <rv s="1">
    <fb>1.2287243373719898E-6</fb>
    <v>24</v>
  </rv>
  <rv s="1">
    <fb>0.11350999832153301</fb>
    <v>32</v>
  </rv>
  <rv s="1">
    <fb>7034861</fb>
    <v>25</v>
  </rv>
  <rv s="89">
    <v>#VALUE!</v>
    <v>en-IN</v>
    <v>14f0659c-f28d-2a2c-7272-22ac7398b0ed</v>
    <v>536870912</v>
    <v>1</v>
    <v>919</v>
    <v>920</v>
    <v>Somalia</v>
    <v>20</v>
    <v>21</v>
    <v>Map</v>
    <v>22</v>
    <v>921</v>
    <v>SO</v>
    <v>5811</v>
    <v>5812</v>
    <v>5813</v>
    <v>5814</v>
    <v>5815</v>
    <v>5816</v>
    <v>5817</v>
    <v>SOS</v>
    <v>Somalia, officially the Federal Republic of Somalia, is a country in the Horn of Africa. The country is bordered by Ethiopia to the west, Djibouti to the northwest, the Gulf of Aden to the north, the Indian Ocean to the east, and Kenya to the ...</v>
    <v>5818</v>
    <v>5819</v>
    <v>5820</v>
    <v>5821</v>
    <v>5822</v>
    <v>5823</v>
    <v>5824</v>
    <v>5825</v>
    <v>5816</v>
    <v>5829</v>
    <v>5830</v>
    <v>5831</v>
    <v>5832</v>
    <v>Somalia</v>
    <v>Qolobaa Calankeed</v>
    <v>5833</v>
    <v>Federal Republic of Somalia</v>
    <v>5834</v>
    <v>5835</v>
    <v>5836</v>
    <v>5850</v>
    <v>5851</v>
    <v>5852</v>
    <v>Somalia</v>
    <v>5853</v>
    <v>mdp/vdpid/216</v>
  </rv>
  <rv s="1">
    <fb>91</fb>
    <v>25</v>
  </rv>
  <rv s="2">
    <v>175</v>
    <v>22</v>
    <v>922</v>
    <v>7</v>
    <v>0</v>
    <v>Image of Mogadishu</v>
  </rv>
  <rv s="1">
    <fb>2.0391666666666701</fb>
    <v>37</v>
  </rv>
  <rv s="0">
    <v>805306368</v>
    <v>Yusuf Hussein Jimaale (Mayor)</v>
    <v>04de3d46-470b-27d7-f398-e328ff819205</v>
    <v>en-IN</v>
    <v>Generic</v>
  </rv>
  <rv s="3">
    <v>311</v>
  </rv>
  <rv s="4">
    <v>https://www.bing.com/search?q=mogadishu&amp;form=skydnc</v>
    <v>Learn more on Bing</v>
  </rv>
  <rv s="1">
    <fb>45.341944444444401</fb>
    <v>37</v>
  </rv>
  <rv s="1">
    <fb>2120000</fb>
    <v>25</v>
  </rv>
  <rv s="14">
    <v>#VALUE!</v>
    <v>en-IN</v>
    <v>6b153fea-d687-ac84-f937-d59d0a5bdaf6</v>
    <v>536870912</v>
    <v>1</v>
    <v>923</v>
    <v>82</v>
    <v>Mogadishu</v>
    <v>20</v>
    <v>21</v>
    <v>Map</v>
    <v>22</v>
    <v>153</v>
    <v>5839</v>
    <v>5855</v>
    <v>5810</v>
    <v>Mogadishu, locally known as Xamar or Hamar, is the capital and most populous city of Somalia. The city has served as an important port connecting traders across the Indian Ocean for millennia, and has an estimated urban population of 2,610,483. ...</v>
    <v>5856</v>
    <v>5857</v>
    <v>5859</v>
    <v>5860</v>
    <v>5861</v>
    <v>Mogadishu</v>
    <v>5862</v>
    <v>Mogadishu</v>
    <v>mdp/vdpid/7445650460117041153</v>
  </rv>
  <rv s="2">
    <v>174</v>
    <v>22</v>
    <v>916</v>
    <v>3</v>
    <v>0</v>
    <v>Image of Somalia</v>
  </rv>
  <rv s="8">
    <v>en-IN</v>
    <v>avhk7w</v>
    <v>268435456</v>
    <v>1</v>
    <v>Powered by Refinitiv</v>
    <v>42</v>
    <v>LYD/USD</v>
    <v>43</v>
    <v>62</v>
    <v>Finance</v>
    <v>45</v>
    <v>0.20749999999999999</v>
    <v>0.17860000000000001</v>
    <v>0</v>
    <v>0</v>
    <v>USD</v>
    <v>LYD</v>
    <v>0.18340000000000001</v>
    <v>Currency Pair</v>
    <v>45957.145775462966</v>
    <v>0.18429999999999999</v>
    <v>Libyan Dinar/US Dollar FX Cross Rate</v>
    <v>0.18340000000000001</v>
    <v>0.18340000000000001</v>
    <v>0.18340000000000001</v>
    <v>LYDUSD</v>
    <v>LYD/USD</v>
  </rv>
  <rv s="9">
    <v>5865</v>
  </rv>
  <rv s="0">
    <v>536870912</v>
    <v>South Africa</v>
    <v>38a9fd4a-4f7c-6d91-d6dd-4eed3131672d</v>
    <v>en-IN</v>
    <v>Map</v>
  </rv>
  <rv s="1">
    <fb>0.79830020855830996</fb>
    <v>24</v>
  </rv>
  <rv s="1">
    <fb>1221037</fb>
    <v>25</v>
  </rv>
  <rv s="1">
    <fb>20.51</fb>
    <v>26</v>
  </rv>
  <rv s="1">
    <fb>27</fb>
    <v>27</v>
  </rv>
  <rv s="0">
    <v>536870912</v>
    <v>Pretoria</v>
    <v>3fa43cca-3409-4d81-f4f9-2df74e37e177</v>
    <v>en-IN</v>
    <v>Map</v>
  </rv>
  <rv s="1">
    <fb>476643.99400000001</fb>
    <v>25</v>
  </rv>
  <rv s="1">
    <fb>158.92793752218699</fb>
    <v>28</v>
  </rv>
  <rv s="1">
    <fb>4.1243507248623905E-2</fb>
    <v>24</v>
  </rv>
  <rv s="1">
    <fb>4197.9070469175304</fb>
    <v>25</v>
  </rv>
  <rv s="1">
    <fb>2.4049999999999998</fb>
    <v>26</v>
  </rv>
  <rv s="1">
    <fb>7.6177365240831296E-2</fb>
    <v>24</v>
  </rv>
  <rv s="1">
    <fb>86.791431691401598</fb>
    <v>29</v>
  </rv>
  <rv s="1">
    <fb>0.92</fb>
    <v>30</v>
  </rv>
  <rv s="1">
    <fb>351431649241.43903</fb>
    <v>31</v>
  </rv>
  <rv s="1">
    <fb>1.0086473</fb>
    <v>24</v>
  </rv>
  <rv s="1">
    <fb>0.22366029999999998</fb>
    <v>24</v>
  </rv>
  <rv s="2">
    <v>176</v>
    <v>22</v>
    <v>925</v>
    <v>7</v>
    <v>0</v>
    <v>Image of South Africa</v>
  </rv>
  <rv s="1">
    <fb>28.5</fb>
    <v>29</v>
  </rv>
  <rv s="0">
    <v>536870912</v>
    <v>Johannesburg</v>
    <v>fdf01f15-cb04-8b6c-43e6-a8b2138c0312</v>
    <v>en-IN</v>
    <v>Map</v>
  </rv>
  <rv s="0">
    <v>805306368</v>
    <v>Cyril Ramaphosa (President)</v>
    <v>c3bf14fa-ef5e-696f-af28-746c7d0b22a9</v>
    <v>en-IN</v>
    <v>Generic</v>
  </rv>
  <rv s="0">
    <v>805306368</v>
    <v>Ray Zondo (Chief justice)</v>
    <v>6777ea3b-220e-4ddf-83ca-57de231379fd</v>
    <v>en-IN</v>
    <v>Generic</v>
  </rv>
  <rv s="3">
    <v>312</v>
  </rv>
  <rv s="4">
    <v>https://www.bing.com/search?q=south+africa&amp;form=skydnc</v>
    <v>Learn more on Bing</v>
  </rv>
  <rv s="1">
    <fb>63.856999999999999</fb>
    <v>29</v>
  </rv>
  <rv s="1">
    <fb>1056341440000</fb>
    <v>31</v>
  </rv>
  <rv s="1">
    <fb>119</fb>
    <v>29</v>
  </rv>
  <rv s="3">
    <v>313</v>
  </rv>
  <rv s="1">
    <fb>7.6985469299999998E-2</fb>
    <v>24</v>
  </rv>
  <rv s="1">
    <fb>0.90539999999999998</fb>
    <v>26</v>
  </rv>
  <rv s="1">
    <fb>59893885</fb>
    <v>25</v>
  </rv>
  <rv s="1">
    <fb>0.505</fb>
    <v>24</v>
  </rv>
  <rv s="1">
    <fb>0.68200000000000005</fb>
    <v>24</v>
  </rv>
  <rv s="1">
    <fb>4.8000000000000001E-2</fb>
    <v>24</v>
  </rv>
  <rv s="1">
    <fb>0.56016998291015596</fb>
    <v>24</v>
  </rv>
  <rv s="0">
    <v>536870912</v>
    <v>Eastern Cape</v>
    <v>52d32047-22e4-2498-c546-1854275462d0</v>
    <v>en-IN</v>
    <v>Map</v>
  </rv>
  <rv s="0">
    <v>536870912</v>
    <v>Free State</v>
    <v>a80d303a-f84e-1047-ecc5-821b167d82e2</v>
    <v>en-IN</v>
    <v>Map</v>
  </rv>
  <rv s="0">
    <v>536870912</v>
    <v>Gauteng</v>
    <v>adc304a6-9c62-702f-7ed7-29afec5c41a8</v>
    <v>en-IN</v>
    <v>Map</v>
  </rv>
  <rv s="0">
    <v>536870912</v>
    <v>KwaZulu-Natal</v>
    <v>b18f871a-4296-ec9f-bd43-fc7b0e94f309</v>
    <v>en-IN</v>
    <v>Map</v>
  </rv>
  <rv s="0">
    <v>536870912</v>
    <v>Limpopo</v>
    <v>1145af3c-da05-7eb5-c05e-8dbdf794ccd4</v>
    <v>en-IN</v>
    <v>Map</v>
  </rv>
  <rv s="0">
    <v>536870912</v>
    <v>Mpumalanga</v>
    <v>fe8e43ff-3125-ea79-5306-db1bee5c12d8</v>
    <v>en-IN</v>
    <v>Map</v>
  </rv>
  <rv s="0">
    <v>536870912</v>
    <v>North West Province</v>
    <v>a9ca554b-55e2-f0d1-dbe6-796b1fc29dff</v>
    <v>en-IN</v>
    <v>Map</v>
  </rv>
  <rv s="0">
    <v>536870912</v>
    <v>Northern Cape</v>
    <v>c7811f0b-afea-afb9-4c2d-695826b9ca98</v>
    <v>en-IN</v>
    <v>Map</v>
  </rv>
  <rv s="0">
    <v>536870912</v>
    <v>Western Cape</v>
    <v>c7b124b8-e75d-0b9b-5245-dda6bbb13800</v>
    <v>en-IN</v>
    <v>Map</v>
  </rv>
  <rv s="3">
    <v>314</v>
  </rv>
  <rv s="1">
    <fb>0.27465217966612804</fb>
    <v>24</v>
  </rv>
  <rv s="1">
    <fb>0.28180999755859398</fb>
    <v>32</v>
  </rv>
  <rv s="1">
    <fb>39149717</fb>
    <v>25</v>
  </rv>
  <rv s="20">
    <v>#VALUE!</v>
    <v>en-IN</v>
    <v>38a9fd4a-4f7c-6d91-d6dd-4eed3131672d</v>
    <v>536870912</v>
    <v>1</v>
    <v>928</v>
    <v>116</v>
    <v>South Africa</v>
    <v>20</v>
    <v>21</v>
    <v>Map</v>
    <v>22</v>
    <v>929</v>
    <v>ZA</v>
    <v>5868</v>
    <v>5869</v>
    <v>1430</v>
    <v>5870</v>
    <v>5871</v>
    <v>5872</v>
    <v>5873</v>
    <v>5874</v>
    <v>5875</v>
    <v>ZAR</v>
    <v>South Africa, officially the Republic of South Africa, is the southernmost country in Africa. It is bounded to the south by 2,798 kilometres of coastline that stretches along the South Atlantic and Indian Oceans; to the north by the neighbouring ...</v>
    <v>5876</v>
    <v>5877</v>
    <v>5878</v>
    <v>5879</v>
    <v>5880</v>
    <v>5881</v>
    <v>5882</v>
    <v>5883</v>
    <v>5884</v>
    <v>5885</v>
    <v>5886</v>
    <v>5889</v>
    <v>5890</v>
    <v>5891</v>
    <v>5892</v>
    <v>5893</v>
    <v>South Africa</v>
    <v>National anthem of South Africa</v>
    <v>5894</v>
    <v>Republic of South Africa</v>
    <v>5895</v>
    <v>5896</v>
    <v>5897</v>
    <v>2739</v>
    <v>5898</v>
    <v>5899</v>
    <v>4940</v>
    <v>966</v>
    <v>5900</v>
    <v>816</v>
    <v>5901</v>
    <v>5911</v>
    <v>5912</v>
    <v>5781</v>
    <v>5913</v>
    <v>South Africa</v>
    <v>5914</v>
    <v>mdp/vdpid/209</v>
  </rv>
  <rv s="0">
    <v>536870912</v>
    <v>City of Tshwane Metropolitan Municipality</v>
    <v>6edc8312-e5b7-c7f7-5b61-db3f0e797204</v>
    <v>en-IN</v>
    <v>Map</v>
  </rv>
  <rv s="1">
    <fb>688</fb>
    <v>25</v>
  </rv>
  <rv s="2">
    <v>177</v>
    <v>22</v>
    <v>930</v>
    <v>7</v>
    <v>0</v>
    <v>Image of Pretoria</v>
  </rv>
  <rv s="1">
    <fb>-25.746388888889001</fb>
    <v>37</v>
  </rv>
  <rv s="0">
    <v>805306368</v>
    <v>Cilliers Brink (Mayor)</v>
    <v>477e1eed-70e9-bb3d-b0d5-cd5e290b2f4a</v>
    <v>en-IN</v>
    <v>Generic</v>
  </rv>
  <rv s="3">
    <v>315</v>
  </rv>
  <rv s="4">
    <v>https://www.bing.com/search?q=pretoria&amp;form=skydnc</v>
    <v>Learn more on Bing</v>
  </rv>
  <rv s="1">
    <fb>28.188055555556002</fb>
    <v>37</v>
  </rv>
  <rv s="1">
    <fb>741651</fb>
    <v>25</v>
  </rv>
  <rv s="21">
    <v>#VALUE!</v>
    <v>en-IN</v>
    <v>3fa43cca-3409-4d81-f4f9-2df74e37e177</v>
    <v>536870912</v>
    <v>1</v>
    <v>931</v>
    <v>120</v>
    <v>Pretoria</v>
    <v>20</v>
    <v>21</v>
    <v>Map</v>
    <v>22</v>
    <v>36</v>
    <v>5904</v>
    <v>5916</v>
    <v>5917</v>
    <v>5867</v>
    <v>Pretoria is South Africa's administrative capital, serving as the seat of the executive branch of government, and as the host to all foreign embassies to South Africa. Pretoria straddles the Apies River and extends eastward into the foothills of ...</v>
    <v>5918</v>
    <v>5919</v>
    <v>5921</v>
    <v>5922</v>
    <v>5923</v>
    <v>Pretoria</v>
    <v>5924</v>
    <v>Pretoria</v>
    <v>mdp/vdpid/8181932715222761474</v>
  </rv>
  <rv s="0">
    <v>536870912</v>
    <v>City of Johannesburg Metropolitan Municipality</v>
    <v>c25e1c4f-7862-bc8f-bc96-b190b850e84d</v>
    <v>en-IN</v>
    <v>Map</v>
  </rv>
  <rv s="1">
    <fb>1644</fb>
    <v>25</v>
  </rv>
  <rv s="2">
    <v>178</v>
    <v>22</v>
    <v>932</v>
    <v>7</v>
    <v>0</v>
    <v>Image of Johannesburg</v>
  </rv>
  <rv s="1">
    <fb>-26.204361111111002</fb>
    <v>37</v>
  </rv>
  <rv s="0">
    <v>805306368</v>
    <v>Kabelo Gwamanda (Mayor)</v>
    <v>2b492614-093b-c45d-7048-2aa335f873cd</v>
    <v>en-IN</v>
    <v>Generic</v>
  </rv>
  <rv s="3">
    <v>316</v>
  </rv>
  <rv s="4">
    <v>https://www.bing.com/search?q=johannesburg&amp;form=skydnc</v>
    <v>Learn more on Bing</v>
  </rv>
  <rv s="1">
    <fb>28.041638888889</fb>
    <v>37</v>
  </rv>
  <rv s="1">
    <fb>4434827</fb>
    <v>25</v>
  </rv>
  <rv s="21">
    <v>#VALUE!</v>
    <v>en-IN</v>
    <v>fdf01f15-cb04-8b6c-43e6-a8b2138c0312</v>
    <v>536870912</v>
    <v>1</v>
    <v>933</v>
    <v>120</v>
    <v>Johannesburg</v>
    <v>20</v>
    <v>21</v>
    <v>Map</v>
    <v>22</v>
    <v>36</v>
    <v>5904</v>
    <v>5926</v>
    <v>5927</v>
    <v>5867</v>
    <v>Johannesburg is the most populous city in South Africa with 4,803,262 people, and is classified as a megacity; it is one of the 100 largest urban areas in the world. It is the provincial capital and largest city of Gauteng, which is the ...</v>
    <v>5928</v>
    <v>5929</v>
    <v>5931</v>
    <v>5932</v>
    <v>5933</v>
    <v>Johannesburg</v>
    <v>5934</v>
    <v>Johannesburg</v>
    <v>mdp/vdpid/8180484087228661761</v>
  </rv>
  <rv s="2">
    <v>176</v>
    <v>22</v>
    <v>925</v>
    <v>3</v>
    <v>0</v>
    <v>Image of South Africa</v>
  </rv>
  <rv s="59">
    <v>en-IN</v>
    <v>avyqim</v>
    <v>268435456</v>
    <v>1</v>
    <v>Powered by Refinitiv</v>
    <v>511</v>
    <v>USD/MAD</v>
    <v>43</v>
    <v>934</v>
    <v>Finance</v>
    <v>45</v>
    <v>10.144</v>
    <v>8.9354999999999993</v>
    <v>-1.9E-2</v>
    <v>-2.0579999999999999E-3</v>
    <v>MAD</v>
    <v>USD</v>
    <v>Currency Pair</v>
    <v>45954.876111111109</v>
    <v>US Dollar/Moroccan Dirham FX Spot Rate</v>
    <v>9.2327999999999992</v>
    <v>9.2138000000000009</v>
    <v>USDMAD</v>
    <v>USD/MAD</v>
  </rv>
  <rv s="9">
    <v>5937</v>
  </rv>
  <rv s="0">
    <v>536870912</v>
    <v>South Korea</v>
    <v>c0e15be0-5113-402c-c03f-516a6265e9cb</v>
    <v>en-IN</v>
    <v>Map</v>
  </rv>
  <rv s="1">
    <fb>0.17446070640579101</fb>
    <v>24</v>
  </rv>
  <rv s="1">
    <fb>100295</fb>
    <v>25</v>
  </rv>
  <rv s="1">
    <fb>634000</fb>
    <v>25</v>
  </rv>
  <rv s="1">
    <fb>6.4</fb>
    <v>26</v>
  </rv>
  <rv s="1">
    <fb>82</fb>
    <v>27</v>
  </rv>
  <rv s="0">
    <v>536870912</v>
    <v>Seoul</v>
    <v>669b47ba-40b4-0147-3657-a7dd0861132c</v>
    <v>en-IN</v>
    <v>Map</v>
  </rv>
  <rv s="1">
    <fb>620302.38600000006</fb>
    <v>25</v>
  </rv>
  <rv s="1">
    <fb>115.15858742558</fb>
    <v>28</v>
  </rv>
  <rv s="1">
    <fb>3.8294613224406E-3</fb>
    <v>24</v>
  </rv>
  <rv s="1">
    <fb>10496.5136719641</fb>
    <v>25</v>
  </rv>
  <rv s="1">
    <fb>0.97699999999999998</fb>
    <v>26</v>
  </rv>
  <rv s="1">
    <fb>0.63354836492977906</fb>
    <v>24</v>
  </rv>
  <rv s="1">
    <fb>81.028475807144503</fb>
    <v>29</v>
  </rv>
  <rv s="1">
    <fb>1.22</fb>
    <v>30</v>
  </rv>
  <rv s="1">
    <fb>2029000000000</fb>
    <v>31</v>
  </rv>
  <rv s="1">
    <fb>0.98088600000000004</fb>
    <v>24</v>
  </rv>
  <rv s="1">
    <fb>0.94349689999999997</fb>
    <v>24</v>
  </rv>
  <rv s="2">
    <v>179</v>
    <v>22</v>
    <v>936</v>
    <v>7</v>
    <v>0</v>
    <v>Image of South Korea</v>
  </rv>
  <rv s="1">
    <fb>2.7</fb>
    <v>29</v>
  </rv>
  <rv s="0">
    <v>805306368</v>
    <v>Yoon Suk Yeol (President)</v>
    <v>af8383ab-575b-52df-438a-1678504626cd</v>
    <v>en-IN</v>
    <v>Generic</v>
  </rv>
  <rv s="0">
    <v>805306368</v>
    <v>Han Duck-soo (Prime minister)</v>
    <v>058dfd81-df36-7fb6-eadf-9736baef167f</v>
    <v>en-IN</v>
    <v>Generic</v>
  </rv>
  <rv s="3">
    <v>317</v>
  </rv>
  <rv s="4">
    <v>https://www.bing.com/search?q=south+korea&amp;form=skydnc</v>
    <v>Learn more on Bing</v>
  </rv>
  <rv s="1">
    <fb>82.626829268292695</fb>
    <v>29</v>
  </rv>
  <rv s="1">
    <fb>1413716510000</fb>
    <v>31</v>
  </rv>
  <rv s="1">
    <fb>6.49</fb>
    <v>30</v>
  </rv>
  <rv s="3">
    <v>318</v>
  </rv>
  <rv s="1">
    <fb>0.36792971710000005</fb>
    <v>24</v>
  </rv>
  <rv s="1">
    <fb>2.3607999999999998</fb>
    <v>26</v>
  </rv>
  <rv s="1">
    <fb>51628117</fb>
    <v>25</v>
  </rv>
  <rv s="1">
    <fb>0.39</fb>
    <v>24</v>
  </rv>
  <rv s="1">
    <fb>7.2999999999999995E-2</fb>
    <v>24</v>
  </rv>
  <rv s="1">
    <fb>0.62970001220703098</fb>
    <v>24</v>
  </rv>
  <rv s="0">
    <v>536870912</v>
    <v>Busan</v>
    <v>ab78ce75-913b-16f3-a3d1-72a46c7e4c42</v>
    <v>en-IN</v>
    <v>Map</v>
  </rv>
  <rv s="0">
    <v>536870912</v>
    <v>Daegu</v>
    <v>ed9efeb7-692d-e93b-eeff-c93b6f906f73</v>
    <v>en-IN</v>
    <v>Map</v>
  </rv>
  <rv s="0">
    <v>536870912</v>
    <v>Incheon</v>
    <v>251c93a5-c29d-4e48-dd3f-1d5ac7861fa3</v>
    <v>en-IN</v>
    <v>Map</v>
  </rv>
  <rv s="0">
    <v>536870912</v>
    <v>Gwangju</v>
    <v>1ceff0b5-a865-dd51-d697-9fee8740447e</v>
    <v>en-IN</v>
    <v>Map</v>
  </rv>
  <rv s="0">
    <v>536870912</v>
    <v>Daejeon</v>
    <v>6f5216bc-1581-3eaa-8a74-f4122af47cdd</v>
    <v>en-IN</v>
    <v>Map</v>
  </rv>
  <rv s="0">
    <v>536870912</v>
    <v>Ulsan</v>
    <v>91c0546f-5834-7fd6-735f-542bc70be1cf</v>
    <v>en-IN</v>
    <v>Map</v>
  </rv>
  <rv s="0">
    <v>536870912</v>
    <v>Sejong City</v>
    <v>4b3538fb-9c24-d852-b122-f107916a0663</v>
    <v>en-IN</v>
    <v>Map</v>
  </rv>
  <rv s="0">
    <v>536870912</v>
    <v>Gyeonggi Province</v>
    <v>6b578621-8b2d-13ef-1af0-281a90a0fd92</v>
    <v>en-IN</v>
    <v>Map</v>
  </rv>
  <rv s="0">
    <v>536870912</v>
    <v>Gangwon Province, South Korea</v>
    <v>969f749a-ed96-7379-b76c-a7fc63af8e94</v>
    <v>en-IN</v>
    <v>Map</v>
  </rv>
  <rv s="0">
    <v>536870912</v>
    <v>North Chungcheong Province</v>
    <v>ea7cdefc-04fe-45be-8ac1-07b9a4d6dc32</v>
    <v>en-IN</v>
    <v>Map</v>
  </rv>
  <rv s="0">
    <v>536870912</v>
    <v>South Chungcheong Province</v>
    <v>302fa333-ce2a-affc-c170-5f8d18500d9b</v>
    <v>en-IN</v>
    <v>Map</v>
  </rv>
  <rv s="0">
    <v>536870912</v>
    <v>Jeonbuk State</v>
    <v>d8cda014-25af-90ec-91e8-3b7ffccc6380</v>
    <v>en-IN</v>
    <v>Map</v>
  </rv>
  <rv s="0">
    <v>536870912</v>
    <v>South Jeolla Province</v>
    <v>9a4dcd3b-649f-605b-aee3-3f6dcf5c3680</v>
    <v>en-IN</v>
    <v>Map</v>
  </rv>
  <rv s="0">
    <v>536870912</v>
    <v>North Gyeongsang Province</v>
    <v>44899bdf-131d-a103-5b55-bb862b8d3bf3</v>
    <v>en-IN</v>
    <v>Map</v>
  </rv>
  <rv s="0">
    <v>536870912</v>
    <v>South Gyeongsang Province</v>
    <v>86e32791-8efc-1d3b-3a8f-1b9d6fd990a1</v>
    <v>en-IN</v>
    <v>Map</v>
  </rv>
  <rv s="0">
    <v>536870912</v>
    <v>Jeju Province</v>
    <v>30be7545-0861-845d-8d83-ec99d53fc5d9</v>
    <v>en-IN</v>
    <v>Map</v>
  </rv>
  <rv s="3">
    <v>319</v>
  </rv>
  <rv s="1">
    <fb>0.15574911728035101</fb>
    <v>24</v>
  </rv>
  <rv s="3">
    <v>320</v>
  </rv>
  <rv s="1">
    <fb>4.1479997634887703E-2</fb>
    <v>32</v>
  </rv>
  <rv s="1">
    <fb>42106719</fb>
    <v>25</v>
  </rv>
  <rv s="5">
    <v>#VALUE!</v>
    <v>en-IN</v>
    <v>c0e15be0-5113-402c-c03f-516a6265e9cb</v>
    <v>536870912</v>
    <v>1</v>
    <v>940</v>
    <v>18</v>
    <v>South Korea</v>
    <v>20</v>
    <v>21</v>
    <v>Map</v>
    <v>22</v>
    <v>941</v>
    <v>KR</v>
    <v>5940</v>
    <v>5941</v>
    <v>5942</v>
    <v>5943</v>
    <v>5944</v>
    <v>5945</v>
    <v>5946</v>
    <v>5947</v>
    <v>5948</v>
    <v>KRW</v>
    <v>South Korea, officially the Republic of Korea, is a country in East Asia. It constitutes the southern part of the Korean Peninsula and borders North Korea along the Korean Demilitarized Zone. The country's western border is formed by the Yellow ...</v>
    <v>5949</v>
    <v>5950</v>
    <v>5951</v>
    <v>5952</v>
    <v>5953</v>
    <v>5954</v>
    <v>5955</v>
    <v>5956</v>
    <v>5957</v>
    <v>5958</v>
    <v>5945</v>
    <v>5961</v>
    <v>5962</v>
    <v>5963</v>
    <v>5964</v>
    <v>2473</v>
    <v>5965</v>
    <v>South Korea</v>
    <v>Aegukga</v>
    <v>5966</v>
    <v>대한민국</v>
    <v>5967</v>
    <v>5968</v>
    <v>5969</v>
    <v>5549</v>
    <v>5318</v>
    <v>5970</v>
    <v>1022</v>
    <v>5971</v>
    <v>1120</v>
    <v>2623</v>
    <v>5972</v>
    <v>5989</v>
    <v>5990</v>
    <v>5991</v>
    <v>4845</v>
    <v>5992</v>
    <v>South Korea</v>
    <v>5993</v>
    <v>mdp/vdpid/134</v>
  </rv>
  <rv s="1">
    <fb>605.25</fb>
    <v>25</v>
  </rv>
  <rv s="0">
    <v>536870912</v>
    <v>Jung District</v>
    <v>6ded7087-821c-6453-3bd8-2a280fe33548</v>
    <v>en-IN</v>
    <v>Map</v>
  </rv>
  <rv s="1">
    <fb>3915023</fb>
    <v>25</v>
  </rv>
  <rv s="1">
    <fb>2830857</fb>
    <v>25</v>
  </rv>
  <rv s="2">
    <v>180</v>
    <v>22</v>
    <v>942</v>
    <v>7</v>
    <v>0</v>
    <v>Image of Seoul</v>
  </rv>
  <rv s="0">
    <v>805306368</v>
    <v>Oh Se-hoon (Mayor)</v>
    <v>0771cc02-de02-404f-b63d-e5126ad480d4</v>
    <v>en-IN</v>
    <v>Generic</v>
  </rv>
  <rv s="3">
    <v>321</v>
  </rv>
  <rv s="4">
    <v>https://www.bing.com/search?q=seoul+korea&amp;form=skydnc</v>
    <v>Learn more on Bing</v>
  </rv>
  <rv s="1">
    <fb>9668465</fb>
    <v>25</v>
  </rv>
  <rv s="90">
    <v>#VALUE!</v>
    <v>en-IN</v>
    <v>669b47ba-40b4-0147-3657-a7dd0861132c</v>
    <v>536870912</v>
    <v>1</v>
    <v>945</v>
    <v>946</v>
    <v>Seoul</v>
    <v>20</v>
    <v>21</v>
    <v>Map</v>
    <v>22</v>
    <v>947</v>
    <v>KR-11</v>
    <v>5995</v>
    <v>5996</v>
    <v>3673</v>
    <v>Seoul, officially Seoul Special City, serves as the capital and South Korea's most extensive urban center. The broader Seoul metropolitan area, encompassing Gyeonggi province and Incheon metropolitan city, emerged as the world's fourth largest ...</v>
    <v>5997</v>
    <v>5998</v>
    <v>5999</v>
    <v>6001</v>
    <v>6002</v>
    <v>Seoul</v>
    <v>3653</v>
    <v>6003</v>
    <v>Seoul</v>
    <v>mdp/vdpid/7832619085128007681</v>
  </rv>
  <rv s="2">
    <v>179</v>
    <v>22</v>
    <v>936</v>
    <v>3</v>
    <v>0</v>
    <v>Image of South Korea</v>
  </rv>
  <rv s="59">
    <v>en-IN</v>
    <v>avl7k2</v>
    <v>268435456</v>
    <v>1</v>
    <v>Powered by Refinitiv</v>
    <v>511</v>
    <v>MAD/USD</v>
    <v>43</v>
    <v>522</v>
    <v>Finance</v>
    <v>45</v>
    <v>0.1119</v>
    <v>9.8530000000000006E-2</v>
    <v>0</v>
    <v>0</v>
    <v>USD</v>
    <v>MAD</v>
    <v>Currency Pair</v>
    <v>45954.876111111109</v>
    <v>Moroccan Dirham/US Dollar FX Cross Rate</v>
    <v>0.10829999999999999</v>
    <v>0.10829999999999999</v>
    <v>MADUSD</v>
    <v>MAD/USD</v>
  </rv>
  <rv s="9">
    <v>6006</v>
  </rv>
  <rv s="0">
    <v>536870912</v>
    <v>South Sudan</v>
    <v>635b509c-70bc-d390-59d2-111df3a4c6bf</v>
    <v>en-IN</v>
    <v>Map</v>
  </rv>
  <rv s="1">
    <fb>644329</fb>
    <v>25</v>
  </rv>
  <rv s="1">
    <fb>185000</fb>
    <v>25</v>
  </rv>
  <rv s="1">
    <fb>35.01</fb>
    <v>26</v>
  </rv>
  <rv s="1">
    <fb>211</fb>
    <v>27</v>
  </rv>
  <rv s="0">
    <v>536870912</v>
    <v>Juba</v>
    <v>4dfb3035-1f71-020c-ac75-1fd8e9de5a25</v>
    <v>en-IN</v>
    <v>Map</v>
  </rv>
  <rv s="1">
    <fb>1727.1569999999999</fb>
    <v>25</v>
  </rv>
  <rv s="1">
    <fb>4583.7054616258101</fb>
    <v>28</v>
  </rv>
  <rv s="1">
    <fb>1.8785162569662401</fb>
    <v>24</v>
  </rv>
  <rv s="1">
    <fb>43.5817242123859</fb>
    <v>25</v>
  </rv>
  <rv s="1">
    <fb>4.6959999999999997</fb>
    <v>26</v>
  </rv>
  <rv s="1">
    <fb>72.222634783900205</fb>
    <v>29</v>
  </rv>
  <rv s="1">
    <fb>0.28000000000000003</fb>
    <v>30</v>
  </rv>
  <rv s="1">
    <fb>11997800751.0613</fb>
    <v>31</v>
  </rv>
  <rv s="1">
    <fb>0.72989909999999991</fb>
    <v>24</v>
  </rv>
  <rv s="2">
    <v>181</v>
    <v>22</v>
    <v>949</v>
    <v>7</v>
    <v>0</v>
    <v>Image of South Sudan</v>
  </rv>
  <rv s="1">
    <fb>63.7</fb>
    <v>29</v>
  </rv>
  <rv s="0">
    <v>805306368</v>
    <v>Salva Kiir Mayardit (President)</v>
    <v>c0ae52ac-d436-411b-b133-bb255da42af4</v>
    <v>en-IN</v>
    <v>Generic</v>
  </rv>
  <rv s="0">
    <v>805306368</v>
    <v>Jemma Nunu Kumba (Speaker)</v>
    <v>7c089c61-5460-31b4-dc01-29cbc64a5baf</v>
    <v>en-IN</v>
    <v>Generic</v>
  </rv>
  <rv s="0">
    <v>805306368</v>
    <v>Chan Reec Madut (Chief justice)</v>
    <v>72ac3d5e-732a-a00f-fd6b-0139d7be7182</v>
    <v>en-IN</v>
    <v>Generic</v>
  </rv>
  <rv s="3">
    <v>322</v>
  </rv>
  <rv s="4">
    <v>https://www.bing.com/search?q=south+sudan&amp;form=skydnc</v>
    <v>Learn more on Bing</v>
  </rv>
  <rv s="1">
    <fb>57.603999999999999</fb>
    <v>29</v>
  </rv>
  <rv s="1">
    <fb>1150</fb>
    <v>29</v>
  </rv>
  <rv s="1">
    <fb>0.61346893280000003</fb>
    <v>24</v>
  </rv>
  <rv s="1">
    <fb>10913164</fb>
    <v>25</v>
  </rv>
  <rv s="1">
    <fb>0.50600000000000001</fb>
    <v>24</v>
  </rv>
  <rv s="1">
    <fb>8.5999999999999993E-2</fb>
    <v>24</v>
  </rv>
  <rv s="1">
    <fb>0.72386001586914106</fb>
    <v>24</v>
  </rv>
  <rv s="0">
    <v>536870912</v>
    <v>Jonglei State</v>
    <v>55bb8850-8170-898d-2687-c0773460903b</v>
    <v>en-IN</v>
    <v>Map</v>
  </rv>
  <rv s="0">
    <v>536870912</v>
    <v>Abyei</v>
    <v>6173b5eb-ce20-e968-2a66-3b7ba351556c</v>
    <v>en-IN</v>
    <v>Map</v>
  </rv>
  <rv s="3">
    <v>323</v>
  </rv>
  <rv s="1">
    <fb>0.314</fb>
    <v>24</v>
  </rv>
  <rv s="1">
    <fb>0.122440004348755</fb>
    <v>32</v>
  </rv>
  <rv s="1">
    <fb>2201250</fb>
    <v>25</v>
  </rv>
  <rv s="91">
    <v>#VALUE!</v>
    <v>en-IN</v>
    <v>635b509c-70bc-d390-59d2-111df3a4c6bf</v>
    <v>536870912</v>
    <v>1</v>
    <v>952</v>
    <v>953</v>
    <v>South Sudan</v>
    <v>20</v>
    <v>21</v>
    <v>Map</v>
    <v>22</v>
    <v>954</v>
    <v>SS</v>
    <v>6009</v>
    <v>6010</v>
    <v>6011</v>
    <v>6012</v>
    <v>6013</v>
    <v>6014</v>
    <v>6015</v>
    <v>6016</v>
    <v>SSP</v>
    <v>South Sudan, officially the Republic of South Sudan, is a landlocked country in eastern Central Africa. It is bordered by Ethiopia, Sudan, the Central African Republic, the Democratic Republic of the Congo, Uganda, and Kenya. Its population was ...</v>
    <v>6017</v>
    <v>6018</v>
    <v>6019</v>
    <v>6020</v>
    <v>6021</v>
    <v>6022</v>
    <v>6023</v>
    <v>6024</v>
    <v>6013</v>
    <v>6028</v>
    <v>6029</v>
    <v>6030</v>
    <v>6031</v>
    <v>South Sudan</v>
    <v>South Sudan Oyee!</v>
    <v>1974</v>
    <v>la République du Soudan du Sud</v>
    <v>6032</v>
    <v>6033</v>
    <v>1308</v>
    <v>4845</v>
    <v>6034</v>
    <v>5140</v>
    <v>3958</v>
    <v>6035</v>
    <v>1525</v>
    <v>6036</v>
    <v>6039</v>
    <v>6040</v>
    <v>6041</v>
    <v>South Sudan</v>
    <v>6042</v>
    <v>mdp/vdpid/276</v>
  </rv>
  <rv s="0">
    <v>536870912</v>
    <v>Central Equatoria</v>
    <v>8a2ac9ce-dd1e-21a9-d7dc-279b55fdf3a0</v>
    <v>en-IN</v>
    <v>Map</v>
  </rv>
  <rv s="1">
    <fb>52</fb>
    <v>25</v>
  </rv>
  <rv s="2">
    <v>182</v>
    <v>22</v>
    <v>955</v>
    <v>7</v>
    <v>0</v>
    <v>Image of Juba</v>
  </rv>
  <rv s="1">
    <fb>4.8499999999999996</fb>
    <v>37</v>
  </rv>
  <rv s="0">
    <v>805306368</v>
    <v>Stephen Wani Michael (Mayor)</v>
    <v>9876a3ba-e169-a289-7194-ca5d9bdb0ebc</v>
    <v>en-IN</v>
    <v>Generic</v>
  </rv>
  <rv s="3">
    <v>324</v>
  </rv>
  <rv s="4">
    <v>https://www.bing.com/search?q=juba&amp;form=skydnc</v>
    <v>Learn more on Bing</v>
  </rv>
  <rv s="1">
    <fb>31.6</fb>
    <v>37</v>
  </rv>
  <rv s="1">
    <fb>525953</fb>
    <v>25</v>
  </rv>
  <rv s="14">
    <v>#VALUE!</v>
    <v>en-IN</v>
    <v>4dfb3035-1f71-020c-ac75-1fd8e9de5a25</v>
    <v>536870912</v>
    <v>1</v>
    <v>956</v>
    <v>82</v>
    <v>Juba</v>
    <v>20</v>
    <v>21</v>
    <v>Map</v>
    <v>22</v>
    <v>651</v>
    <v>6044</v>
    <v>6045</v>
    <v>6008</v>
    <v>Juba is the capital and largest city of South Sudan. The city is situated on the White Nile and also serves as the capital of the Central Equatoria State. It is the most recently declared national capital and had a population of 525,953 in 2017. ...</v>
    <v>6046</v>
    <v>6047</v>
    <v>6049</v>
    <v>6050</v>
    <v>6051</v>
    <v>Juba</v>
    <v>6052</v>
    <v>Juba</v>
    <v>mdp/vdpid/7339261727529238529</v>
  </rv>
  <rv s="2">
    <v>181</v>
    <v>22</v>
    <v>949</v>
    <v>3</v>
    <v>0</v>
    <v>Image of South Sudan</v>
  </rv>
  <rv s="59">
    <v>en-IN</v>
    <v>avyk8m</v>
    <v>268435456</v>
    <v>1</v>
    <v>Powered by Refinitiv</v>
    <v>511</v>
    <v>USD/DZD</v>
    <v>43</v>
    <v>957</v>
    <v>Finance</v>
    <v>45</v>
    <v>136.0926</v>
    <v>128.4521</v>
    <v>-0.30320000000000003</v>
    <v>-2.3370000000000001E-3</v>
    <v>DZD</v>
    <v>USD</v>
    <v>Currency Pair</v>
    <v>45954.892581018517</v>
    <v>US Dollar/Algerian Dinar FX Spot Rate</v>
    <v>129.7372</v>
    <v>129.434</v>
    <v>USDDZD</v>
    <v>USD/DZD</v>
  </rv>
  <rv s="9">
    <v>6055</v>
  </rv>
  <rv s="0">
    <v>536870912</v>
    <v>Spain</v>
    <v>1baf9d59-f443-e9f4-6e49-de048a073e3f</v>
    <v>en-IN</v>
    <v>Map</v>
  </rv>
  <rv s="1">
    <fb>0.52577247440306896</fb>
    <v>24</v>
  </rv>
  <rv s="1">
    <fb>505990</fb>
    <v>25</v>
  </rv>
  <rv s="1">
    <fb>196000</fb>
    <v>25</v>
  </rv>
  <rv s="1">
    <fb>7.9</fb>
    <v>26</v>
  </rv>
  <rv s="1">
    <fb>34</fb>
    <v>27</v>
  </rv>
  <rv s="0">
    <v>536870912</v>
    <v>Madrid</v>
    <v>a497c067-c4c6-4bf4-9a5d-34fd30589bda</v>
    <v>en-IN</v>
    <v>Map</v>
  </rv>
  <rv s="1">
    <fb>244002.18</fb>
    <v>25</v>
  </rv>
  <rv s="1">
    <fb>110.96151904206</fb>
    <v>28</v>
  </rv>
  <rv s="1">
    <fb>6.9953624171701497E-3</fb>
    <v>24</v>
  </rv>
  <rv s="1">
    <fb>5355.9870055822103</fb>
    <v>25</v>
  </rv>
  <rv s="1">
    <fb>0.36936209528965797</fb>
    <v>24</v>
  </rv>
  <rv s="1">
    <fb>72.955546118337793</fb>
    <v>29</v>
  </rv>
  <rv s="1">
    <fb>1.26</fb>
    <v>30</v>
  </rv>
  <rv s="1">
    <fb>1394116310768.6299</fb>
    <v>31</v>
  </rv>
  <rv s="1">
    <fb>1.0271029</fb>
    <v>24</v>
  </rv>
  <rv s="1">
    <fb>0.88853009999999999</fb>
    <v>24</v>
  </rv>
  <rv s="2">
    <v>183</v>
    <v>22</v>
    <v>959</v>
    <v>7</v>
    <v>0</v>
    <v>Image of Spain</v>
  </rv>
  <rv s="1">
    <fb>2.5</fb>
    <v>29</v>
  </rv>
  <rv s="0">
    <v>805306368</v>
    <v>Felipe VI (Monarch)</v>
    <v>ec86fb82-ddbc-286a-d1a7-3644682c1efc</v>
    <v>en-IN</v>
    <v>Generic</v>
  </rv>
  <rv s="0">
    <v>805306368</v>
    <v>Pedro Sánchez (Prime minister)</v>
    <v>9e0d6cf3-f466-7b6f-0a92-aa23020fc120</v>
    <v>en-IN</v>
    <v>Generic</v>
  </rv>
  <rv s="3">
    <v>325</v>
  </rv>
  <rv s="4">
    <v>https://www.bing.com/search?q=spain&amp;form=skydnc</v>
    <v>Learn more on Bing</v>
  </rv>
  <rv s="1">
    <fb>83.334146341463395</fb>
    <v>29</v>
  </rv>
  <rv s="1">
    <fb>797285840000</fb>
    <v>31</v>
  </rv>
  <rv s="1">
    <fb>4</fb>
    <v>29</v>
  </rv>
  <rv s="1">
    <fb>5.6</fb>
    <v>30</v>
  </rv>
  <rv s="1">
    <fb>0.24229018520000001</fb>
    <v>24</v>
  </rv>
  <rv s="1">
    <fb>3.8723000000000001</fb>
    <v>26</v>
  </rv>
  <rv s="1">
    <fb>47615034</fb>
    <v>25</v>
  </rv>
  <rv s="1">
    <fb>0.23399999999999999</fb>
    <v>24</v>
  </rv>
  <rv s="1">
    <fb>0.254</fb>
    <v>24</v>
  </rv>
  <rv s="1">
    <fb>0.17199999999999999</fb>
    <v>24</v>
  </rv>
  <rv s="1">
    <fb>0.57492000579834002</fb>
    <v>24</v>
  </rv>
  <rv s="0">
    <v>536870912</v>
    <v>Andalusia</v>
    <v>b009454b-b921-1477-fbf3-ea4c66d409b5</v>
    <v>en-IN</v>
    <v>Map</v>
  </rv>
  <rv s="0">
    <v>536870912</v>
    <v>Catalonia</v>
    <v>54afd4ed-d6c4-c6c9-2f8d-10440795b196</v>
    <v>en-IN</v>
    <v>Map</v>
  </rv>
  <rv s="0">
    <v>536870912</v>
    <v>Community of Madrid</v>
    <v>854c08ed-f6d7-c812-1a3f-46928ae0597e</v>
    <v>en-IN</v>
    <v>Map</v>
  </rv>
  <rv s="0">
    <v>536870912</v>
    <v>Land of Valencia</v>
    <v>d1a45f13-aca9-6854-cb23-92573a279216</v>
    <v>en-IN</v>
    <v>Map</v>
  </rv>
  <rv s="0">
    <v>536870912</v>
    <v>Galicia</v>
    <v>70c91f08-f55c-f98a-047e-aa9228ed4253</v>
    <v>en-IN</v>
    <v>Map</v>
  </rv>
  <rv s="0">
    <v>536870912</v>
    <v>Castile and León</v>
    <v>7fc8f34d-7f31-b8c6-34d4-545cb3920adf</v>
    <v>en-IN</v>
    <v>Map</v>
  </rv>
  <rv s="0">
    <v>536870912</v>
    <v>Basque Autonomous Community</v>
    <v>27cbb013-d521-0f66-7c87-67bad92e92f5</v>
    <v>en-IN</v>
    <v>Map</v>
  </rv>
  <rv s="0">
    <v>536870912</v>
    <v>Canary Islands</v>
    <v>e5f4f633-d27e-9012-be27-a85d7ed21999</v>
    <v>en-IN</v>
    <v>Map</v>
  </rv>
  <rv s="0">
    <v>536870912</v>
    <v>Castile-La Mancha</v>
    <v>1e79c598-5619-e707-75d9-40410db3c0b2</v>
    <v>en-IN</v>
    <v>Map</v>
  </rv>
  <rv s="0">
    <v>536870912</v>
    <v>Region of Murcia</v>
    <v>e697a468-5c9d-9a42-68ac-b04781a55abd</v>
    <v>en-IN</v>
    <v>Map</v>
  </rv>
  <rv s="0">
    <v>536870912</v>
    <v>Aragon</v>
    <v>66482df7-7a8d-eb53-1b74-7702eb8f6ab7</v>
    <v>en-IN</v>
    <v>Map</v>
  </rv>
  <rv s="0">
    <v>536870912</v>
    <v>Asturias</v>
    <v>6880b28a-27ed-46a3-3b3f-93553df34103</v>
    <v>en-IN</v>
    <v>Map</v>
  </rv>
  <rv s="0">
    <v>536870912</v>
    <v>Extremadura</v>
    <v>60c245e4-f9c9-d637-1ff7-50148c20166f</v>
    <v>en-IN</v>
    <v>Map</v>
  </rv>
  <rv s="0">
    <v>536870912</v>
    <v>Navarre</v>
    <v>bd2c46e0-0dec-2a95-cf06-e23728a2a0ed</v>
    <v>en-IN</v>
    <v>Map</v>
  </rv>
  <rv s="0">
    <v>536870912</v>
    <v>Cantabria</v>
    <v>ff0ffbe3-172a-ecd8-17cd-6f2f89c9d0dd</v>
    <v>en-IN</v>
    <v>Map</v>
  </rv>
  <rv s="0">
    <v>536870912</v>
    <v>La Rioja</v>
    <v>c27fd34e-d1ab-5145-cc6e-9d85b07f919e</v>
    <v>en-IN</v>
    <v>Map</v>
  </rv>
  <rv s="0">
    <v>536870912</v>
    <v>Ceuta</v>
    <v>4575b2d9-4933-9d93-b84d-3080054b3dda</v>
    <v>en-IN</v>
    <v>Map</v>
  </rv>
  <rv s="0">
    <v>536870912</v>
    <v>Melilla</v>
    <v>a67b3afb-47dd-d884-afd6-0794c4de12ba</v>
    <v>en-IN</v>
    <v>Map</v>
  </rv>
  <rv s="3">
    <v>326</v>
  </rv>
  <rv s="1">
    <fb>0.14248211393678101</fb>
    <v>24</v>
  </rv>
  <rv s="1">
    <fb>0.13958999633789099</fb>
    <v>32</v>
  </rv>
  <rv s="1">
    <fb>37927409</fb>
    <v>25</v>
  </rv>
  <rv s="19">
    <v>#VALUE!</v>
    <v>en-IN</v>
    <v>1baf9d59-f443-e9f4-6e49-de048a073e3f</v>
    <v>536870912</v>
    <v>1</v>
    <v>962</v>
    <v>105</v>
    <v>Spain</v>
    <v>20</v>
    <v>21</v>
    <v>Map</v>
    <v>22</v>
    <v>718</v>
    <v>ES</v>
    <v>6058</v>
    <v>6059</v>
    <v>6060</v>
    <v>6061</v>
    <v>6062</v>
    <v>6063</v>
    <v>6064</v>
    <v>6065</v>
    <v>6066</v>
    <v>EUR</v>
    <v>Spain, or the Kingdom of Spain, is a country located in Southwestern Europe, with parts of its territory in the Atlantic Ocean, the Mediterranean Sea and Africa. It is the largest country in Southern Europe and the fourth-most populous European ...</v>
    <v>6067</v>
    <v>5079</v>
    <v>6068</v>
    <v>6069</v>
    <v>6070</v>
    <v>6071</v>
    <v>6072</v>
    <v>6073</v>
    <v>6074</v>
    <v>6075</v>
    <v>6063</v>
    <v>6078</v>
    <v>6079</v>
    <v>6080</v>
    <v>6081</v>
    <v>6082</v>
    <v>6083</v>
    <v>Spain</v>
    <v>Marcha Real</v>
    <v>4295</v>
    <v>Reino de España</v>
    <v>6084</v>
    <v>6085</v>
    <v>6086</v>
    <v>6087</v>
    <v>6088</v>
    <v>4615</v>
    <v>649</v>
    <v>967</v>
    <v>3959</v>
    <v>6089</v>
    <v>6090</v>
    <v>6109</v>
    <v>6110</v>
    <v>2890</v>
    <v>6111</v>
    <v>Spain</v>
    <v>6112</v>
    <v>mdp/vdpid/217</v>
  </rv>
  <rv s="1">
    <fb>604.45510000000002</fb>
    <v>25</v>
  </rv>
  <rv s="2">
    <v>184</v>
    <v>22</v>
    <v>963</v>
    <v>7</v>
    <v>0</v>
    <v>Image of Madrid</v>
  </rv>
  <rv s="1">
    <fb>40.416944444444397</fb>
    <v>37</v>
  </rv>
  <rv s="0">
    <v>805306368</v>
    <v>José Luis Martínez-Almeida (Mayor)</v>
    <v>d059f89e-9389-5fff-d365-894d7aefd20e</v>
    <v>en-IN</v>
    <v>Generic</v>
  </rv>
  <rv s="3">
    <v>327</v>
  </rv>
  <rv s="4">
    <v>https://www.bing.com/search?q=madrid+spain&amp;form=skydnc</v>
    <v>Learn more on Bing</v>
  </rv>
  <rv s="1">
    <fb>-3.70333333333333</fb>
    <v>37</v>
  </rv>
  <rv s="1">
    <fb>3280782</fb>
    <v>25</v>
  </rv>
  <rv s="14">
    <v>#VALUE!</v>
    <v>en-IN</v>
    <v>a497c067-c4c6-4bf4-9a5d-34fd30589bda</v>
    <v>536870912</v>
    <v>1</v>
    <v>964</v>
    <v>82</v>
    <v>Madrid</v>
    <v>20</v>
    <v>21</v>
    <v>Map</v>
    <v>22</v>
    <v>94</v>
    <v>6093</v>
    <v>6114</v>
    <v>6057</v>
    <v>Madrid is the capital and most populous city of Spain. The city has almost 3.4 million inhabitants and a metropolitan area population of approximately 6.7 million. It is the second-largest city in the European Union, and its monocentric ...</v>
    <v>6115</v>
    <v>6116</v>
    <v>6118</v>
    <v>6119</v>
    <v>6120</v>
    <v>Madrid</v>
    <v>6121</v>
    <v>Madrid</v>
    <v>mdp/vdpid/5669357583933112321</v>
  </rv>
  <rv s="2">
    <v>183</v>
    <v>22</v>
    <v>959</v>
    <v>3</v>
    <v>0</v>
    <v>Image of Spain</v>
  </rv>
  <rv s="59">
    <v>en-IN</v>
    <v>auwuf2</v>
    <v>268435456</v>
    <v>1</v>
    <v>Powered by Refinitiv</v>
    <v>511</v>
    <v>DZD/USD</v>
    <v>43</v>
    <v>522</v>
    <v>Finance</v>
    <v>45</v>
    <v>7.7200000000000003E-3</v>
    <v>7.28E-3</v>
    <v>0</v>
    <v>0</v>
    <v>USD</v>
    <v>DZD</v>
    <v>Currency Pair</v>
    <v>45954.892581018517</v>
    <v>Algerian Dinar/US Dollar FX Cross Rate</v>
    <v>7.6299999999999996E-3</v>
    <v>7.6299999999999996E-3</v>
    <v>DZDUSD</v>
    <v>DZD/USD</v>
  </rv>
  <rv s="9">
    <v>6124</v>
  </rv>
  <rv s="0">
    <v>536870912</v>
    <v>Sri Lanka</v>
    <v>6bac8e76-6fd3-64fc-b260-bff13b0eebfc</v>
    <v>en-IN</v>
    <v>Map</v>
  </rv>
  <rv s="1">
    <fb>0.43693190878647697</fb>
    <v>24</v>
  </rv>
  <rv s="1">
    <fb>65610</fb>
    <v>25</v>
  </rv>
  <rv s="1">
    <fb>317000</fb>
    <v>25</v>
  </rv>
  <rv s="1">
    <fb>15.831</fb>
    <v>26</v>
  </rv>
  <rv s="1">
    <fb>94</fb>
    <v>27</v>
  </rv>
  <rv s="0">
    <v>536870912</v>
    <v>Colombo</v>
    <v>08e9be7d-e270-ec32-540a-0cfd91c3f88d</v>
    <v>en-IN</v>
    <v>Map</v>
  </rv>
  <rv s="1">
    <fb>23362.456999999999</fb>
    <v>25</v>
  </rv>
  <rv s="1">
    <fb>155.528883036152</fb>
    <v>28</v>
  </rv>
  <rv s="1">
    <fb>3.5283935823180901E-2</fb>
    <v>24</v>
  </rv>
  <rv s="1">
    <fb>531.09057657137396</fb>
    <v>25</v>
  </rv>
  <rv s="1">
    <fb>2.1989999999999998</fb>
    <v>26</v>
  </rv>
  <rv s="1">
    <fb>0.32903841529959299</fb>
    <v>24</v>
  </rv>
  <rv s="1">
    <fb>50.545573977658002</fb>
    <v>29</v>
  </rv>
  <rv s="1">
    <fb>84008783756.067993</fb>
    <v>31</v>
  </rv>
  <rv s="1">
    <fb>1.0016202000000001</fb>
    <v>24</v>
  </rv>
  <rv s="1">
    <fb>0.19630240000000002</fb>
    <v>24</v>
  </rv>
  <rv s="2">
    <v>185</v>
    <v>22</v>
    <v>966</v>
    <v>7</v>
    <v>0</v>
    <v>Image of Sri Lanka</v>
  </rv>
  <rv s="0">
    <v>805306368</v>
    <v>Ranil Wickremesinghe (President)</v>
    <v>59c789c2-ad2b-da33-ffa3-6028f56be768</v>
    <v>en-IN</v>
    <v>Generic</v>
  </rv>
  <rv s="0">
    <v>805306368</v>
    <v>Dinesh Gunawardena (Prime minister)</v>
    <v>2342964f-710a-8634-0c20-943883e92d00</v>
    <v>en-IN</v>
    <v>Generic</v>
  </rv>
  <rv s="0">
    <v>805306368</v>
    <v>Jayantha Jayasuriya (Chief justice)</v>
    <v>10c76bed-59d6-ea3e-05ff-6f683b0cfc9f</v>
    <v>en-IN</v>
    <v>Generic</v>
  </rv>
  <rv s="3">
    <v>328</v>
  </rv>
  <rv s="4">
    <v>https://www.bing.com/search?q=sri+lanka&amp;form=skydnc</v>
    <v>Learn more on Bing</v>
  </rv>
  <rv s="1">
    <fb>76.811999999999998</fb>
    <v>29</v>
  </rv>
  <rv s="1">
    <fb>15720540000</fb>
    <v>31</v>
  </rv>
  <rv s="1">
    <fb>36</fb>
    <v>29</v>
  </rv>
  <rv s="3">
    <v>329</v>
  </rv>
  <rv s="1">
    <fb>0.38427354920000001</fb>
    <v>24</v>
  </rv>
  <rv s="1">
    <fb>1.0041</fb>
    <v>26</v>
  </rv>
  <rv s="1">
    <fb>22181000</fb>
    <v>25</v>
  </rv>
  <rv s="1">
    <fb>0.47600000000000003</fb>
    <v>24</v>
  </rv>
  <rv s="1">
    <fb>0.14499999999999999</fb>
    <v>24</v>
  </rv>
  <rv s="1">
    <fb>0.539150009155273</fb>
    <v>24</v>
  </rv>
  <rv s="0">
    <v>536870912</v>
    <v>Central Province</v>
    <v>d403ecf7-d76f-da00-66c1-d8f055ef87ff</v>
    <v>en-IN</v>
    <v>Map</v>
  </rv>
  <rv s="0">
    <v>536870912</v>
    <v>North Central Province</v>
    <v>cb8b14cb-c6b2-f486-2082-32579759c3c8</v>
    <v>en-IN</v>
    <v>Map</v>
  </rv>
  <rv s="0">
    <v>536870912</v>
    <v>Northern Province</v>
    <v>3e13b253-8902-4cf0-d294-f3cf5c79b6db</v>
    <v>en-IN</v>
    <v>Map</v>
  </rv>
  <rv s="0">
    <v>536870912</v>
    <v>Eastern Province</v>
    <v>1405da12-dcc7-7d28-b50a-0059a538c131</v>
    <v>en-IN</v>
    <v>Map</v>
  </rv>
  <rv s="0">
    <v>536870912</v>
    <v>North Western Province</v>
    <v>efdbee34-0b18-1c07-4b39-7b59b02407cd</v>
    <v>en-IN</v>
    <v>Map</v>
  </rv>
  <rv s="0">
    <v>536870912</v>
    <v>Southern Province</v>
    <v>a153edc0-b9b6-4ba4-4765-e1015a2ab757</v>
    <v>en-IN</v>
    <v>Map</v>
  </rv>
  <rv s="0">
    <v>536870912</v>
    <v>Uva Province</v>
    <v>03f8641e-95f4-b408-ebea-43aead5bacc4</v>
    <v>en-IN</v>
    <v>Map</v>
  </rv>
  <rv s="0">
    <v>536870912</v>
    <v>Sabaragamuwa Province</v>
    <v>7af54893-39f2-93ca-5279-fc34ca428e4b</v>
    <v>en-IN</v>
    <v>Map</v>
  </rv>
  <rv s="0">
    <v>536870912</v>
    <v>Western Province</v>
    <v>8536d10f-1c1b-59f6-c1a8-f3dc7911905a</v>
    <v>en-IN</v>
    <v>Map</v>
  </rv>
  <rv s="3">
    <v>330</v>
  </rv>
  <rv s="1">
    <fb>0.118500072966585</fb>
    <v>24</v>
  </rv>
  <rv s="1">
    <fb>0.55200000000000005</fb>
    <v>24</v>
  </rv>
  <rv s="1">
    <fb>4.1979999542236301E-2</fb>
    <v>32</v>
  </rv>
  <rv s="1">
    <fb>4052088</fb>
    <v>25</v>
  </rv>
  <rv s="19">
    <v>#VALUE!</v>
    <v>en-IN</v>
    <v>6bac8e76-6fd3-64fc-b260-bff13b0eebfc</v>
    <v>536870912</v>
    <v>1</v>
    <v>969</v>
    <v>105</v>
    <v>Sri Lanka</v>
    <v>20</v>
    <v>21</v>
    <v>Map</v>
    <v>22</v>
    <v>970</v>
    <v>LK</v>
    <v>6127</v>
    <v>6128</v>
    <v>6129</v>
    <v>6130</v>
    <v>6131</v>
    <v>6132</v>
    <v>6133</v>
    <v>6134</v>
    <v>6135</v>
    <v>LKR</v>
    <v>Sri Lanka, historically known as Ceylon and officially the Democratic Socialist Republic of Sri Lanka, is an island country in South Asia. It lies in the Indian Ocean, southwest of the Bay of Bengal, separated from the Indian peninsula by the ...</v>
    <v>6136</v>
    <v>6137</v>
    <v>6138</v>
    <v>6139</v>
    <v>3483</v>
    <v>6140</v>
    <v>6141</v>
    <v>6142</v>
    <v>6143</v>
    <v>1446</v>
    <v>6132</v>
    <v>6147</v>
    <v>6148</v>
    <v>6149</v>
    <v>6150</v>
    <v>6151</v>
    <v>1096</v>
    <v>Sri Lanka</v>
    <v>Sri Lanka Matha</v>
    <v>6152</v>
    <v>ශ්‍රී ලංකා ප්‍රජාතාන්ත්‍රික සමාජවාදී ජනරජය</v>
    <v>6153</v>
    <v>6154</v>
    <v>6155</v>
    <v>34</v>
    <v>1520</v>
    <v>6156</v>
    <v>709</v>
    <v>5782</v>
    <v>2571</v>
    <v>6157</v>
    <v>6158</v>
    <v>6168</v>
    <v>6169</v>
    <v>6170</v>
    <v>6171</v>
    <v>Sri Lanka</v>
    <v>6172</v>
    <v>mdp/vdpid/42</v>
  </rv>
  <rv s="0">
    <v>536870912</v>
    <v>Colombo District</v>
    <v>86095d6f-f6aa-4dd2-112d-96cb5652624e</v>
    <v>en-IN</v>
    <v>Map</v>
  </rv>
  <rv s="1">
    <fb>37.31</fb>
    <v>25</v>
  </rv>
  <rv s="2">
    <v>186</v>
    <v>22</v>
    <v>972</v>
    <v>7</v>
    <v>0</v>
    <v>Image of Colombo</v>
  </rv>
  <rv s="1">
    <fb>6.9166666666666998</fb>
    <v>37</v>
  </rv>
  <rv s="0">
    <v>805306368</v>
    <v>Rosy Senanayake (Mayor)</v>
    <v>88e1dc05-7f38-5949-3316-b93f7863af01</v>
    <v>en-IN</v>
    <v>Generic</v>
  </rv>
  <rv s="3">
    <v>331</v>
  </rv>
  <rv s="4">
    <v>https://www.bing.com/search?q=colombo+sri+lanka&amp;form=skydnc</v>
    <v>Learn more on Bing</v>
  </rv>
  <rv s="1">
    <fb>79.833333333333002</fb>
    <v>37</v>
  </rv>
  <rv s="1">
    <fb>752993</fb>
    <v>25</v>
  </rv>
  <rv s="21">
    <v>#VALUE!</v>
    <v>en-IN</v>
    <v>08e9be7d-e270-ec32-540a-0cfd91c3f88d</v>
    <v>536870912</v>
    <v>1</v>
    <v>973</v>
    <v>120</v>
    <v>Colombo</v>
    <v>20</v>
    <v>21</v>
    <v>Map</v>
    <v>22</v>
    <v>36</v>
    <v>6167</v>
    <v>6174</v>
    <v>6175</v>
    <v>6126</v>
    <v>Colombo is the executive and judicial capital and largest city of Sri Lanka by population. According to the Brookings Institution, the Colombo metropolitan area has a population of 5.6 million, and 752,993 in the Municipality. It is the ...</v>
    <v>6176</v>
    <v>6177</v>
    <v>6179</v>
    <v>6180</v>
    <v>6181</v>
    <v>Colombo</v>
    <v>6182</v>
    <v>Colombo</v>
    <v>mdp/vdpid/7486434407729856514</v>
  </rv>
  <rv s="2">
    <v>185</v>
    <v>22</v>
    <v>966</v>
    <v>3</v>
    <v>0</v>
    <v>Image of Sri Lanka</v>
  </rv>
  <rv s="59">
    <v>en-IN</v>
    <v>bt6vbh</v>
    <v>268435456</v>
    <v>1</v>
    <v>Powered by Refinitiv</v>
    <v>511</v>
    <v>USD/NGN</v>
    <v>43</v>
    <v>974</v>
    <v>Finance</v>
    <v>45</v>
    <v>799.5</v>
    <v>455</v>
    <v>0</v>
    <v>0</v>
    <v>NGN</v>
    <v>USD</v>
    <v>Currency Pair</v>
    <v>45223.489560185182</v>
    <v>US Dollar/Nigerian Naira Investors Export Window FX Spot Rate</v>
    <v>780</v>
    <v>780</v>
    <v>USDNGN</v>
    <v>USD/NGN</v>
  </rv>
  <rv s="9">
    <v>6185</v>
  </rv>
  <rv s="0">
    <v>536870912</v>
    <v>Sudan</v>
    <v>5c1f4179-4d6f-54f8-2f6b-931c62006900</v>
    <v>en-IN</v>
    <v>Map</v>
  </rv>
  <rv s="1">
    <fb>0.286978787878788</fb>
    <v>24</v>
  </rv>
  <rv s="1">
    <fb>1886068</fb>
    <v>25</v>
  </rv>
  <rv s="1">
    <fb>124000</fb>
    <v>25</v>
  </rv>
  <rv s="1">
    <fb>32.177</fb>
    <v>26</v>
  </rv>
  <rv s="1">
    <fb>249</fb>
    <v>27</v>
  </rv>
  <rv s="0">
    <v>536870912</v>
    <v>Khartoum</v>
    <v>59f52946-010c-a98d-aefe-452144e072d3</v>
    <v>en-IN</v>
    <v>Map</v>
  </rv>
  <rv s="1">
    <fb>19999.817999999999</fb>
    <v>25</v>
  </rv>
  <rv s="1">
    <fb>1344.19276243483</fb>
    <v>28</v>
  </rv>
  <rv s="1">
    <fb>0.509940515002971</fb>
    <v>24</v>
  </rv>
  <rv s="1">
    <fb>190.220886811296</fb>
    <v>25</v>
  </rv>
  <rv s="1">
    <fb>4.407</fb>
    <v>26</v>
  </rv>
  <rv s="1">
    <fb>8.0849915824915811E-2</fb>
    <v>24</v>
  </rv>
  <rv s="1">
    <fb>31.726526589842599</fb>
    <v>29</v>
  </rv>
  <rv s="1">
    <fb>18902284475.6054</fb>
    <v>31</v>
  </rv>
  <rv s="1">
    <fb>0.76816059999999997</fb>
    <v>24</v>
  </rv>
  <rv s="1">
    <fb>0.16919010000000001</fb>
    <v>24</v>
  </rv>
  <rv s="2">
    <v>187</v>
    <v>22</v>
    <v>976</v>
    <v>7</v>
    <v>0</v>
    <v>Image of Sudan</v>
  </rv>
  <rv s="1">
    <fb>42.1</fb>
    <v>29</v>
  </rv>
  <rv s="0">
    <v>805306368</v>
    <v>Osman Hussein (Prime minister)</v>
    <v>a53c0225-2f7c-6d90-1d78-f1d4198ef129</v>
    <v>en-IN</v>
    <v>Generic</v>
  </rv>
  <rv s="3">
    <v>332</v>
  </rv>
  <rv s="4">
    <v>https://www.bing.com/search?q=sudan&amp;form=skydnc</v>
    <v>Learn more on Bing</v>
  </rv>
  <rv s="1">
    <fb>65.094999999999999</fb>
    <v>29</v>
  </rv>
  <rv s="1">
    <fb>295</fb>
    <v>29</v>
  </rv>
  <rv s="3">
    <v>333</v>
  </rv>
  <rv s="1">
    <fb>0.63225543480000002</fb>
    <v>24</v>
  </rv>
  <rv s="1">
    <fb>0.26179999999999998</fb>
    <v>26</v>
  </rv>
  <rv s="1">
    <fb>46874204</fb>
    <v>25</v>
  </rv>
  <rv s="1">
    <fb>0.27800000000000002</fb>
    <v>24</v>
  </rv>
  <rv s="1">
    <fb>0.48438999176025399</fb>
    <v>24</v>
  </rv>
  <rv s="0">
    <v>536870912</v>
    <v>Gezira State</v>
    <v>afba3453-d8a9-bee2-ce50-738dc3efeae5</v>
    <v>en-IN</v>
    <v>Map</v>
  </rv>
  <rv s="0">
    <v>536870912</v>
    <v>Al Qadarif State</v>
    <v>4add3b25-7ed1-90d0-883c-0bc8fbcbba66</v>
    <v>en-IN</v>
    <v>Map</v>
  </rv>
  <rv s="0">
    <v>536870912</v>
    <v>Kassala State</v>
    <v>acee2095-d3df-31af-2370-c65c59894109</v>
    <v>en-IN</v>
    <v>Map</v>
  </rv>
  <rv s="0">
    <v>536870912</v>
    <v>North Darfur</v>
    <v>5de975c7-a31d-3cf5-facc-346d9c147d91</v>
    <v>en-IN</v>
    <v>Map</v>
  </rv>
  <rv s="0">
    <v>536870912</v>
    <v>South Darfur</v>
    <v>40d472d1-efdd-55ec-8761-2f250ba74984</v>
    <v>en-IN</v>
    <v>Map</v>
  </rv>
  <rv s="0">
    <v>536870912</v>
    <v>West Darfur</v>
    <v>3cd48cbd-1118-280c-5a44-f4f2b832b932</v>
    <v>en-IN</v>
    <v>Map</v>
  </rv>
  <rv s="0">
    <v>536870912</v>
    <v>White Nile State</v>
    <v>2dd5a86b-393d-1567-accd-85e3aea175f0</v>
    <v>en-IN</v>
    <v>Map</v>
  </rv>
  <rv s="0">
    <v>536870912</v>
    <v>Blue Nile State</v>
    <v>a9f3d3b5-dc66-c756-388f-f2219ac9bda8</v>
    <v>en-IN</v>
    <v>Map</v>
  </rv>
  <rv s="0">
    <v>536870912</v>
    <v>Sennar State</v>
    <v>d58be2c4-2ea9-ccdd-8b35-42a97e1fc116</v>
    <v>en-IN</v>
    <v>Map</v>
  </rv>
  <rv s="0">
    <v>536870912</v>
    <v>Red Sea State</v>
    <v>c6555d33-cbb6-2590-b978-7530200195a7</v>
    <v>en-IN</v>
    <v>Map</v>
  </rv>
  <rv s="0">
    <v>536870912</v>
    <v>Khartoum State</v>
    <v>3a85ff35-7411-37fa-1d61-38242540dd00</v>
    <v>en-IN</v>
    <v>Map</v>
  </rv>
  <rv s="0">
    <v>536870912</v>
    <v>South Kordofan</v>
    <v>381eb22a-5814-513f-6202-d348c29eeba0</v>
    <v>en-IN</v>
    <v>Map</v>
  </rv>
  <rv s="0">
    <v>536870912</v>
    <v>North Kordofan</v>
    <v>723c87fe-1c66-f75f-454f-67bbfbba2e00</v>
    <v>en-IN</v>
    <v>Map</v>
  </rv>
  <rv s="0">
    <v>536870912</v>
    <v>Northern State</v>
    <v>e1a93dbe-37ee-634e-e65e-c1c136886535</v>
    <v>en-IN</v>
    <v>Map</v>
  </rv>
  <rv s="0">
    <v>536870912</v>
    <v>River Nile State</v>
    <v>f911d407-aec1-0e36-54f5-84d2aabc9035</v>
    <v>en-IN</v>
    <v>Map</v>
  </rv>
  <rv s="3">
    <v>334</v>
  </rv>
  <rv s="1">
    <fb>7.9614507925651001E-2</fb>
    <v>24</v>
  </rv>
  <rv s="1">
    <fb>0.45399999999999996</fb>
    <v>24</v>
  </rv>
  <rv s="1">
    <fb>0.16534999847412099</fb>
    <v>32</v>
  </rv>
  <rv s="1">
    <fb>14957233</fb>
    <v>25</v>
  </rv>
  <rv s="13">
    <v>#VALUE!</v>
    <v>en-IN</v>
    <v>5c1f4179-4d6f-54f8-2f6b-931c62006900</v>
    <v>536870912</v>
    <v>1</v>
    <v>979</v>
    <v>78</v>
    <v>Sudan</v>
    <v>20</v>
    <v>21</v>
    <v>Map</v>
    <v>22</v>
    <v>980</v>
    <v>SD</v>
    <v>6188</v>
    <v>6189</v>
    <v>6190</v>
    <v>6191</v>
    <v>6192</v>
    <v>6193</v>
    <v>6194</v>
    <v>6195</v>
    <v>6196</v>
    <v>SDG</v>
    <v>Sudan, officially the Republic of the Sudan, is a country in Northeast Africa. It borders the Central African Republic to the southwest, Chad to the west, Egypt to the north, Eritrea to the northeast, Ethiopia to the southeast, Libya to the ...</v>
    <v>6197</v>
    <v>6198</v>
    <v>6199</v>
    <v>6200</v>
    <v>946</v>
    <v>6201</v>
    <v>6202</v>
    <v>6203</v>
    <v>6204</v>
    <v>6205</v>
    <v>6193</v>
    <v>6207</v>
    <v>6208</v>
    <v>6209</v>
    <v>6210</v>
    <v>882</v>
    <v>Sudan</v>
    <v>Nahnu Jund Allah Jund Al-watan</v>
    <v>6211</v>
    <v>جمهورية السودان</v>
    <v>6212</v>
    <v>6213</v>
    <v>6214</v>
    <v>1734</v>
    <v>6215</v>
    <v>814</v>
    <v>1234</v>
    <v>3500</v>
    <v>817</v>
    <v>5137</v>
    <v>6216</v>
    <v>6232</v>
    <v>6233</v>
    <v>6234</v>
    <v>6235</v>
    <v>Sudan</v>
    <v>6236</v>
    <v>mdp/vdpid/219</v>
  </rv>
  <rv s="1">
    <fb>30000</fb>
    <v>25</v>
  </rv>
  <rv s="2">
    <v>188</v>
    <v>22</v>
    <v>981</v>
    <v>7</v>
    <v>0</v>
    <v>Image of Khartoum</v>
  </rv>
  <rv s="1">
    <fb>15.60308</fb>
    <v>37</v>
  </rv>
  <rv s="4">
    <v>https://www.bing.com/search?q=khartoum+sudan&amp;form=skydnc</v>
    <v>Learn more on Bing</v>
  </rv>
  <rv s="1">
    <fb>32.526539999999997</fb>
    <v>37</v>
  </rv>
  <rv s="1">
    <fb>5345000</fb>
    <v>25</v>
  </rv>
  <rv s="29">
    <v>#VALUE!</v>
    <v>en-IN</v>
    <v>59f52946-010c-a98d-aefe-452144e072d3</v>
    <v>536870912</v>
    <v>1</v>
    <v>982</v>
    <v>188</v>
    <v>Khartoum</v>
    <v>20</v>
    <v>21</v>
    <v>Map</v>
    <v>22</v>
    <v>41</v>
    <v>6227</v>
    <v>6238</v>
    <v>6187</v>
    <v>Khartoum or Khartum is the capital of Sudan. With a population of 6,344,348, Khartoum's metropolitan area is the largest in Sudan. Divided by these two parts of the Nile, Khartoum is a tripartite metropolis consisting of Khartoum proper, and ...</v>
    <v>6239</v>
    <v>6240</v>
    <v>6241</v>
    <v>6242</v>
    <v>Khartoum</v>
    <v>6243</v>
    <v>Khartoum</v>
    <v>mdp/vdpid/7321400637793501185</v>
  </rv>
  <rv s="2">
    <v>187</v>
    <v>22</v>
    <v>976</v>
    <v>3</v>
    <v>0</v>
    <v>Image of Sudan</v>
  </rv>
  <rv s="8">
    <v>en-IN</v>
    <v>avnbu2</v>
    <v>268435456</v>
    <v>1</v>
    <v>Powered by Refinitiv</v>
    <v>42</v>
    <v>NGN/USD</v>
    <v>43</v>
    <v>62</v>
    <v>Finance</v>
    <v>45</v>
    <v>6.8999999999999997E-4</v>
    <v>5.6999999999999998E-4</v>
    <v>-1.9999999999999999E-6</v>
    <v>-2.9199999999999999E-3</v>
    <v>USD</v>
    <v>NGN</v>
    <v>6.8499999999999995E-4</v>
    <v>Currency Pair</v>
    <v>45957.21020833333</v>
    <v>6.8400000000000004E-4</v>
    <v>Nigerian Naira/US Dollar FX Cross Rate</v>
    <v>6.8499999999999995E-4</v>
    <v>6.8499999999999995E-4</v>
    <v>6.8300000000000001E-4</v>
    <v>NGNUSD</v>
    <v>NGN/USD</v>
  </rv>
  <rv s="9">
    <v>6246</v>
  </rv>
  <rv s="0">
    <v>536870912</v>
    <v>Suriname</v>
    <v>2b6c0454-97c2-15b7-3325-18f9ad0e4097</v>
    <v>en-IN</v>
    <v>Map</v>
  </rv>
  <rv s="1">
    <fb>5.57692307692308E-3</fb>
    <v>24</v>
  </rv>
  <rv s="1">
    <fb>163270</fb>
    <v>25</v>
  </rv>
  <rv s="1">
    <fb>18.542000000000002</fb>
    <v>26</v>
  </rv>
  <rv s="1">
    <fb>597</fb>
    <v>27</v>
  </rv>
  <rv s="0">
    <v>536870912</v>
    <v>Paramaribo</v>
    <v>d392199f-dbc1-75cd-df8d-31b43078b465</v>
    <v>en-IN</v>
    <v>Map</v>
  </rv>
  <rv s="1">
    <fb>1738.1579999999999</fb>
    <v>25</v>
  </rv>
  <rv s="1">
    <fb>294.66477270235401</fb>
    <v>28</v>
  </rv>
  <rv s="1">
    <fb>0.21996943017330398</fb>
    <v>24</v>
  </rv>
  <rv s="1">
    <fb>3596.7777209442702</fb>
    <v>25</v>
  </rv>
  <rv s="1">
    <fb>2.4180000000000001</fb>
    <v>26</v>
  </rv>
  <rv s="1">
    <fb>0.98257693559695491</fb>
    <v>24</v>
  </rv>
  <rv s="1">
    <fb>76.253495819506995</fb>
    <v>29</v>
  </rv>
  <rv s="1">
    <fb>1.29</fb>
    <v>30</v>
  </rv>
  <rv s="1">
    <fb>3985250737.46313</fb>
    <v>31</v>
  </rv>
  <rv s="1">
    <fb>1.0884212</fb>
    <v>24</v>
  </rv>
  <rv s="1">
    <fb>0.12561459999999999</fb>
    <v>24</v>
  </rv>
  <rv s="2">
    <v>189</v>
    <v>22</v>
    <v>984</v>
    <v>7</v>
    <v>0</v>
    <v>Image of Suriname</v>
  </rv>
  <rv s="0">
    <v>805306368</v>
    <v>Chan Santokhi (President)</v>
    <v>5d62685f-ff04-149a-cf4f-3629cab45760</v>
    <v>en-IN</v>
    <v>Generic</v>
  </rv>
  <rv s="0">
    <v>805306368</v>
    <v>Ronnie Brunswijk (Vice president)</v>
    <v>e183fa0b-40c3-79d7-9d15-64897dd6becd</v>
    <v>en-IN</v>
    <v>Generic</v>
  </rv>
  <rv s="3">
    <v>335</v>
  </rv>
  <rv s="4">
    <v>https://www.bing.com/search?q=suriname&amp;form=skydnc</v>
    <v>Learn more on Bing</v>
  </rv>
  <rv s="1">
    <fb>71.569999999999993</fb>
    <v>29</v>
  </rv>
  <rv s="1">
    <fb>120</fb>
    <v>29</v>
  </rv>
  <rv s="3">
    <v>336</v>
  </rv>
  <rv s="1">
    <fb>0.10147909820000001</fb>
    <v>24</v>
  </rv>
  <rv s="1">
    <fb>1.2101</fb>
    <v>26</v>
  </rv>
  <rv s="1">
    <fb>618040</fb>
    <v>25</v>
  </rv>
  <rv s="1">
    <fb>0.42700000000000005</fb>
    <v>24</v>
  </rv>
  <rv s="1">
    <fb>0.60199999999999998</fb>
    <v>24</v>
  </rv>
  <rv s="1">
    <fb>0.51136001586914093</fb>
    <v>24</v>
  </rv>
  <rv s="0">
    <v>536870912</v>
    <v>Brokopondo District</v>
    <v>547e9e23-af8f-f3ef-122c-0b3c4ff74349</v>
    <v>en-IN</v>
    <v>Map</v>
  </rv>
  <rv s="0">
    <v>536870912</v>
    <v>Commewijne District</v>
    <v>e4db8192-7125-1727-900e-8619cf318fa8</v>
    <v>en-IN</v>
    <v>Map</v>
  </rv>
  <rv s="0">
    <v>536870912</v>
    <v>Coronie District</v>
    <v>a8ff70de-e223-1b83-c007-2595b37cb475</v>
    <v>en-IN</v>
    <v>Map</v>
  </rv>
  <rv s="0">
    <v>536870912</v>
    <v>Marowijne District</v>
    <v>3a9c304c-f47e-70ce-5deb-780b611bd43b</v>
    <v>en-IN</v>
    <v>Map</v>
  </rv>
  <rv s="0">
    <v>536870912</v>
    <v>Nickerie District</v>
    <v>3e20a7e2-31ea-aafd-35cb-f21db558b9cf</v>
    <v>en-IN</v>
    <v>Map</v>
  </rv>
  <rv s="0">
    <v>536870912</v>
    <v>Para District</v>
    <v>26051a83-e72c-6d68-c19b-2476f83178fc</v>
    <v>en-IN</v>
    <v>Map</v>
  </rv>
  <rv s="0">
    <v>536870912</v>
    <v>Saramacca District</v>
    <v>6a72d7c3-2245-2001-d879-5ef2f8cefed7</v>
    <v>en-IN</v>
    <v>Map</v>
  </rv>
  <rv s="0">
    <v>536870912</v>
    <v>Sipaliwini District</v>
    <v>3d3fff11-9009-6c65-a304-2012c44dc8e4</v>
    <v>en-IN</v>
    <v>Map</v>
  </rv>
  <rv s="0">
    <v>536870912</v>
    <v>Wanica District</v>
    <v>800339d2-171f-9160-3a7e-54ad61f6f33e</v>
    <v>en-IN</v>
    <v>Map</v>
  </rv>
  <rv s="0">
    <v>536870912</v>
    <v>Paramaribo District</v>
    <v>44905a44-fa1d-0626-8c52-2b0d63b7f4af</v>
    <v>en-IN</v>
    <v>Map</v>
  </rv>
  <rv s="3">
    <v>337</v>
  </rv>
  <rv s="1">
    <fb>0.19547450565900001</fb>
    <v>24</v>
  </rv>
  <rv s="1">
    <fb>0.27899999999999997</fb>
    <v>24</v>
  </rv>
  <rv s="1">
    <fb>7.3340001106262195E-2</fb>
    <v>32</v>
  </rv>
  <rv s="1">
    <fb>384258</fb>
    <v>25</v>
  </rv>
  <rv s="92">
    <v>#VALUE!</v>
    <v>en-IN</v>
    <v>2b6c0454-97c2-15b7-3325-18f9ad0e4097</v>
    <v>536870912</v>
    <v>1</v>
    <v>987</v>
    <v>988</v>
    <v>Suriname</v>
    <v>20</v>
    <v>21</v>
    <v>Map</v>
    <v>22</v>
    <v>989</v>
    <v>SR</v>
    <v>6249</v>
    <v>6250</v>
    <v>1494</v>
    <v>6251</v>
    <v>6252</v>
    <v>6253</v>
    <v>6254</v>
    <v>6255</v>
    <v>6256</v>
    <v>SRD</v>
    <v>Suriname, officially the Republic of Suriname, is a country in northern South America. It is bordered by the Atlantic Ocean to the north, French Guiana to the east, Guyana to the west, and Brazil to the south. At under 165,000 square kilometers, ...</v>
    <v>6257</v>
    <v>6258</v>
    <v>6259</v>
    <v>6260</v>
    <v>6261</v>
    <v>6262</v>
    <v>6263</v>
    <v>6264</v>
    <v>6265</v>
    <v>1156</v>
    <v>6253</v>
    <v>6268</v>
    <v>6269</v>
    <v>6270</v>
    <v>6271</v>
    <v>Suriname</v>
    <v>God zij met ons Suriname</v>
    <v>6272</v>
    <v>Suriname</v>
    <v>6273</v>
    <v>6274</v>
    <v>6275</v>
    <v>5550</v>
    <v>6276</v>
    <v>6277</v>
    <v>3119</v>
    <v>1784</v>
    <v>414</v>
    <v>6278</v>
    <v>6289</v>
    <v>6290</v>
    <v>6291</v>
    <v>6292</v>
    <v>Suriname</v>
    <v>6293</v>
    <v>mdp/vdpid/181</v>
  </rv>
  <rv s="1">
    <fb>182</fb>
    <v>25</v>
  </rv>
  <rv s="2">
    <v>190</v>
    <v>22</v>
    <v>990</v>
    <v>7</v>
    <v>0</v>
    <v>Image of Paramaribo</v>
  </rv>
  <rv s="1">
    <fb>5.8666666666667</fb>
    <v>37</v>
  </rv>
  <rv s="4">
    <v>https://www.bing.com/search?q=paramaribo&amp;form=skydnc</v>
    <v>Learn more on Bing</v>
  </rv>
  <rv s="1">
    <fb>-55.166666666666998</fb>
    <v>37</v>
  </rv>
  <rv s="1">
    <fb>223757</fb>
    <v>25</v>
  </rv>
  <rv s="93">
    <v>#VALUE!</v>
    <v>en-IN</v>
    <v>d392199f-dbc1-75cd-df8d-31b43078b465</v>
    <v>536870912</v>
    <v>1</v>
    <v>991</v>
    <v>992</v>
    <v>Paramaribo</v>
    <v>20</v>
    <v>21</v>
    <v>Map</v>
    <v>22</v>
    <v>109</v>
    <v>6288</v>
    <v>6288</v>
    <v>6295</v>
    <v>6248</v>
    <v>Paramaribo is the capital and largest city of Suriname, located on the banks of the Suriname River in the Paramaribo District. Paramaribo has a population of roughly 241,000 people, almost half of Suriname's population. The historic inner city ...</v>
    <v>6296</v>
    <v>6297</v>
    <v>6298</v>
    <v>6299</v>
    <v>Paramaribo</v>
    <v>6300</v>
    <v>Paramaribo</v>
    <v>mdp/vdpid/5613025378974040065</v>
  </rv>
  <rv s="2">
    <v>189</v>
    <v>22</v>
    <v>984</v>
    <v>3</v>
    <v>0</v>
    <v>Image of Suriname</v>
  </rv>
  <rv s="59">
    <v>en-IN</v>
    <v>bntz3m</v>
    <v>268435456</v>
    <v>1</v>
    <v>Powered by Refinitiv</v>
    <v>511</v>
    <v>USD/GHS</v>
    <v>43</v>
    <v>993</v>
    <v>Finance</v>
    <v>45</v>
    <v>16.405000000000001</v>
    <v>10</v>
    <v>0</v>
    <v>0</v>
    <v>GHS</v>
    <v>USD</v>
    <v>Currency Pair</v>
    <v>45954.873784722222</v>
    <v>US Dollar/Ghanaian Cedi FX Spot Rate</v>
    <v>10.75</v>
    <v>10.75</v>
    <v>USDGHS</v>
    <v>USD/GHS</v>
  </rv>
  <rv s="9">
    <v>6303</v>
  </rv>
  <rv s="0">
    <v>536870912</v>
    <v>Sweden</v>
    <v>a5928099-53c3-11a8-91e6-6fe59b8c4f9a</v>
    <v>en-IN</v>
    <v>Map</v>
  </rv>
  <rv s="1">
    <fb>7.4427340355012209E-2</fb>
    <v>24</v>
  </rv>
  <rv s="1">
    <fb>447425.16</fb>
    <v>25</v>
  </rv>
  <rv s="1">
    <fb>11.4</fb>
    <v>26</v>
  </rv>
  <rv s="1">
    <fb>46</fb>
    <v>27</v>
  </rv>
  <rv s="0">
    <v>536870912</v>
    <v>Stockholm</v>
    <v>9daa4a8d-0e69-da3a-672e-16d4743a665b</v>
    <v>en-IN</v>
    <v>Map</v>
  </rv>
  <rv s="1">
    <fb>43252.264999999999</fb>
    <v>25</v>
  </rv>
  <rv s="1">
    <fb>110.509219846432</fb>
    <v>28</v>
  </rv>
  <rv s="1">
    <fb>1.7841509740383198E-2</fb>
    <v>24</v>
  </rv>
  <rv s="1">
    <fb>13480.148224391</fb>
    <v>25</v>
  </rv>
  <rv s="1">
    <fb>1.76</fb>
    <v>26</v>
  </rv>
  <rv s="1">
    <fb>0.68922933392256491</fb>
    <v>24</v>
  </rv>
  <rv s="1">
    <fb>25.117096134653099</fb>
    <v>29</v>
  </rv>
  <rv s="1">
    <fb>1.42</fb>
    <v>30</v>
  </rv>
  <rv s="1">
    <fb>530832908737.862</fb>
    <v>31</v>
  </rv>
  <rv s="1">
    <fb>1.2657537999999999</fb>
    <v>24</v>
  </rv>
  <rv s="1">
    <fb>0.6698824000000001</fb>
    <v>24</v>
  </rv>
  <rv s="2">
    <v>191</v>
    <v>22</v>
    <v>995</v>
    <v>7</v>
    <v>0</v>
    <v>Image of Sweden</v>
  </rv>
  <rv s="1">
    <fb>2.2000000000000002</fb>
    <v>29</v>
  </rv>
  <rv s="0">
    <v>805306368</v>
    <v>Carl XVI Gustaf (Monarch)</v>
    <v>d74145c5-55cc-559b-1761-543f3fbf2fcd</v>
    <v>en-IN</v>
    <v>Generic</v>
  </rv>
  <rv s="0">
    <v>805306368</v>
    <v>Ulf Kristersson (Prime minister)</v>
    <v>b10837fe-3ec0-27e8-04f3-230e5f1c436f</v>
    <v>en-IN</v>
    <v>Generic</v>
  </rv>
  <rv s="3">
    <v>338</v>
  </rv>
  <rv s="4">
    <v>https://www.bing.com/search?q=sweden&amp;form=skydnc</v>
    <v>Learn more on Bing</v>
  </rv>
  <rv s="1">
    <fb>82.512195121951194</fb>
    <v>29</v>
  </rv>
  <rv s="1">
    <fb>289877140000</fb>
    <v>31</v>
  </rv>
  <rv s="3">
    <v>339</v>
  </rv>
  <rv s="1">
    <fb>0.15191583449999999</fb>
    <v>24</v>
  </rv>
  <rv s="1">
    <fb>3.984</fb>
    <v>26</v>
  </rv>
  <rv s="1">
    <fb>10486941</fb>
    <v>25</v>
  </rv>
  <rv s="1">
    <fb>0.23100000000000001</fb>
    <v>24</v>
  </rv>
  <rv s="1">
    <fb>0.13900000000000001</fb>
    <v>24</v>
  </rv>
  <rv s="1">
    <fb>0.64561996459960891</fb>
    <v>24</v>
  </rv>
  <rv s="0">
    <v>536870912</v>
    <v>Blekinge County</v>
    <v>f42b0a89-7f16-f3ac-1c08-bf416e533f12</v>
    <v>en-IN</v>
    <v>Map</v>
  </rv>
  <rv s="0">
    <v>536870912</v>
    <v>Dalarna County</v>
    <v>dc686086-9714-0fc8-877f-623421e32d97</v>
    <v>en-IN</v>
    <v>Map</v>
  </rv>
  <rv s="0">
    <v>536870912</v>
    <v>Gotland County</v>
    <v>f5173bdd-5938-3166-7ba6-c11a9da66db1</v>
    <v>en-IN</v>
    <v>Map</v>
  </rv>
  <rv s="0">
    <v>536870912</v>
    <v>Gävleborg County</v>
    <v>2fa0e9bf-9a1f-2db4-ff85-974c84f03f11</v>
    <v>en-IN</v>
    <v>Map</v>
  </rv>
  <rv s="0">
    <v>536870912</v>
    <v>Halland County</v>
    <v>5481447f-928d-c108-02bf-694684b100d7</v>
    <v>en-IN</v>
    <v>Map</v>
  </rv>
  <rv s="0">
    <v>536870912</v>
    <v>Jämtland County</v>
    <v>6a67f9a4-8a7c-72f0-397e-99932d75a5cc</v>
    <v>en-IN</v>
    <v>Map</v>
  </rv>
  <rv s="0">
    <v>536870912</v>
    <v>Jönköping County</v>
    <v>4a52f0db-caec-d69c-e4fc-043d1e5a5128</v>
    <v>en-IN</v>
    <v>Map</v>
  </rv>
  <rv s="0">
    <v>536870912</v>
    <v>Kalmar County</v>
    <v>d6332475-042c-41cf-bea3-d9da728e8c07</v>
    <v>en-IN</v>
    <v>Map</v>
  </rv>
  <rv s="0">
    <v>536870912</v>
    <v>Kronoberg County</v>
    <v>f3a677ac-87ae-cc8a-2a3d-a13738ebe6cb</v>
    <v>en-IN</v>
    <v>Map</v>
  </rv>
  <rv s="0">
    <v>536870912</v>
    <v>Norrbotten County</v>
    <v>c860fcb0-9345-ca80-5100-5bafcdbf2263</v>
    <v>en-IN</v>
    <v>Map</v>
  </rv>
  <rv s="0">
    <v>536870912</v>
    <v>Skåne County</v>
    <v>1a7ebb30-64eb-43da-b5e5-6b7ab82a8f94</v>
    <v>en-IN</v>
    <v>Map</v>
  </rv>
  <rv s="0">
    <v>536870912</v>
    <v>Stockholm County</v>
    <v>41fffb7d-bbe9-8d1b-286b-f0fdeb3ab886</v>
    <v>en-IN</v>
    <v>Map</v>
  </rv>
  <rv s="0">
    <v>536870912</v>
    <v>Södermanland County</v>
    <v>b438dc8e-7013-5013-903f-c9921861268e</v>
    <v>en-IN</v>
    <v>Map</v>
  </rv>
  <rv s="0">
    <v>536870912</v>
    <v>Uppsala County</v>
    <v>e2d7075a-c293-6db6-92ac-bdee4711a5d0</v>
    <v>en-IN</v>
    <v>Map</v>
  </rv>
  <rv s="0">
    <v>536870912</v>
    <v>Värmland County</v>
    <v>b2aa94cd-cc7f-eaf1-fded-87f65509841d</v>
    <v>en-IN</v>
    <v>Map</v>
  </rv>
  <rv s="0">
    <v>536870912</v>
    <v>Västerbotten County</v>
    <v>cc98b155-efa3-e92b-fee4-917b63865fcd</v>
    <v>en-IN</v>
    <v>Map</v>
  </rv>
  <rv s="0">
    <v>536870912</v>
    <v>Västernorrland County</v>
    <v>a35ed386-5b37-a411-1499-a7d817b777bd</v>
    <v>en-IN</v>
    <v>Map</v>
  </rv>
  <rv s="0">
    <v>536870912</v>
    <v>Västmanland County</v>
    <v>417f3366-57d0-4c10-ee14-819f1c4201df</v>
    <v>en-IN</v>
    <v>Map</v>
  </rv>
  <rv s="0">
    <v>536870912</v>
    <v>Västra Götaland County</v>
    <v>ec27be9f-c019-4bd7-6372-f8f07b5ef74c</v>
    <v>en-IN</v>
    <v>Map</v>
  </rv>
  <rv s="0">
    <v>536870912</v>
    <v>Örebro County</v>
    <v>efe70c03-c63c-a6f2-2d91-08beb34f7d5a</v>
    <v>en-IN</v>
    <v>Map</v>
  </rv>
  <rv s="0">
    <v>536870912</v>
    <v>Östergötland County</v>
    <v>01c3007b-b64c-a1f4-0a51-e925799b11b3</v>
    <v>en-IN</v>
    <v>Map</v>
  </rv>
  <rv s="3">
    <v>340</v>
  </rv>
  <rv s="1">
    <fb>0.27911031322372698</fb>
    <v>24</v>
  </rv>
  <rv s="1">
    <fb>0.49099999999999999</fb>
    <v>24</v>
  </rv>
  <rv s="1">
    <fb>6.4759998321533202E-2</fb>
    <v>32</v>
  </rv>
  <rv s="1">
    <fb>9021165</fb>
    <v>25</v>
  </rv>
  <rv s="68">
    <v>#VALUE!</v>
    <v>en-IN</v>
    <v>a5928099-53c3-11a8-91e6-6fe59b8c4f9a</v>
    <v>536870912</v>
    <v>1</v>
    <v>998</v>
    <v>626</v>
    <v>Sweden</v>
    <v>20</v>
    <v>21</v>
    <v>Map</v>
    <v>22</v>
    <v>999</v>
    <v>SE</v>
    <v>6306</v>
    <v>6307</v>
    <v>6238</v>
    <v>6308</v>
    <v>6309</v>
    <v>6310</v>
    <v>6311</v>
    <v>6312</v>
    <v>6313</v>
    <v>SEK</v>
    <v>Sweden, formally the Kingdom of Sweden, is a Nordic country located on the Scandinavian Peninsula in Northern Europe. It borders Norway to the west and north, Finland to the east, and is connected to Denmark in the southwest by a bridge–tunnel ...</v>
    <v>6314</v>
    <v>6315</v>
    <v>6316</v>
    <v>6317</v>
    <v>6318</v>
    <v>6319</v>
    <v>6320</v>
    <v>6321</v>
    <v>6322</v>
    <v>6323</v>
    <v>6310</v>
    <v>6326</v>
    <v>6327</v>
    <v>6328</v>
    <v>6329</v>
    <v>6082</v>
    <v>Sweden</v>
    <v>Du gamla, du fria</v>
    <v>6330</v>
    <v>Konungariket Sverige</v>
    <v>6331</v>
    <v>6332</v>
    <v>6333</v>
    <v>6334</v>
    <v>1588</v>
    <v>4090</v>
    <v>2359</v>
    <v>2104</v>
    <v>6335</v>
    <v>2238</v>
    <v>6336</v>
    <v>6358</v>
    <v>6359</v>
    <v>1074</v>
    <v>6360</v>
    <v>6361</v>
    <v>Sweden</v>
    <v>6362</v>
    <v>mdp/vdpid/221</v>
  </rv>
  <rv s="1">
    <fb>187.16</fb>
    <v>25</v>
  </rv>
  <rv s="0">
    <v>536870912</v>
    <v>Kalmar Union</v>
    <v>723b5437-f021-ebd7-3a7a-2fcc8a5bab2d</v>
    <v>en-IN</v>
    <v>Map</v>
  </rv>
  <rv s="2">
    <v>192</v>
    <v>22</v>
    <v>1000</v>
    <v>7</v>
    <v>0</v>
    <v>Image of Stockholm</v>
  </rv>
  <rv s="1">
    <fb>59.329444444444</fb>
    <v>37</v>
  </rv>
  <rv s="0">
    <v>805306368</v>
    <v>Karin Wanngård (Mayor)</v>
    <v>ff45a3f2-13a5-6f7f-5794-0b7c2a0d7877</v>
    <v>en-IN</v>
    <v>Generic</v>
  </rv>
  <rv s="3">
    <v>341</v>
  </rv>
  <rv s="4">
    <v>https://www.bing.com/search?q=stockholm+sweden&amp;form=skydnc</v>
    <v>Learn more on Bing</v>
  </rv>
  <rv s="1">
    <fb>18.068611111111</fb>
    <v>37</v>
  </rv>
  <rv s="1">
    <fb>978770</fb>
    <v>25</v>
  </rv>
  <rv s="14">
    <v>#VALUE!</v>
    <v>en-IN</v>
    <v>9daa4a8d-0e69-da3a-672e-16d4743a665b</v>
    <v>536870912</v>
    <v>1</v>
    <v>1001</v>
    <v>82</v>
    <v>Stockholm</v>
    <v>20</v>
    <v>21</v>
    <v>Map</v>
    <v>22</v>
    <v>362</v>
    <v>6348</v>
    <v>6364</v>
    <v>6365</v>
    <v>Stockholm is the capital and most populous city of Sweden as well as the largest urban area in the Nordic countries. Approximately 1 million people live in the municipality, with 2.1 million in the urban area, and 2.4 million in the metropolitan ...</v>
    <v>6366</v>
    <v>6367</v>
    <v>6369</v>
    <v>6370</v>
    <v>6371</v>
    <v>Stockholm</v>
    <v>6372</v>
    <v>Stockholm</v>
    <v>mdp/vdpid/7005763932988112897</v>
  </rv>
  <rv s="2">
    <v>191</v>
    <v>22</v>
    <v>995</v>
    <v>3</v>
    <v>0</v>
    <v>Image of Sweden</v>
  </rv>
  <rv s="59">
    <v>en-IN</v>
    <v>bntwvh</v>
    <v>268435456</v>
    <v>1</v>
    <v>Powered by Refinitiv</v>
    <v>511</v>
    <v>GHS/USD</v>
    <v>43</v>
    <v>522</v>
    <v>Finance</v>
    <v>45</v>
    <v>9.7699999999999995E-2</v>
    <v>6.0299999999999999E-2</v>
    <v>0</v>
    <v>0</v>
    <v>USD</v>
    <v>GHS</v>
    <v>Currency Pair</v>
    <v>45954.873784722222</v>
    <v>Ghanaian Cedi/US Dollar FX Cross Rate</v>
    <v>9.2200000000000004E-2</v>
    <v>9.2200000000000004E-2</v>
    <v>GHSUSD</v>
    <v>GHS/USD</v>
  </rv>
  <rv s="9">
    <v>6375</v>
  </rv>
  <rv s="0">
    <v>536870912</v>
    <v>Switzerland</v>
    <v>c10c98b9-afcd-84bf-c5c8-4220fc76a2e3</v>
    <v>en-IN</v>
    <v>Map</v>
  </rv>
  <rv s="1">
    <fb>0.38363446027908404</fb>
    <v>24</v>
  </rv>
  <rv s="1">
    <fb>41285</fb>
    <v>25</v>
  </rv>
  <rv s="1">
    <fb>41</fb>
    <v>27</v>
  </rv>
  <rv s="0">
    <v>536870912</v>
    <v>Bern</v>
    <v>15dda629-8f09-9c82-b064-7a7e8e84c804</v>
    <v>en-IN</v>
    <v>Map</v>
  </rv>
  <rv s="1">
    <fb>34477.133999999998</fb>
    <v>25</v>
  </rv>
  <rv s="1">
    <fb>99.546913020227805</fb>
    <v>28</v>
  </rv>
  <rv s="1">
    <fb>3.6291600452038396E-3</fb>
    <v>24</v>
  </rv>
  <rv s="1">
    <fb>7520.1660249450197</fb>
    <v>25</v>
  </rv>
  <rv s="1">
    <fb>0.318301452005265</fb>
    <v>24</v>
  </rv>
  <rv s="1">
    <fb>50.168225480798597</fb>
    <v>29</v>
  </rv>
  <rv s="1">
    <fb>1.45</fb>
    <v>30</v>
  </rv>
  <rv s="1">
    <fb>703082435360.11694</fb>
    <v>31</v>
  </rv>
  <rv s="1">
    <fb>1.0519068</fb>
    <v>24</v>
  </rv>
  <rv s="1">
    <fb>0.59562990000000005</fb>
    <v>24</v>
  </rv>
  <rv s="2">
    <v>193</v>
    <v>22</v>
    <v>1003</v>
    <v>7</v>
    <v>0</v>
    <v>Image of Switzerland</v>
  </rv>
  <rv s="1">
    <fb>3.7</fb>
    <v>29</v>
  </rv>
  <rv s="0">
    <v>536870912</v>
    <v>Zürich</v>
    <v>db19e556-240e-d241-ad76-1bf238372a7f</v>
    <v>en-IN</v>
    <v>Map</v>
  </rv>
  <rv s="0">
    <v>805306368</v>
    <v>Alain Berset (Federal Council)</v>
    <v>b7bbcf83-1d35-7bfd-1814-1aef83fad1eb</v>
    <v>en-IN</v>
    <v>Generic</v>
  </rv>
  <rv s="0">
    <v>805306368</v>
    <v>Viola Amherd (Federal Council)</v>
    <v>f6fb052a-7df3-5ad8-30ba-ca10ed100863</v>
    <v>en-IN</v>
    <v>Generic</v>
  </rv>
  <rv s="0">
    <v>805306368</v>
    <v>Guy Parmelin (Federal Council)</v>
    <v>1698eb42-72aa-6c9b-26ff-ed678962e2b0</v>
    <v>en-IN</v>
    <v>Generic</v>
  </rv>
  <rv s="0">
    <v>805306368</v>
    <v>Ignazio Cassis (Federal Council)</v>
    <v>dacdb4e9-4344-ec7d-0faa-307f1e081e21</v>
    <v>en-IN</v>
    <v>Generic</v>
  </rv>
  <rv s="0">
    <v>805306368</v>
    <v>Karin Keller-Sutter (Federal Council)</v>
    <v>00e54934-2464-4876-b9e0-0f45711e610b</v>
    <v>en-IN</v>
    <v>Generic</v>
  </rv>
  <rv s="0">
    <v>805306368</v>
    <v>Albert Rösti (Federal Council)</v>
    <v>c24073af-1953-d773-7d55-965da760c77f</v>
    <v>en-IN</v>
    <v>Generic</v>
  </rv>
  <rv s="0">
    <v>805306368</v>
    <v>Élisabeth Baume-Schneider (Federal Council)</v>
    <v>771e919e-ed9d-33ac-50e8-cc2baac2edc7</v>
    <v>en-IN</v>
    <v>Generic</v>
  </rv>
  <rv s="3">
    <v>342</v>
  </rv>
  <rv s="4">
    <v>https://www.bing.com/search?q=switzerland&amp;form=skydnc</v>
    <v>Learn more on Bing</v>
  </rv>
  <rv s="1">
    <fb>83.551219512195104</fb>
    <v>29</v>
  </rv>
  <rv s="1">
    <fb>1834453260000</fb>
    <v>31</v>
  </rv>
  <rv s="3">
    <v>343</v>
  </rv>
  <rv s="1">
    <fb>0.28345719829999999</fb>
    <v>24</v>
  </rv>
  <rv s="1">
    <fb>4.2957000000000001</fb>
    <v>26</v>
  </rv>
  <rv s="1">
    <fb>8769741</fb>
    <v>25</v>
  </rv>
  <rv s="1">
    <fb>0.40600000000000003</fb>
    <v>24</v>
  </rv>
  <rv s="1">
    <fb>0.125</fb>
    <v>24</v>
  </rv>
  <rv s="1">
    <fb>0.16699999999999998</fb>
    <v>24</v>
  </rv>
  <rv s="1">
    <fb>0.68252998352050798</fb>
    <v>24</v>
  </rv>
  <rv s="0">
    <v>536870912</v>
    <v>Appenzell Ausserrhoden</v>
    <v>4663e3db-15ae-7203-e966-72677429b1a3</v>
    <v>en-IN</v>
    <v>Map</v>
  </rv>
  <rv s="0">
    <v>536870912</v>
    <v>Appenzell Innerrhoden</v>
    <v>438c2059-f008-12cd-b398-bdec44fee1ce</v>
    <v>en-IN</v>
    <v>Map</v>
  </rv>
  <rv s="0">
    <v>536870912</v>
    <v>Aargau</v>
    <v>7ffb687a-43b8-ee3e-7244-a40e99f97077</v>
    <v>en-IN</v>
    <v>Map</v>
  </rv>
  <rv s="0">
    <v>536870912</v>
    <v>Basel-Landschaft</v>
    <v>42301343-12f1-5ec4-5c22-74dbfbf795b2</v>
    <v>en-IN</v>
    <v>Map</v>
  </rv>
  <rv s="0">
    <v>536870912</v>
    <v>Basel-Stadt</v>
    <v>c6e79b8d-baaa-199e-f037-0c6cb850776e</v>
    <v>en-IN</v>
    <v>Map</v>
  </rv>
  <rv s="0">
    <v>536870912</v>
    <v>Canton of Bern</v>
    <v>2a03e077-5092-0e03-223b-4aa6b24c7525</v>
    <v>en-IN</v>
    <v>Map</v>
  </rv>
  <rv s="0">
    <v>536870912</v>
    <v>Canton of Fribourg</v>
    <v>5539f36c-455a-28cc-02c2-27ef6596fe56</v>
    <v>en-IN</v>
    <v>Map</v>
  </rv>
  <rv s="0">
    <v>536870912</v>
    <v>Canton of Geneva</v>
    <v>fb357cde-21c3-0878-8ec6-1e42a1a9db63</v>
    <v>en-IN</v>
    <v>Map</v>
  </rv>
  <rv s="0">
    <v>536870912</v>
    <v>Canton of Glarus</v>
    <v>6cf7d446-0b69-661d-2aa7-1719c8a7d3ca</v>
    <v>en-IN</v>
    <v>Map</v>
  </rv>
  <rv s="0">
    <v>536870912</v>
    <v>Grisons</v>
    <v>897c7b22-1822-9d6c-0404-564393a9433c</v>
    <v>en-IN</v>
    <v>Map</v>
  </rv>
  <rv s="0">
    <v>536870912</v>
    <v>Canton of Jura</v>
    <v>7d474a26-e388-0d0f-3b50-6ba37562a6b8</v>
    <v>en-IN</v>
    <v>Map</v>
  </rv>
  <rv s="0">
    <v>536870912</v>
    <v>Canton of Lucerne</v>
    <v>b4674fd7-3899-7adb-4ffb-315b0fe97c2d</v>
    <v>en-IN</v>
    <v>Map</v>
  </rv>
  <rv s="0">
    <v>536870912</v>
    <v>Nidwalden</v>
    <v>58fe5a62-ac5e-752f-a9cf-e9cc16f0d3bb</v>
    <v>en-IN</v>
    <v>Map</v>
  </rv>
  <rv s="0">
    <v>536870912</v>
    <v>Canton of Obwalden</v>
    <v>ed77cee0-5e66-ea48-95ac-b4a7f4179920</v>
    <v>en-IN</v>
    <v>Map</v>
  </rv>
  <rv s="0">
    <v>536870912</v>
    <v>Canton of St. Gallen</v>
    <v>2c40a905-a53f-03e5-6ae8-ff0f2d23e1a1</v>
    <v>en-IN</v>
    <v>Map</v>
  </rv>
  <rv s="0">
    <v>536870912</v>
    <v>Canton of Schaffhausen</v>
    <v>93019ae6-ba39-a502-0e6f-d0ea1311b868</v>
    <v>en-IN</v>
    <v>Map</v>
  </rv>
  <rv s="0">
    <v>536870912</v>
    <v>Canton of Schwyz</v>
    <v>ff0399f7-2e79-eb3f-0618-78c79708ac42</v>
    <v>en-IN</v>
    <v>Map</v>
  </rv>
  <rv s="0">
    <v>536870912</v>
    <v>Canton of Solothurn</v>
    <v>768c0474-5479-b9c8-75f8-f82efb8f0dde</v>
    <v>en-IN</v>
    <v>Map</v>
  </rv>
  <rv s="0">
    <v>536870912</v>
    <v>Canton of Ticino</v>
    <v>b6c6799b-da2f-f3c7-c738-32ae5b148d64</v>
    <v>en-IN</v>
    <v>Map</v>
  </rv>
  <rv s="0">
    <v>536870912</v>
    <v>Thurgau</v>
    <v>8065557e-7c96-3a5b-def2-3f06cf28b35d</v>
    <v>en-IN</v>
    <v>Map</v>
  </rv>
  <rv s="0">
    <v>536870912</v>
    <v>Canton of Uri</v>
    <v>bd769763-fa18-cb72-13b9-1fc2356e69e2</v>
    <v>en-IN</v>
    <v>Map</v>
  </rv>
  <rv s="0">
    <v>536870912</v>
    <v>Canton of Valais</v>
    <v>8f4a9c7f-1eaf-8f68-e219-aa3807fe0383</v>
    <v>en-IN</v>
    <v>Map</v>
  </rv>
  <rv s="0">
    <v>536870912</v>
    <v>Canton of Vaud</v>
    <v>a705603f-d616-d617-8e28-389ba87a66fc</v>
    <v>en-IN</v>
    <v>Map</v>
  </rv>
  <rv s="0">
    <v>536870912</v>
    <v>Canton of Zug</v>
    <v>e87417bb-ca41-7e6d-69d0-7a8484553a9d</v>
    <v>en-IN</v>
    <v>Map</v>
  </rv>
  <rv s="0">
    <v>536870912</v>
    <v>Canton of Zürich</v>
    <v>91f44f19-7d2e-687e-1899-8b1d22d4a46b</v>
    <v>en-IN</v>
    <v>Map</v>
  </rv>
  <rv s="3">
    <v>344</v>
  </rv>
  <rv s="1">
    <fb>0.10080933835403399</fb>
    <v>24</v>
  </rv>
  <rv s="1">
    <fb>0.28800000000000003</fb>
    <v>24</v>
  </rv>
  <rv s="1">
    <fb>4.5809998512268101E-2</fb>
    <v>32</v>
  </rv>
  <rv s="1">
    <fb>6332428</fb>
    <v>25</v>
  </rv>
  <rv s="68">
    <v>#VALUE!</v>
    <v>en-IN</v>
    <v>c10c98b9-afcd-84bf-c5c8-4220fc76a2e3</v>
    <v>536870912</v>
    <v>1</v>
    <v>1006</v>
    <v>626</v>
    <v>Switzerland</v>
    <v>20</v>
    <v>21</v>
    <v>Map</v>
    <v>22</v>
    <v>718</v>
    <v>CH</v>
    <v>6378</v>
    <v>6379</v>
    <v>1140</v>
    <v>1281</v>
    <v>6380</v>
    <v>6381</v>
    <v>6382</v>
    <v>6383</v>
    <v>6384</v>
    <v>CHF</v>
    <v>Switzerland, officially the Swiss Confederation, is a landlocked country located at the confluence of Western, Central and Southern Europe. It is bordered by Italy to the south, France to the west, Germany to the north and Austria and ...</v>
    <v>6385</v>
    <v>5529</v>
    <v>6386</v>
    <v>6387</v>
    <v>6388</v>
    <v>6389</v>
    <v>6390</v>
    <v>6391</v>
    <v>6392</v>
    <v>6393</v>
    <v>6394</v>
    <v>6402</v>
    <v>6403</v>
    <v>6404</v>
    <v>6405</v>
    <v>403</v>
    <v>Switzerland</v>
    <v>Swiss Psalm</v>
    <v>6406</v>
    <v>Confoederatio Helvetica</v>
    <v>6407</v>
    <v>6408</v>
    <v>6409</v>
    <v>4154</v>
    <v>3037</v>
    <v>6410</v>
    <v>412</v>
    <v>38</v>
    <v>6411</v>
    <v>6412</v>
    <v>6413</v>
    <v>6439</v>
    <v>6440</v>
    <v>1074</v>
    <v>6441</v>
    <v>6442</v>
    <v>Switzerland</v>
    <v>6443</v>
    <v>mdp/vdpid/223</v>
  </rv>
  <rv s="0">
    <v>536870912</v>
    <v>Bern-Mittelland administrative district</v>
    <v>0e93e92f-5282-8919-fb62-1d7f8c0b15f5</v>
    <v>en-IN</v>
    <v>Map</v>
  </rv>
  <rv s="1">
    <fb>51.62</fb>
    <v>25</v>
  </rv>
  <rv s="2">
    <v>194</v>
    <v>22</v>
    <v>1007</v>
    <v>7</v>
    <v>0</v>
    <v>Image of Bern</v>
  </rv>
  <rv s="1">
    <fb>46.947980000000001</fb>
    <v>37</v>
  </rv>
  <rv s="0">
    <v>805306368</v>
    <v>Stadtpräsident (Mayor)</v>
    <v>830d5c4c-7061-da7c-a767-c5d8d37adc5a</v>
    <v>en-IN</v>
    <v>Generic</v>
  </rv>
  <rv s="3">
    <v>345</v>
  </rv>
  <rv s="4">
    <v>https://www.bing.com/search?q=bern&amp;form=skydnc</v>
    <v>Learn more on Bing</v>
  </rv>
  <rv s="1">
    <fb>7.4474299999999998</fb>
    <v>37</v>
  </rv>
  <rv s="1">
    <fb>134290</fb>
    <v>25</v>
  </rv>
  <rv s="46">
    <v>#VALUE!</v>
    <v>en-IN</v>
    <v>15dda629-8f09-9c82-b064-7a7e8e84c804</v>
    <v>536870912</v>
    <v>1</v>
    <v>1008</v>
    <v>340</v>
    <v>Bern</v>
    <v>20</v>
    <v>21</v>
    <v>Map</v>
    <v>22</v>
    <v>362</v>
    <v>6445</v>
    <v>6446</v>
    <v>6377</v>
    <v>Bern or Berne is the de facto capital of Switzerland, referred to as the "federal city". With a population of about 133,000, Bern is the fifth-most populous city in Switzerland, behind Zürich, Geneva, Basel and Lausanne. The Bern agglomeration, ...</v>
    <v>6447</v>
    <v>6448</v>
    <v>6450</v>
    <v>6451</v>
    <v>6452</v>
    <v>Bern</v>
    <v>6453</v>
    <v>Bern</v>
    <v>mdp/vdpid/7015704281399427073</v>
  </rv>
  <rv s="1">
    <fb>87.88</fb>
    <v>25</v>
  </rv>
  <rv s="0">
    <v>536870912</v>
    <v>First French Empire</v>
    <v>77163a34-3c8d-35cd-a5a5-c1f0d11e9469</v>
    <v>en-IN</v>
    <v>Map</v>
  </rv>
  <rv s="2">
    <v>195</v>
    <v>22</v>
    <v>1009</v>
    <v>7</v>
    <v>0</v>
    <v>Image of Zürich</v>
  </rv>
  <rv s="1">
    <fb>47.3744444444444</fb>
    <v>37</v>
  </rv>
  <rv s="0">
    <v>805306368</v>
    <v>Stadtpräsidentin (Mayor)</v>
    <v>3fa1ab99-bc4d-77b1-fd3c-7d3d82c3d467</v>
    <v>en-IN</v>
    <v>Generic</v>
  </rv>
  <rv s="3">
    <v>346</v>
  </rv>
  <rv s="4">
    <v>https://www.bing.com/search?q=zurich+city&amp;form=skydnc</v>
    <v>Learn more on Bing</v>
  </rv>
  <rv s="1">
    <fb>8.5411111111111104</fb>
    <v>37</v>
  </rv>
  <rv s="1">
    <fb>443037</fb>
    <v>25</v>
  </rv>
  <rv s="14">
    <v>#VALUE!</v>
    <v>en-IN</v>
    <v>db19e556-240e-d241-ad76-1bf238372a7f</v>
    <v>536870912</v>
    <v>1</v>
    <v>1010</v>
    <v>82</v>
    <v>Zürich</v>
    <v>20</v>
    <v>21</v>
    <v>Map</v>
    <v>22</v>
    <v>94</v>
    <v>6438</v>
    <v>6455</v>
    <v>6456</v>
    <v>Zürich is the largest city in Switzerland and the capital of the canton of Zürich. It is located in north-central Switzerland, at the northwestern tip of Lake Zürich. As of January 2023 the municipality had 443,037 inhabitants, the urban area ...</v>
    <v>6457</v>
    <v>6458</v>
    <v>6460</v>
    <v>6461</v>
    <v>6462</v>
    <v>Zürich</v>
    <v>6463</v>
    <v>Zürich</v>
    <v>mdp/vdpid/7016063506088722433</v>
  </rv>
  <rv s="2">
    <v>193</v>
    <v>22</v>
    <v>1003</v>
    <v>3</v>
    <v>0</v>
    <v>Image of Switzerland</v>
  </rv>
  <rv s="8">
    <v>en-IN</v>
    <v>avyp52</v>
    <v>268435456</v>
    <v>1</v>
    <v>Powered by Refinitiv</v>
    <v>42</v>
    <v>USD/LAK</v>
    <v>43</v>
    <v>1011</v>
    <v>Finance</v>
    <v>45</v>
    <v>21901</v>
    <v>21398.5</v>
    <v>0</v>
    <v>0</v>
    <v>LAK</v>
    <v>USD</v>
    <v>21596</v>
    <v>Currency Pair</v>
    <v>45957.145787037036</v>
    <v>21826</v>
    <v>US Dollar/Lao Kip FX Spot Rate</v>
    <v>21596</v>
    <v>21596</v>
    <v>21596</v>
    <v>USDLAK</v>
    <v>USD/LAK</v>
  </rv>
  <rv s="9">
    <v>6466</v>
  </rv>
  <rv s="0">
    <v>536870912</v>
    <v>Syria</v>
    <v>0365d9b4-dcc9-76b1-38fe-00d02cbcd68f</v>
    <v>en-IN</v>
    <v>Map</v>
  </rv>
  <rv s="1">
    <fb>0.75810052823612695</fb>
    <v>24</v>
  </rv>
  <rv s="1">
    <fb>185180</fb>
    <v>25</v>
  </rv>
  <rv s="1">
    <fb>239000</fb>
    <v>25</v>
  </rv>
  <rv s="1">
    <fb>23.684999999999999</fb>
    <v>26</v>
  </rv>
  <rv s="1">
    <fb>963</fb>
    <v>27</v>
  </rv>
  <rv s="0">
    <v>536870912</v>
    <v>Damascus</v>
    <v>c59c22f4-d509-942f-a2f4-b31fa809a1b5</v>
    <v>en-IN</v>
    <v>Map</v>
  </rv>
  <rv s="1">
    <fb>28829.954000000002</fb>
    <v>25</v>
  </rv>
  <rv s="1">
    <fb>143.199979473582</fb>
    <v>28</v>
  </rv>
  <rv s="1">
    <fb>0.36702295336413898</fb>
    <v>24</v>
  </rv>
  <rv s="1">
    <fb>974.31713913344902</fb>
    <v>25</v>
  </rv>
  <rv s="1">
    <fb>2.8079999999999998</fb>
    <v>26</v>
  </rv>
  <rv s="1">
    <fb>2.67385503458041E-2</fb>
    <v>24</v>
  </rv>
  <rv s="1">
    <fb>97.791781432638501</fb>
    <v>29</v>
  </rv>
  <rv s="1">
    <fb>40405006007.208603</fb>
    <v>31</v>
  </rv>
  <rv s="1">
    <fb>0.81663549999999996</fb>
    <v>24</v>
  </rv>
  <rv s="1">
    <fb>0.40051150000000002</fb>
    <v>24</v>
  </rv>
  <rv s="2">
    <v>196</v>
    <v>22</v>
    <v>1013</v>
    <v>7</v>
    <v>0</v>
    <v>Image of Syria</v>
  </rv>
  <rv s="0">
    <v>805306368</v>
    <v>Bashar al-Assad (President)</v>
    <v>ec76c458-c383-50d3-e178-a29f6935d498</v>
    <v>en-IN</v>
    <v>Generic</v>
  </rv>
  <rv s="0">
    <v>805306368</v>
    <v>Najah al-Attar (Vice president)</v>
    <v>c9571ec4-7ece-2d08-e021-24d1e99422a4</v>
    <v>en-IN</v>
    <v>Generic</v>
  </rv>
  <rv s="0">
    <v>805306368</v>
    <v>Hussein Arnous (Prime minister)</v>
    <v>c287d9bb-f09b-2a46-0b5c-989422f46c52</v>
    <v>en-IN</v>
    <v>Generic</v>
  </rv>
  <rv s="3">
    <v>347</v>
  </rv>
  <rv s="4">
    <v>https://www.bing.com/search?q=syria&amp;form=skydnc</v>
    <v>Learn more on Bing</v>
  </rv>
  <rv s="1">
    <fb>71.778999999999996</fb>
    <v>29</v>
  </rv>
  <rv s="1">
    <fb>31</fb>
    <v>29</v>
  </rv>
  <rv s="1">
    <fb>1.02</fb>
    <v>30</v>
  </rv>
  <rv s="1">
    <fb>0.53691278149999999</fb>
    <v>24</v>
  </rv>
  <rv s="1">
    <fb>1.22</fb>
    <v>26</v>
  </rv>
  <rv s="1">
    <fb>22125249</fb>
    <v>25</v>
  </rv>
  <rv s="1">
    <fb>0.28699999999999998</fb>
    <v>24</v>
  </rv>
  <rv s="1">
    <fb>0.154</fb>
    <v>24</v>
  </rv>
  <rv s="1">
    <fb>0.44113998413085903</fb>
    <v>24</v>
  </rv>
  <rv s="0">
    <v>536870912</v>
    <v>Damascus Governorate</v>
    <v>abc37172-80e3-0b38-0b56-28a17ec5f75e</v>
    <v>en-IN</v>
    <v>Map</v>
  </rv>
  <rv s="0">
    <v>536870912</v>
    <v>Rif Dimashq Governorate</v>
    <v>0bf8e513-8046-66b0-58f0-27ebba28355f</v>
    <v>en-IN</v>
    <v>Map</v>
  </rv>
  <rv s="0">
    <v>536870912</v>
    <v>Quneitra Governorate</v>
    <v>a65262f8-969c-4091-bb38-ad81d3151c80</v>
    <v>en-IN</v>
    <v>Map</v>
  </rv>
  <rv s="0">
    <v>536870912</v>
    <v>Daraa Governorate</v>
    <v>971ab33c-32f7-607a-f6df-68f8f4ab093e</v>
    <v>en-IN</v>
    <v>Map</v>
  </rv>
  <rv s="0">
    <v>536870912</v>
    <v>As-Suwayda Governorate</v>
    <v>df94cb8c-564c-4586-aa29-316404232f68</v>
    <v>en-IN</v>
    <v>Map</v>
  </rv>
  <rv s="0">
    <v>536870912</v>
    <v>Homs Governorate</v>
    <v>f4bdeeb9-0ed5-9c38-ed69-96466a4d740a</v>
    <v>en-IN</v>
    <v>Map</v>
  </rv>
  <rv s="0">
    <v>536870912</v>
    <v>Tartus Governorate</v>
    <v>b9351e7f-4232-2252-165d-5aac7be40f57</v>
    <v>en-IN</v>
    <v>Map</v>
  </rv>
  <rv s="0">
    <v>536870912</v>
    <v>Latakia Governorate</v>
    <v>31841ca1-6c95-6f01-0ab5-6889d4c3d21c</v>
    <v>en-IN</v>
    <v>Map</v>
  </rv>
  <rv s="0">
    <v>536870912</v>
    <v>Hama Governorate</v>
    <v>b8dbf16b-64c2-e098-8f3a-009959ed70b6</v>
    <v>en-IN</v>
    <v>Map</v>
  </rv>
  <rv s="0">
    <v>536870912</v>
    <v>Idlib Governorate</v>
    <v>519423b9-bc4b-c2ba-752c-72b56bc07188</v>
    <v>en-IN</v>
    <v>Map</v>
  </rv>
  <rv s="0">
    <v>536870912</v>
    <v>Aleppo Governorate</v>
    <v>85ca5ff2-1809-0be9-0086-d75d0526a2a2</v>
    <v>en-IN</v>
    <v>Map</v>
  </rv>
  <rv s="0">
    <v>536870912</v>
    <v>Al-Raqqah Governorate</v>
    <v>0b7a175f-cb0c-4f12-a872-0119ee237677</v>
    <v>en-IN</v>
    <v>Map</v>
  </rv>
  <rv s="0">
    <v>536870912</v>
    <v>Deir ez-Zor Governorate</v>
    <v>73ead33c-8d7c-a2e3-d46b-d38cc25dcbc9</v>
    <v>en-IN</v>
    <v>Map</v>
  </rv>
  <rv s="0">
    <v>536870912</v>
    <v>Al-Hasakah Governorate</v>
    <v>5a14681e-86ef-4e87-8814-e97b2331491b</v>
    <v>en-IN</v>
    <v>Map</v>
  </rv>
  <rv s="3">
    <v>348</v>
  </rv>
  <rv s="1">
    <fb>0.14194682792272501</fb>
    <v>24</v>
  </rv>
  <rv s="1">
    <fb>8.3699998855590804E-2</fb>
    <v>32</v>
  </rv>
  <rv s="1">
    <fb>9358019</fb>
    <v>25</v>
  </rv>
  <rv s="13">
    <v>#VALUE!</v>
    <v>en-IN</v>
    <v>0365d9b4-dcc9-76b1-38fe-00d02cbcd68f</v>
    <v>536870912</v>
    <v>1</v>
    <v>1016</v>
    <v>78</v>
    <v>Syria</v>
    <v>20</v>
    <v>21</v>
    <v>Map</v>
    <v>22</v>
    <v>1017</v>
    <v>SY</v>
    <v>6469</v>
    <v>6470</v>
    <v>6471</v>
    <v>6472</v>
    <v>6473</v>
    <v>6474</v>
    <v>6475</v>
    <v>6476</v>
    <v>6477</v>
    <v>SYP</v>
    <v>Syria, officially the Syrian Arab Republic, is a country in West Asia located in the Eastern Mediterranean and the Levant. It is bounded by the Mediterranean Sea to the west, Turkey to the north, Iraq to the east and southeast, Jordan to the ...</v>
    <v>6478</v>
    <v>6479</v>
    <v>6480</v>
    <v>6481</v>
    <v>1226</v>
    <v>6482</v>
    <v>6483</v>
    <v>6484</v>
    <v>6485</v>
    <v>2725</v>
    <v>6474</v>
    <v>6489</v>
    <v>6490</v>
    <v>6491</v>
    <v>6492</v>
    <v>6493</v>
    <v>Syria</v>
    <v>Humat ad-Diyar</v>
    <v>808</v>
    <v>الجمهورية العربية السورية</v>
    <v>6494</v>
    <v>6495</v>
    <v>6496</v>
    <v>4703</v>
    <v>6497</v>
    <v>2241</v>
    <v>1234</v>
    <v>1235</v>
    <v>1024</v>
    <v>6498</v>
    <v>6499</v>
    <v>6514</v>
    <v>6515</v>
    <v>6276</v>
    <v>6516</v>
    <v>Syria</v>
    <v>6517</v>
    <v>mdp/vdpid/222</v>
  </rv>
  <rv s="1">
    <fb>105</fb>
    <v>25</v>
  </rv>
  <rv s="2">
    <v>197</v>
    <v>22</v>
    <v>1018</v>
    <v>7</v>
    <v>0</v>
    <v>Image of Damascus</v>
  </rv>
  <rv s="1">
    <fb>33.513055555556001</fb>
    <v>37</v>
  </rv>
  <rv s="0">
    <v>805306368</v>
    <v>Mohammad Tariq Kreishati (Governor)</v>
    <v>4c4c84d2-c625-d2d9-8811-fde8b9e8f7c6</v>
    <v>en-IN</v>
    <v>Generic</v>
  </rv>
  <rv s="3">
    <v>349</v>
  </rv>
  <rv s="4">
    <v>https://www.bing.com/search?q=damascus&amp;form=skydnc</v>
    <v>Learn more on Bing</v>
  </rv>
  <rv s="1">
    <fb>36.291944444443999</fb>
    <v>37</v>
  </rv>
  <rv s="1">
    <fb>2503000</fb>
    <v>25</v>
  </rv>
  <rv s="14">
    <v>#VALUE!</v>
    <v>en-IN</v>
    <v>c59c22f4-d509-942f-a2f4-b31fa809a1b5</v>
    <v>536870912</v>
    <v>1</v>
    <v>1019</v>
    <v>82</v>
    <v>Damascus</v>
    <v>20</v>
    <v>21</v>
    <v>Map</v>
    <v>22</v>
    <v>94</v>
    <v>6500</v>
    <v>6519</v>
    <v>6468</v>
    <v>Damascus is the capital of Syria, the oldest capital in the world according to some. Known colloquially in Syria as aš-Šām and dubbed, poetically, the "City of Jasmine", Damascus is a major cultural center of the Levant and the Arab world.</v>
    <v>6520</v>
    <v>6521</v>
    <v>6523</v>
    <v>6524</v>
    <v>6525</v>
    <v>Damascus</v>
    <v>6526</v>
    <v>Damascus</v>
    <v>mdp/vdpid/7269000459120017409</v>
  </rv>
  <rv s="2">
    <v>196</v>
    <v>22</v>
    <v>1013</v>
    <v>3</v>
    <v>0</v>
    <v>Image of Syria</v>
  </rv>
  <rv s="8">
    <v>en-IN</v>
    <v>avg25r</v>
    <v>268435456</v>
    <v>1</v>
    <v>Powered by Refinitiv</v>
    <v>42</v>
    <v>LAK/USD</v>
    <v>43</v>
    <v>62</v>
    <v>Finance</v>
    <v>45</v>
    <v>4.6300000000000001E-5</v>
    <v>4.5000000000000003E-5</v>
    <v>0</v>
    <v>0</v>
    <v>USD</v>
    <v>LAK</v>
    <v>4.5800000000000002E-5</v>
    <v>Currency Pair</v>
    <v>45957.145787037036</v>
    <v>4.6300000000000001E-5</v>
    <v>Lao Kip/US Dollar FX Cross Rate</v>
    <v>4.5800000000000002E-5</v>
    <v>4.5800000000000002E-5</v>
    <v>4.5800000000000002E-5</v>
    <v>LAKUSD</v>
    <v>LAK/USD</v>
  </rv>
  <rv s="9">
    <v>6529</v>
  </rv>
  <rv s="0">
    <v>536870912</v>
    <v>Taiwan</v>
    <v>a2062e34-9038-4cf6-913e-70f770fdfe0b</v>
    <v>en-IN</v>
    <v>Map</v>
  </rv>
  <rv s="1">
    <fb>36193</fb>
    <v>25</v>
  </rv>
  <rv s="1">
    <fb>886</fb>
    <v>27</v>
  </rv>
  <rv s="0">
    <v>536870912</v>
    <v>Taipei</v>
    <v>d819360f-4eab-60ff-7738-dbd6ecd94455</v>
    <v>en-IN</v>
    <v>Map</v>
  </rv>
  <rv s="1">
    <fb>473971000000</fb>
    <v>31</v>
  </rv>
  <rv s="2">
    <v>198</v>
    <v>22</v>
    <v>1021</v>
    <v>7</v>
    <v>0</v>
    <v>Image of Taiwan</v>
  </rv>
  <rv s="0">
    <v>536870912</v>
    <v>New Taipei City</v>
    <v>fc01c8f0-6b7a-4cdb-8b43-467f4b482b40</v>
    <v>en-IN</v>
    <v>Map</v>
  </rv>
  <rv s="0">
    <v>805306368</v>
    <v>Tsai Ing-wen (President)</v>
    <v>5f52268f-05d4-feb9-de7d-5d33dba9f8bd</v>
    <v>en-IN</v>
    <v>Generic</v>
  </rv>
  <rv s="0">
    <v>805306368</v>
    <v>Lai Ching-te (Vice president)</v>
    <v>62ed7147-8325-4686-474f-acc98aa8eec2</v>
    <v>en-IN</v>
    <v>Generic</v>
  </rv>
  <rv s="3">
    <v>350</v>
  </rv>
  <rv s="4">
    <v>https://www.bing.com/search?q=taiwan&amp;form=skydnc</v>
    <v>Learn more on Bing</v>
  </rv>
  <rv s="1">
    <fb>4.0199999999999996</fb>
    <v>30</v>
  </rv>
  <rv s="3">
    <v>351</v>
  </rv>
  <rv s="1">
    <fb>23593794</fb>
    <v>25</v>
  </rv>
  <rv s="0">
    <v>536870912</v>
    <v>Kaohsiung</v>
    <v>27178566-2214-5933-0f72-1564869c7d0b</v>
    <v>en-IN</v>
    <v>Map</v>
  </rv>
  <rv s="0">
    <v>536870912</v>
    <v>Tainan</v>
    <v>19a30e91-876e-6e56-f0bf-8df71cf73584</v>
    <v>en-IN</v>
    <v>Map</v>
  </rv>
  <rv s="0">
    <v>536870912</v>
    <v>Taichung</v>
    <v>30fd58f0-de7d-4032-3273-97dbdc65b618</v>
    <v>en-IN</v>
    <v>Map</v>
  </rv>
  <rv s="0">
    <v>536870912</v>
    <v>Taiwan Province</v>
    <v>7c014567-7b70-41a9-892e-649651369f2f</v>
    <v>en-IN</v>
    <v>Map</v>
  </rv>
  <rv s="0">
    <v>536870912</v>
    <v>Fuchien Province, Republic of China</v>
    <v>0338a1bc-18f4-4490-a7f8-5ae6f41c6751</v>
    <v>en-IN</v>
    <v>Map</v>
  </rv>
  <rv s="0">
    <v>536870912</v>
    <v>Taoyuan</v>
    <v>c848e570-7452-421d-a11b-2dc78b8e2cdc</v>
    <v>en-IN</v>
    <v>Map</v>
  </rv>
  <rv s="3">
    <v>352</v>
  </rv>
  <rv s="3">
    <v>353</v>
  </rv>
  <rv s="94">
    <v>#VALUE!</v>
    <v>en-IN</v>
    <v>a2062e34-9038-4cf6-913e-70f770fdfe0b</v>
    <v>536870912</v>
    <v>1</v>
    <v>1023</v>
    <v>1024</v>
    <v>Taiwan</v>
    <v>20</v>
    <v>21</v>
    <v>Map</v>
    <v>22</v>
    <v>1025</v>
    <v>6532</v>
    <v>6533</v>
    <v>6534</v>
    <v>TWD</v>
    <v>Taiwan, officially the Republic of China, is a country in East Asia. It is located at the junction of the East and South China Seas in the northwestern Pacific Ocean, with the People's Republic of China to the northwest, Japan to the northeast, ...</v>
    <v>6535</v>
    <v>6536</v>
    <v>6537</v>
    <v>6540</v>
    <v>6541</v>
    <v>6542</v>
    <v>Taiwan</v>
    <v>National Anthem of the Republic of China</v>
    <v>6543</v>
    <v>Republic of China</v>
    <v>6544</v>
    <v>6551</v>
    <v>6552</v>
    <v>Taiwan</v>
    <v>mdp/vdpid/237</v>
  </rv>
  <rv s="1">
    <fb>271.79969999999997</fb>
    <v>25</v>
  </rv>
  <rv s="0">
    <v>536870912</v>
    <v>Xinni District</v>
    <v>9121e4d5-0b66-4bee-9016-e3515996aca3</v>
    <v>en-IN</v>
    <v>Map</v>
  </rv>
  <rv s="2">
    <v>199</v>
    <v>22</v>
    <v>1026</v>
    <v>7</v>
    <v>0</v>
    <v>Image of Taipei</v>
  </rv>
  <rv s="0">
    <v>805306368</v>
    <v>Chiang Wan-an (Mayor)</v>
    <v>6f68094e-b869-4ae4-a476-4a4273cd0699</v>
    <v>en-IN</v>
    <v>Generic</v>
  </rv>
  <rv s="3">
    <v>354</v>
  </rv>
  <rv s="4">
    <v>https://www.bing.com/search?q=taipei&amp;form=skydnc</v>
    <v>Learn more on Bing</v>
  </rv>
  <rv s="1">
    <fb>2603150</fb>
    <v>25</v>
  </rv>
  <rv s="95">
    <v>#VALUE!</v>
    <v>en-IN</v>
    <v>d819360f-4eab-60ff-7738-dbd6ecd94455</v>
    <v>536870912</v>
    <v>1</v>
    <v>1028</v>
    <v>1029</v>
    <v>Taipei</v>
    <v>20</v>
    <v>21</v>
    <v>Map</v>
    <v>22</v>
    <v>189</v>
    <v>TW-TPE</v>
    <v>6554</v>
    <v>6555</v>
    <v>6531</v>
    <v>Taipei, officially Taipei City, is the capital and a special municipality of Taiwan. Located in Northern Taiwan, Taipei City is an enclave of the municipality of New Taipei City that sits about 25 km southwest of the northern port city of ...</v>
    <v>6556</v>
    <v>6558</v>
    <v>6559</v>
    <v>Taipei</v>
    <v>6560</v>
    <v>Taipei</v>
    <v>mdp/vdpid/7844720196622221315</v>
  </rv>
  <rv s="1">
    <fb>2052.5700000000002</fb>
    <v>25</v>
  </rv>
  <rv s="0">
    <v>536870912</v>
    <v>Banqiao District</v>
    <v>34968ffd-d70e-5013-4b3d-aebc4fe1944d</v>
    <v>en-IN</v>
    <v>Map</v>
  </rv>
  <rv s="2">
    <v>200</v>
    <v>22</v>
    <v>1030</v>
    <v>7</v>
    <v>0</v>
    <v>Image of New Taipei City</v>
  </rv>
  <rv s="0">
    <v>805306368</v>
    <v>Hou Yu-ih (Mayor)</v>
    <v>64ef2371-0e6b-7319-3118-9f0cb0e4d8c0</v>
    <v>en-IN</v>
    <v>Generic</v>
  </rv>
  <rv s="3">
    <v>355</v>
  </rv>
  <rv s="4">
    <v>https://www.bing.com/search?q=new+taipei+city&amp;form=skydnc</v>
    <v>Learn more on Bing</v>
  </rv>
  <rv s="1">
    <fb>4364124</fb>
    <v>25</v>
  </rv>
  <rv s="95">
    <v>#VALUE!</v>
    <v>en-IN</v>
    <v>fc01c8f0-6b7a-4cdb-8b43-467f4b482b40</v>
    <v>536870912</v>
    <v>1</v>
    <v>1032</v>
    <v>1029</v>
    <v>New Taipei City</v>
    <v>20</v>
    <v>21</v>
    <v>Map</v>
    <v>22</v>
    <v>189</v>
    <v>TW-NWT</v>
    <v>6562</v>
    <v>6563</v>
    <v>6531</v>
    <v>New Taipei City is a special municipality located in northern Taiwan. The city is home to an estimated population of 4,004,367 as of January 2023, making it the most populous city in Taiwan, and also the second largest special municipality by ...</v>
    <v>6564</v>
    <v>6566</v>
    <v>6567</v>
    <v>New Taipei City</v>
    <v>6568</v>
    <v>New Taipei City</v>
    <v>mdp/vdpid/-7996876928</v>
  </rv>
  <rv s="2">
    <v>198</v>
    <v>22</v>
    <v>1021</v>
    <v>3</v>
    <v>0</v>
    <v>Image of Taiwan</v>
  </rv>
  <rv s="59">
    <v>en-IN</v>
    <v>avyqoc</v>
    <v>268435456</v>
    <v>1</v>
    <v>Powered by Refinitiv</v>
    <v>511</v>
    <v>USD/MMK</v>
    <v>43</v>
    <v>1033</v>
    <v>Finance</v>
    <v>45</v>
    <v>2093.6999999999998</v>
    <v>2093.6999999999998</v>
    <v>0</v>
    <v>0</v>
    <v>MMK</v>
    <v>USD</v>
    <v>Currency Pair</v>
    <v>45954.553946759261</v>
    <v>US Dollar/Myanmar Kyat FX Spot Rate</v>
    <v>2093.6999999999998</v>
    <v>2093.6999999999998</v>
    <v>USDMMK</v>
    <v>USD/MMK</v>
  </rv>
  <rv s="9">
    <v>6571</v>
  </rv>
  <rv s="0">
    <v>536870912</v>
    <v>Tajikistan</v>
    <v>51f28292-bea6-a5bd-4119-fc439f15243a</v>
    <v>en-IN</v>
    <v>Map</v>
  </rv>
  <rv s="1">
    <fb>0.34137906189206702</fb>
    <v>24</v>
  </rv>
  <rv s="1">
    <fb>143100</fb>
    <v>25</v>
  </rv>
  <rv s="1">
    <fb>17000</fb>
    <v>25</v>
  </rv>
  <rv s="1">
    <fb>30.760999999999999</fb>
    <v>26</v>
  </rv>
  <rv s="1">
    <fb>992</fb>
    <v>27</v>
  </rv>
  <rv s="0">
    <v>536870912</v>
    <v>Dushanbe</v>
    <v>216d473a-2c50-bcc0-fe78-4415b30cbc79</v>
    <v>en-IN</v>
    <v>Map</v>
  </rv>
  <rv s="1">
    <fb>5309.8159999999998</fb>
    <v>25</v>
  </rv>
  <rv s="1">
    <fb>148.56753447087999</fb>
    <v>28</v>
  </rv>
  <rv s="1">
    <fb>6.0045808232215399E-2</fb>
    <v>24</v>
  </rv>
  <rv s="1">
    <fb>1499.4850859092901</fb>
    <v>25</v>
  </rv>
  <rv s="1">
    <fb>3.585</fb>
    <v>26</v>
  </rv>
  <rv s="1">
    <fb>2.9713955897145601E-2</fb>
    <v>24</v>
  </rv>
  <rv s="1">
    <fb>45.9841418625521</fb>
    <v>29</v>
  </rv>
  <rv s="1">
    <fb>0.71</fb>
    <v>30</v>
  </rv>
  <rv s="1">
    <fb>8116626794.2583704</fb>
    <v>31</v>
  </rv>
  <rv s="1">
    <fb>1.0085743999999999</fb>
    <v>24</v>
  </rv>
  <rv s="1">
    <fb>0.3125656</fb>
    <v>24</v>
  </rv>
  <rv s="2">
    <v>201</v>
    <v>22</v>
    <v>1035</v>
    <v>7</v>
    <v>0</v>
    <v>Image of Tajikistan</v>
  </rv>
  <rv s="1">
    <fb>30.4</fb>
    <v>29</v>
  </rv>
  <rv s="0">
    <v>805306368</v>
    <v>Emomali Rahmon (President)</v>
    <v>b7d56bfe-09a1-236c-06fb-e37a67d7b283</v>
    <v>en-IN</v>
    <v>Generic</v>
  </rv>
  <rv s="0">
    <v>805306368</v>
    <v>Kokhir Rasulzoda (Prime minister)</v>
    <v>e81862d5-90b7-4ef8-aa86-21cbab79b013</v>
    <v>en-IN</v>
    <v>Generic</v>
  </rv>
  <rv s="3">
    <v>356</v>
  </rv>
  <rv s="4">
    <v>https://www.bing.com/search?q=tajikistan&amp;form=skydnc</v>
    <v>Learn more on Bing</v>
  </rv>
  <rv s="1">
    <fb>70.879000000000005</fb>
    <v>29</v>
  </rv>
  <rv s="3">
    <v>357</v>
  </rv>
  <rv s="1">
    <fb>0.63062999939999997</fb>
    <v>24</v>
  </rv>
  <rv s="1">
    <fb>1.7002999999999999</fb>
    <v>26</v>
  </rv>
  <rv s="1">
    <fb>9952787</fb>
    <v>25</v>
  </rv>
  <rv s="1">
    <fb>0.41700000000000004</fb>
    <v>24</v>
  </rv>
  <rv s="1">
    <fb>0.42020999908447298</fb>
    <v>24</v>
  </rv>
  <rv s="0">
    <v>536870912</v>
    <v>Districts under Central Government Jurisdiction</v>
    <v>564e4cf4-bf1b-feb0-e1dc-38b09893d12b</v>
    <v>en-IN</v>
    <v>Map</v>
  </rv>
  <rv s="0">
    <v>536870912</v>
    <v>Sughd Province</v>
    <v>fdbef49a-a624-b418-31c0-8f98f7af29c9</v>
    <v>en-IN</v>
    <v>Map</v>
  </rv>
  <rv s="0">
    <v>536870912</v>
    <v>Khatlon Province</v>
    <v>aa2b17b7-2ed2-b63d-1d1c-598393216e3f</v>
    <v>en-IN</v>
    <v>Map</v>
  </rv>
  <rv s="0">
    <v>536870912</v>
    <v>Gorno-Badakhshan Autonomous Region</v>
    <v>694eb43a-b479-27c3-1eb4-15001a05953a</v>
    <v>en-IN</v>
    <v>Map</v>
  </rv>
  <rv s="3">
    <v>358</v>
  </rv>
  <rv s="1">
    <fb>9.8210237867462288E-2</fb>
    <v>24</v>
  </rv>
  <rv s="1">
    <fb>0.67299999999999993</fb>
    <v>24</v>
  </rv>
  <rv s="1">
    <fb>0.110170001983643</fb>
    <v>32</v>
  </rv>
  <rv s="1">
    <fb>2545477</fb>
    <v>25</v>
  </rv>
  <rv s="13">
    <v>#VALUE!</v>
    <v>en-IN</v>
    <v>51f28292-bea6-a5bd-4119-fc439f15243a</v>
    <v>536870912</v>
    <v>1</v>
    <v>1038</v>
    <v>78</v>
    <v>Tajikistan</v>
    <v>20</v>
    <v>21</v>
    <v>Map</v>
    <v>22</v>
    <v>1039</v>
    <v>TJ</v>
    <v>6574</v>
    <v>6575</v>
    <v>6576</v>
    <v>6577</v>
    <v>6578</v>
    <v>6579</v>
    <v>6580</v>
    <v>6581</v>
    <v>6582</v>
    <v>TJS</v>
    <v>Tajikistan, officially the Republic of Tajikistan, is a landlocked country in Central Asia. It has an area of 142,326 km² and an estimated population of 9,750,065 people. Dushanbe is the country's capital and largest city. It is bordered by ...</v>
    <v>6583</v>
    <v>6584</v>
    <v>6585</v>
    <v>6586</v>
    <v>6587</v>
    <v>6588</v>
    <v>6589</v>
    <v>6590</v>
    <v>6591</v>
    <v>6592</v>
    <v>6579</v>
    <v>6595</v>
    <v>6596</v>
    <v>6597</v>
    <v>4698</v>
    <v>2169</v>
    <v>Tajikistan</v>
    <v>National anthem of Tajikistan</v>
    <v>6598</v>
    <v>Ҷумҳурии Тоҷикистон</v>
    <v>6599</v>
    <v>6600</v>
    <v>6601</v>
    <v>4154</v>
    <v>707</v>
    <v>6602</v>
    <v>2359</v>
    <v>4503</v>
    <v>570</v>
    <v>505</v>
    <v>6603</v>
    <v>6608</v>
    <v>6609</v>
    <v>6610</v>
    <v>6611</v>
    <v>Tajikistan</v>
    <v>6612</v>
    <v>mdp/vdpid/228</v>
  </rv>
  <rv s="1">
    <fb>124.6</fb>
    <v>25</v>
  </rv>
  <rv s="2">
    <v>202</v>
    <v>22</v>
    <v>1041</v>
    <v>7</v>
    <v>0</v>
    <v>Image of Dushanbe</v>
  </rv>
  <rv s="0">
    <v>805306368</v>
    <v>Rustam Emomali (Mayor)</v>
    <v>86079001-7cfc-1b1c-f7b7-c16bd2f5d78d</v>
    <v>en-IN</v>
    <v>Generic</v>
  </rv>
  <rv s="3">
    <v>359</v>
  </rv>
  <rv s="4">
    <v>https://www.bing.com/search?q=dushanbe&amp;form=skydnc</v>
    <v>Learn more on Bing</v>
  </rv>
  <rv s="1">
    <fb>1201800</fb>
    <v>25</v>
  </rv>
  <rv s="43">
    <v>#VALUE!</v>
    <v>en-IN</v>
    <v>216d473a-2c50-bcc0-fe78-4415b30cbc79</v>
    <v>536870912</v>
    <v>1</v>
    <v>1042</v>
    <v>299</v>
    <v>Dushanbe</v>
    <v>20</v>
    <v>21</v>
    <v>Map</v>
    <v>22</v>
    <v>94</v>
    <v>TJ-DU</v>
    <v>6614</v>
    <v>6573</v>
    <v>Dushanbe is the capital and largest city of Tajikistan. As of January 2022, Dushanbe had a population of 1,201,800 and that population was largely Tajik. Until 1929, the city was known in Russian as Dyushambe, and from 1929 to 1961 as ...</v>
    <v>6615</v>
    <v>6617</v>
    <v>6618</v>
    <v>Dushanbe</v>
    <v>6598</v>
    <v>6619</v>
    <v>Dushanbe</v>
    <v>mdp/vdpid/7390524697261113345</v>
  </rv>
  <rv s="2">
    <v>201</v>
    <v>22</v>
    <v>1035</v>
    <v>3</v>
    <v>0</v>
    <v>Image of Tajikistan</v>
  </rv>
  <rv s="59">
    <v>en-IN</v>
    <v>avlsrw</v>
    <v>268435456</v>
    <v>1</v>
    <v>Powered by Refinitiv</v>
    <v>511</v>
    <v>MMK/USD</v>
    <v>43</v>
    <v>522</v>
    <v>Finance</v>
    <v>45</v>
    <v>4.6999999999999999E-4</v>
    <v>4.6999999999999999E-4</v>
    <v>0</v>
    <v>0</v>
    <v>USD</v>
    <v>MMK</v>
    <v>Currency Pair</v>
    <v>45954.558229166665</v>
    <v>Myanmar Kyat/US Dollar FX Cross Rate</v>
    <v>4.6999999999999999E-4</v>
    <v>4.6999999999999999E-4</v>
    <v>MMKUSD</v>
    <v>MMK/USD</v>
  </rv>
  <rv s="9">
    <v>6622</v>
  </rv>
  <rv s="0">
    <v>536870912</v>
    <v>Tanzania</v>
    <v>2cfae8b0-3beb-e190-7019-29edde94e3e0</v>
    <v>en-IN</v>
    <v>Map</v>
  </rv>
  <rv s="1">
    <fb>0.44761797245427898</fb>
    <v>24</v>
  </rv>
  <rv s="1">
    <fb>947303</fb>
    <v>25</v>
  </rv>
  <rv s="1">
    <fb>28000</fb>
    <v>25</v>
  </rv>
  <rv s="1">
    <fb>36.700000000000003</fb>
    <v>26</v>
  </rv>
  <rv s="1">
    <fb>255</fb>
    <v>27</v>
  </rv>
  <rv s="0">
    <v>536870912</v>
    <v>Dodoma</v>
    <v>a336fd71-199e-7557-a105-dd368f3c8210</v>
    <v>en-IN</v>
    <v>Map</v>
  </rv>
  <rv s="1">
    <fb>11972.754999999999</fb>
    <v>25</v>
  </rv>
  <rv s="1">
    <fb>187.430158933386</fb>
    <v>28</v>
  </rv>
  <rv s="1">
    <fb>3.4642805799902601E-2</fb>
    <v>24</v>
  </rv>
  <rv s="1">
    <fb>103.68331576521599</fb>
    <v>25</v>
  </rv>
  <rv s="1">
    <fb>4.8920000000000003</fb>
    <v>26</v>
  </rv>
  <rv s="1">
    <fb>0.51578234364416309</fb>
    <v>24</v>
  </rv>
  <rv s="1">
    <fb>14.380616951892099</fb>
    <v>29</v>
  </rv>
  <rv s="1">
    <fb>0.87</fb>
    <v>30</v>
  </rv>
  <rv s="1">
    <fb>63177068174.549004</fb>
    <v>31</v>
  </rv>
  <rv s="1">
    <fb>0.94168689999999999</fb>
    <v>24</v>
  </rv>
  <rv s="1">
    <fb>4.0101600000000001E-2</fb>
    <v>24</v>
  </rv>
  <rv s="2">
    <v>203</v>
    <v>22</v>
    <v>1044</v>
    <v>7</v>
    <v>0</v>
    <v>Image of Tanzania</v>
  </rv>
  <rv s="0">
    <v>536870912</v>
    <v>Dar es Salaam</v>
    <v>b834f4ed-c3b3-2ad3-425b-36a4be604716</v>
    <v>en-IN</v>
    <v>Map</v>
  </rv>
  <rv s="0">
    <v>805306368</v>
    <v>Samia Suluhu Hassan (President)</v>
    <v>6b384cc1-95e5-4433-9157-873daa3a373c</v>
    <v>en-IN</v>
    <v>Generic</v>
  </rv>
  <rv s="0">
    <v>805306368</v>
    <v>Philip Mpango (Vice president)</v>
    <v>3cd9b87d-60cb-9a08-c0e2-b328e97d93ad</v>
    <v>en-IN</v>
    <v>Generic</v>
  </rv>
  <rv s="0">
    <v>805306368</v>
    <v>Kassim Majaliwa (Prime minister)</v>
    <v>ca4e832b-6872-4827-887f-7804fb55aa9b</v>
    <v>en-IN</v>
    <v>Generic</v>
  </rv>
  <rv s="0">
    <v>805306368</v>
    <v>Tulia Ackson (Speaker)</v>
    <v>6333f6f0-12c8-b433-ca13-05fbc1df9f4c</v>
    <v>en-IN</v>
    <v>Generic</v>
  </rv>
  <rv s="0">
    <v>805306368</v>
    <v>Ibrahim Hamis Juma (Chief justice)</v>
    <v>a4375b50-a1f2-adb4-fcac-330d97ab622d</v>
    <v>en-IN</v>
    <v>Generic</v>
  </rv>
  <rv s="3">
    <v>360</v>
  </rv>
  <rv s="4">
    <v>https://www.bing.com/search?q=tanzania&amp;form=skydnc</v>
    <v>Learn more on Bing</v>
  </rv>
  <rv s="1">
    <fb>65.015000000000001</fb>
    <v>29</v>
  </rv>
  <rv s="1">
    <fb>398100000</fb>
    <v>31</v>
  </rv>
  <rv s="1">
    <fb>524</fb>
    <v>29</v>
  </rv>
  <rv s="3">
    <v>361</v>
  </rv>
  <rv s="1">
    <fb>0.26149116560000002</fb>
    <v>24</v>
  </rv>
  <rv s="1">
    <fb>1.4E-2</fb>
    <v>26</v>
  </rv>
  <rv s="1">
    <fb>65497748</fb>
    <v>25</v>
  </rv>
  <rv s="1">
    <fb>0.33100000000000002</fb>
    <v>24</v>
  </rv>
  <rv s="1">
    <fb>0.48100000000000004</fb>
    <v>24</v>
  </rv>
  <rv s="1">
    <fb>6.9000000000000006E-2</fb>
    <v>24</v>
  </rv>
  <rv s="1">
    <fb>0.83412002563476606</fb>
    <v>24</v>
  </rv>
  <rv s="0">
    <v>536870912</v>
    <v>Mwanza Region</v>
    <v>ec2e6314-6cef-8a10-b982-2fbaaf1a017e</v>
    <v>en-IN</v>
    <v>Map</v>
  </rv>
  <rv s="0">
    <v>536870912</v>
    <v>Shinyanga Region</v>
    <v>f2b7fd6a-99f7-2f79-c7aa-6e1397cbc1a8</v>
    <v>en-IN</v>
    <v>Map</v>
  </rv>
  <rv s="0">
    <v>536870912</v>
    <v>Mbeya Region</v>
    <v>2d39fadc-63bd-f295-bda7-9b1e11d4a090</v>
    <v>en-IN</v>
    <v>Map</v>
  </rv>
  <rv s="0">
    <v>536870912</v>
    <v>Kagera Region</v>
    <v>f6b40bb1-6ddd-835d-a3f6-42f3a77dba9c</v>
    <v>en-IN</v>
    <v>Map</v>
  </rv>
  <rv s="0">
    <v>536870912</v>
    <v>Morogoro Region</v>
    <v>fc248d0b-dc71-3a6a-253c-d84620965fd9</v>
    <v>en-IN</v>
    <v>Map</v>
  </rv>
  <rv s="0">
    <v>536870912</v>
    <v>Tabora Region</v>
    <v>f1191b0b-d64f-70ed-fdd9-8ee299abc6a4</v>
    <v>en-IN</v>
    <v>Map</v>
  </rv>
  <rv s="0">
    <v>536870912</v>
    <v>Dodoma Region</v>
    <v>a0c69226-4585-d219-ca0a-5afbe5f11768</v>
    <v>en-IN</v>
    <v>Map</v>
  </rv>
  <rv s="0">
    <v>536870912</v>
    <v>Kigoma Region</v>
    <v>772391a8-053e-b6f7-1829-83eb4d7f39ce</v>
    <v>en-IN</v>
    <v>Map</v>
  </rv>
  <rv s="0">
    <v>536870912</v>
    <v>Tanga Region</v>
    <v>1fef9e91-2513-1195-7f2f-6059265d3666</v>
    <v>en-IN</v>
    <v>Map</v>
  </rv>
  <rv s="0">
    <v>536870912</v>
    <v>Iringa Region</v>
    <v>82e4024e-18b6-a78f-da02-b2a5037bf8c0</v>
    <v>en-IN</v>
    <v>Map</v>
  </rv>
  <rv s="0">
    <v>536870912</v>
    <v>Kilimanjaro Region</v>
    <v>168bcb72-e533-737f-4a74-1df855f5ddda</v>
    <v>en-IN</v>
    <v>Map</v>
  </rv>
  <rv s="0">
    <v>536870912</v>
    <v>Mara Region</v>
    <v>0d6d1da3-377f-d527-b2de-99c8d3bd3d90</v>
    <v>en-IN</v>
    <v>Map</v>
  </rv>
  <rv s="0">
    <v>536870912</v>
    <v>Arusha Region</v>
    <v>b5140e27-5025-b787-5e88-bfafdcc9257b</v>
    <v>en-IN</v>
    <v>Map</v>
  </rv>
  <rv s="0">
    <v>536870912</v>
    <v>Mtwara Region</v>
    <v>b7cec449-e82a-b80a-0b74-347ee94b38a2</v>
    <v>en-IN</v>
    <v>Map</v>
  </rv>
  <rv s="0">
    <v>536870912</v>
    <v>Rukwa Region</v>
    <v>376fec36-dc3b-6fb1-658b-e802572a5489</v>
    <v>en-IN</v>
    <v>Map</v>
  </rv>
  <rv s="0">
    <v>536870912</v>
    <v>Ruvuma Region</v>
    <v>65c1ab97-2a74-df72-b6ed-472d8fcce87f</v>
    <v>en-IN</v>
    <v>Map</v>
  </rv>
  <rv s="0">
    <v>536870912</v>
    <v>Singida Region</v>
    <v>a041d593-5d01-635f-a887-cad871c68414</v>
    <v>en-IN</v>
    <v>Map</v>
  </rv>
  <rv s="0">
    <v>536870912</v>
    <v>Manyara Region</v>
    <v>93ad7d87-c70f-8ef4-11fb-f8cff9072ef8</v>
    <v>en-IN</v>
    <v>Map</v>
  </rv>
  <rv s="0">
    <v>536870912</v>
    <v>Pwani Region</v>
    <v>26dceea1-a7ec-d06e-1077-5ea05d2de430</v>
    <v>en-IN</v>
    <v>Map</v>
  </rv>
  <rv s="0">
    <v>536870912</v>
    <v>Lindi Region</v>
    <v>299d4016-ec73-670e-97f8-e0fad8e478d9</v>
    <v>en-IN</v>
    <v>Map</v>
  </rv>
  <rv s="0">
    <v>536870912</v>
    <v>Mjini Magharibi Region</v>
    <v>dcb0c0e8-876e-a8b3-ac55-94367b8f989e</v>
    <v>en-IN</v>
    <v>Map</v>
  </rv>
  <rv s="0">
    <v>536870912</v>
    <v>North Pemba Region</v>
    <v>e83560b5-5570-c857-9222-f6275b015547</v>
    <v>en-IN</v>
    <v>Map</v>
  </rv>
  <rv s="0">
    <v>536870912</v>
    <v>Pemba South Region</v>
    <v>3338a3f5-8675-a33d-e4b9-fb8690efad5b</v>
    <v>en-IN</v>
    <v>Map</v>
  </rv>
  <rv s="0">
    <v>536870912</v>
    <v>Unguja North Region</v>
    <v>4e562235-0f03-e397-29a8-082cdc878cb4</v>
    <v>en-IN</v>
    <v>Map</v>
  </rv>
  <rv s="0">
    <v>536870912</v>
    <v>Unguja South Region</v>
    <v>76dc29ae-c776-8ec0-bac8-13ca3679abaf</v>
    <v>en-IN</v>
    <v>Map</v>
  </rv>
  <rv s="0">
    <v>536870912</v>
    <v>Shinyanga</v>
    <v>1f0b07cc-f91b-58a2-a210-059f7748447c</v>
    <v>en-IN</v>
    <v>Map</v>
  </rv>
  <rv s="0">
    <v>536870912</v>
    <v>Mtwara</v>
    <v>c11015b5-6645-4786-92fb-4a43c02a085e</v>
    <v>en-IN</v>
    <v>Map</v>
  </rv>
  <rv s="0">
    <v>536870912</v>
    <v>Kigoma</v>
    <v>2f16d18e-900a-fc65-8d7f-087532557891</v>
    <v>en-IN</v>
    <v>Map</v>
  </rv>
  <rv s="0">
    <v>536870912</v>
    <v>Mbeya</v>
    <v>6752258a-0d25-b0ae-749d-2d4a9f23777b</v>
    <v>en-IN</v>
    <v>Map</v>
  </rv>
  <rv s="0">
    <v>536870912</v>
    <v>Tabora</v>
    <v>672b4ec3-4660-4c01-5c78-8fd2c9110708</v>
    <v>en-IN</v>
    <v>Map</v>
  </rv>
  <rv s="0">
    <v>536870912</v>
    <v>Mount Kilimanjaro</v>
    <v>f779243d-3398-eb70-55dc-f1f1a7322a0a</v>
    <v>en-IN</v>
    <v>Map</v>
  </rv>
  <rv s="0">
    <v>536870912</v>
    <v>Morogoro</v>
    <v>bf80e9e4-63bb-8ca1-9944-a54ad2d47a07</v>
    <v>en-IN</v>
    <v>Map</v>
  </rv>
  <rv s="0">
    <v>536870912</v>
    <v>Iringa</v>
    <v>b1ffddc1-5953-3662-b42e-6b3b38ab3211</v>
    <v>en-IN</v>
    <v>Map</v>
  </rv>
  <rv s="0">
    <v>536870912</v>
    <v>Lindi</v>
    <v>cbba6bd3-1586-9e1f-f97f-69ef9c0d3413</v>
    <v>en-IN</v>
    <v>Map</v>
  </rv>
  <rv s="0">
    <v>536870912</v>
    <v>Mwanza</v>
    <v>de8238d2-9d8a-335d-9806-653fdc5628b9</v>
    <v>en-IN</v>
    <v>Map</v>
  </rv>
  <rv s="3">
    <v>362</v>
  </rv>
  <rv s="1">
    <fb>0.11493954613651799</fb>
    <v>24</v>
  </rv>
  <rv s="3">
    <v>363</v>
  </rv>
  <rv s="1">
    <fb>0.43799999999999994</fb>
    <v>24</v>
  </rv>
  <rv s="1">
    <fb>1.9800000190734902E-2</fb>
    <v>32</v>
  </rv>
  <rv s="1">
    <fb>20011885</fb>
    <v>25</v>
  </rv>
  <rv s="5">
    <v>#VALUE!</v>
    <v>en-IN</v>
    <v>2cfae8b0-3beb-e190-7019-29edde94e3e0</v>
    <v>536870912</v>
    <v>1</v>
    <v>1047</v>
    <v>18</v>
    <v>Tanzania</v>
    <v>20</v>
    <v>21</v>
    <v>Map</v>
    <v>22</v>
    <v>1048</v>
    <v>TZ</v>
    <v>6625</v>
    <v>6626</v>
    <v>6627</v>
    <v>6628</v>
    <v>6629</v>
    <v>6630</v>
    <v>6631</v>
    <v>6632</v>
    <v>6633</v>
    <v>TZS</v>
    <v>Tanzania, officially the United Republic of Tanzania, is a country in East Africa within the African Great Lakes region. It borders Uganda to the north; Kenya to the northeast; the Indian Ocean to the east; Mozambique and Malawi to the south; ...</v>
    <v>6634</v>
    <v>6635</v>
    <v>6636</v>
    <v>6637</v>
    <v>6638</v>
    <v>6639</v>
    <v>6640</v>
    <v>6641</v>
    <v>6642</v>
    <v>1218</v>
    <v>6643</v>
    <v>6649</v>
    <v>6650</v>
    <v>6651</v>
    <v>6652</v>
    <v>6653</v>
    <v>1162</v>
    <v>Tanzania</v>
    <v>Mungu ibariki Afrika</v>
    <v>6654</v>
    <v>République unie de Tanzanie</v>
    <v>6655</v>
    <v>6656</v>
    <v>6657</v>
    <v>1868</v>
    <v>6658</v>
    <v>6659</v>
    <v>709</v>
    <v>6660</v>
    <v>144</v>
    <v>1525</v>
    <v>6661</v>
    <v>6697</v>
    <v>6698</v>
    <v>6699</v>
    <v>6700</v>
    <v>6701</v>
    <v>Tanzania</v>
    <v>6702</v>
    <v>mdp/vdpid/239</v>
  </rv>
  <rv s="1">
    <fb>2576</fb>
    <v>25</v>
  </rv>
  <rv s="2">
    <v>204</v>
    <v>22</v>
    <v>1049</v>
    <v>7</v>
    <v>0</v>
    <v>Image of Dodoma</v>
  </rv>
  <rv s="1">
    <fb>-6.1835000000000004</fb>
    <v>37</v>
  </rv>
  <rv s="0">
    <v>805306368</v>
    <v>Davis G. Mwamfupe (Mayor)</v>
    <v>ce3d08f0-472f-a987-f025-4c5a8fcb3aed</v>
    <v>en-IN</v>
    <v>Generic</v>
  </rv>
  <rv s="3">
    <v>364</v>
  </rv>
  <rv s="4">
    <v>https://www.bing.com/search?q=dodoma&amp;form=skydnc</v>
    <v>Learn more on Bing</v>
  </rv>
  <rv s="1">
    <fb>35.746000000000002</fb>
    <v>37</v>
  </rv>
  <rv s="1">
    <fb>213636</fb>
    <v>25</v>
  </rv>
  <rv s="14">
    <v>#VALUE!</v>
    <v>en-IN</v>
    <v>a336fd71-199e-7557-a105-dd368f3c8210</v>
    <v>536870912</v>
    <v>1</v>
    <v>1050</v>
    <v>82</v>
    <v>Dodoma</v>
    <v>20</v>
    <v>21</v>
    <v>Map</v>
    <v>22</v>
    <v>189</v>
    <v>6668</v>
    <v>6704</v>
    <v>6624</v>
    <v>Dodoma, officially Dodoma City, is the capital of Tanzania and is the administrative capital of both Dodoma Municipal Council and the entire Dodoma Region, with a population of 765,179. In 1974, the Tanzanian government announced that Tanzania's ...</v>
    <v>6705</v>
    <v>6706</v>
    <v>6708</v>
    <v>6709</v>
    <v>6710</v>
    <v>Dodoma</v>
    <v>6711</v>
    <v>Dodoma</v>
    <v>mdp/vdpid/8120161100093194241</v>
  </rv>
  <rv s="1">
    <fb>1393</fb>
    <v>25</v>
  </rv>
  <rv s="0">
    <v>536870912</v>
    <v>Ilala District</v>
    <v>442bbf4d-2e69-f23f-3eb0-dd899cbcd62f</v>
    <v>en-IN</v>
    <v>Map</v>
  </rv>
  <rv s="2">
    <v>205</v>
    <v>22</v>
    <v>1051</v>
    <v>7</v>
    <v>0</v>
    <v>Image of Dar es Salaam</v>
  </rv>
  <rv s="4">
    <v>https://www.bing.com/search?q=dar+es+salaam&amp;form=skydnc</v>
    <v>Learn more on Bing</v>
  </rv>
  <rv s="1">
    <fb>4715000</fb>
    <v>25</v>
  </rv>
  <rv s="96">
    <v>#VALUE!</v>
    <v>en-IN</v>
    <v>b834f4ed-c3b3-2ad3-425b-36a4be604716</v>
    <v>536870912</v>
    <v>1</v>
    <v>1053</v>
    <v>1054</v>
    <v>Dar es Salaam</v>
    <v>20</v>
    <v>21</v>
    <v>Map</v>
    <v>22</v>
    <v>72</v>
    <v>TZ-02</v>
    <v>6713</v>
    <v>6714</v>
    <v>6624</v>
    <v>Dar es Salaam is the largest city and financial hub of Tanzania. It is also the capital of Dar es Salaam Region. With a population of over six million people, Dar es Salaam is the largest city in East Africa and the sixth-largest in Africa. ...</v>
    <v>6715</v>
    <v>6716</v>
    <v>Dar es Salaam</v>
    <v>6717</v>
    <v>Dar es Salaam</v>
    <v>mdp/vdpid/8120814348009472001</v>
  </rv>
  <rv s="2">
    <v>203</v>
    <v>22</v>
    <v>1044</v>
    <v>3</v>
    <v>0</v>
    <v>Image of Tanzania</v>
  </rv>
  <rv s="8">
    <v>en-IN</v>
    <v>avylrw</v>
    <v>268435456</v>
    <v>1</v>
    <v>Powered by Refinitiv</v>
    <v>42</v>
    <v>USD/KHR</v>
    <v>43</v>
    <v>1055</v>
    <v>Finance</v>
    <v>45</v>
    <v>4065</v>
    <v>3958.5</v>
    <v>-1</v>
    <v>-2.4910000000000004E-4</v>
    <v>KHR</v>
    <v>USD</v>
    <v>4017</v>
    <v>Currency Pair</v>
    <v>45957.209131944444</v>
    <v>4033</v>
    <v>US Dollar/Cambodia Riel FX Spot Rate</v>
    <v>4015</v>
    <v>4015</v>
    <v>4014</v>
    <v>USDKHR</v>
    <v>USD/KHR</v>
  </rv>
  <rv s="9">
    <v>6720</v>
  </rv>
  <rv s="0">
    <v>536870912</v>
    <v>Thailand</v>
    <v>588bd4b9-e440-b7eb-2cab-2a54c0458548</v>
    <v>en-IN</v>
    <v>Map</v>
  </rv>
  <rv s="1">
    <fb>0.43277417839456594</fb>
    <v>24</v>
  </rv>
  <rv s="1">
    <fb>513119.5</fb>
    <v>25</v>
  </rv>
  <rv s="1">
    <fb>455000</fb>
    <v>25</v>
  </rv>
  <rv s="1">
    <fb>10.343999999999999</fb>
    <v>26</v>
  </rv>
  <rv s="1">
    <fb>66</fb>
    <v>27</v>
  </rv>
  <rv s="0">
    <v>536870912</v>
    <v>Bangkok</v>
    <v>651e796f-a780-c032-4e9c-23e5f5fe5854</v>
    <v>en-IN</v>
    <v>Map</v>
  </rv>
  <rv s="1">
    <fb>283763.46100000001</fb>
    <v>25</v>
  </rv>
  <rv s="1">
    <fb>113.265649996346</fb>
    <v>28</v>
  </rv>
  <rv s="1">
    <fb>7.0672860131430508E-3</fb>
    <v>24</v>
  </rv>
  <rv s="1">
    <fb>2538.79638035364</fb>
    <v>25</v>
  </rv>
  <rv s="1">
    <fb>1.5249999999999999</fb>
    <v>26</v>
  </rv>
  <rv s="1">
    <fb>0.32157607312728798</fb>
    <v>24</v>
  </rv>
  <rv s="1">
    <fb>79.839022650550007</fb>
    <v>29</v>
  </rv>
  <rv s="1">
    <fb>543649976165.63</fb>
    <v>31</v>
  </rv>
  <rv s="1">
    <fb>0.99774360000000006</fb>
    <v>24</v>
  </rv>
  <rv s="1">
    <fb>0.49286810000000003</fb>
    <v>24</v>
  </rv>
  <rv s="2">
    <v>206</v>
    <v>22</v>
    <v>1057</v>
    <v>7</v>
    <v>0</v>
    <v>Image of Thailand</v>
  </rv>
  <rv s="1">
    <fb>7.8</fb>
    <v>29</v>
  </rv>
  <rv s="0">
    <v>805306368</v>
    <v>Vajiralongkorn (Monarch)</v>
    <v>838f8fba-7ce1-3cb6-caf3-eadcdd6d67c4</v>
    <v>en-IN</v>
    <v>Generic</v>
  </rv>
  <rv s="0">
    <v>805306368</v>
    <v>Srettha Thavisin (Prime minister)</v>
    <v>df7e055c-ffb1-de44-0c65-3085de0bdc08</v>
    <v>en-IN</v>
    <v>Generic</v>
  </rv>
  <rv s="3">
    <v>365</v>
  </rv>
  <rv s="4">
    <v>https://www.bing.com/search?q=thailand&amp;form=skydnc</v>
    <v>Learn more on Bing</v>
  </rv>
  <rv s="1">
    <fb>76.930999999999997</fb>
    <v>29</v>
  </rv>
  <rv s="1">
    <fb>569228320000</fb>
    <v>31</v>
  </rv>
  <rv s="1">
    <fb>37</fb>
    <v>29</v>
  </rv>
  <rv s="3">
    <v>366</v>
  </rv>
  <rv s="1">
    <fb>0.11765354909999999</fb>
    <v>24</v>
  </rv>
  <rv s="1">
    <fb>0.80500000000000005</fb>
    <v>26</v>
  </rv>
  <rv s="1">
    <fb>71697030</fb>
    <v>25</v>
  </rv>
  <rv s="1">
    <fb>0.28100000000000003</fb>
    <v>24</v>
  </rv>
  <rv s="1">
    <fb>0.67325996398925791</fb>
    <v>24</v>
  </rv>
  <rv s="0">
    <v>536870912</v>
    <v>Chiang Mai province</v>
    <v>ec21839a-048d-d7f2-68f9-73688da0c93d</v>
    <v>en-IN</v>
    <v>Map</v>
  </rv>
  <rv s="0">
    <v>536870912</v>
    <v>Chiang Rai province</v>
    <v>773cf086-b01f-6641-3201-e1cb9355ccf9</v>
    <v>en-IN</v>
    <v>Map</v>
  </rv>
  <rv s="0">
    <v>536870912</v>
    <v>Lampang province</v>
    <v>ea3b275a-ae62-b46c-be21-4f66c21cf992</v>
    <v>en-IN</v>
    <v>Map</v>
  </rv>
  <rv s="0">
    <v>536870912</v>
    <v>Lamphun province</v>
    <v>d37b9cb6-896b-23c8-17ae-5cd391241ada</v>
    <v>en-IN</v>
    <v>Map</v>
  </rv>
  <rv s="0">
    <v>536870912</v>
    <v>Mae Hong Son province</v>
    <v>220094e8-a250-8e9a-0ae9-19272c634f8b</v>
    <v>en-IN</v>
    <v>Map</v>
  </rv>
  <rv s="0">
    <v>536870912</v>
    <v>Nan province</v>
    <v>c2231910-8e0c-3f11-ee64-9812ca91010f</v>
    <v>en-IN</v>
    <v>Map</v>
  </rv>
  <rv s="0">
    <v>536870912</v>
    <v>Phayao province</v>
    <v>58fbb830-cd58-6852-5600-332a50023b7d</v>
    <v>en-IN</v>
    <v>Map</v>
  </rv>
  <rv s="0">
    <v>536870912</v>
    <v>Phrae province</v>
    <v>1c56ac66-0095-e89e-3205-89e7e4a9078c</v>
    <v>en-IN</v>
    <v>Map</v>
  </rv>
  <rv s="0">
    <v>536870912</v>
    <v>Uttaradit province</v>
    <v>7afa7c5a-244d-03f0-7fc4-689f94788bdb</v>
    <v>en-IN</v>
    <v>Map</v>
  </rv>
  <rv s="0">
    <v>536870912</v>
    <v>Kanchanaburi province</v>
    <v>78829daf-4fa5-5c2d-9f10-4da1ebbb7b07</v>
    <v>en-IN</v>
    <v>Map</v>
  </rv>
  <rv s="0">
    <v>536870912</v>
    <v>Phetchaburi province</v>
    <v>24d7d851-f000-498e-4b14-950395383091</v>
    <v>en-IN</v>
    <v>Map</v>
  </rv>
  <rv s="0">
    <v>536870912</v>
    <v>Prachuap Khiri Khan province</v>
    <v>f02632b4-4ca3-476d-b8ca-6d6eeca727b5</v>
    <v>en-IN</v>
    <v>Map</v>
  </rv>
  <rv s="0">
    <v>536870912</v>
    <v>Ratchaburi province</v>
    <v>9106e633-4925-4a04-b58f-0ed8024ae947</v>
    <v>en-IN</v>
    <v>Map</v>
  </rv>
  <rv s="0">
    <v>536870912</v>
    <v>Tak province</v>
    <v>243b2c7d-8668-e11f-6500-7bf8544652a1</v>
    <v>en-IN</v>
    <v>Map</v>
  </rv>
  <rv s="0">
    <v>536870912</v>
    <v>Amnat Charoen province</v>
    <v>a3e2255c-2d4c-6a39-ee14-acb4b82794da</v>
    <v>en-IN</v>
    <v>Map</v>
  </rv>
  <rv s="0">
    <v>536870912</v>
    <v>Buri Ram</v>
    <v>286bf73d-595c-88a0-198d-d63ade1a7db0</v>
    <v>en-IN</v>
    <v>Map</v>
  </rv>
  <rv s="0">
    <v>536870912</v>
    <v>Chaiyaphum province</v>
    <v>95db73b8-fa30-ad09-16f1-ce5277ecdcc7</v>
    <v>en-IN</v>
    <v>Map</v>
  </rv>
  <rv s="0">
    <v>536870912</v>
    <v>Kalasin province</v>
    <v>a8164165-4567-027a-d2ff-7bb056e870e8</v>
    <v>en-IN</v>
    <v>Map</v>
  </rv>
  <rv s="0">
    <v>536870912</v>
    <v>Khon Kaen province</v>
    <v>e2d66065-6e59-a164-1343-8f12f640920b</v>
    <v>en-IN</v>
    <v>Map</v>
  </rv>
  <rv s="0">
    <v>536870912</v>
    <v>Loei province</v>
    <v>e58d9875-c305-ee1f-05ef-1fdf818e52db</v>
    <v>en-IN</v>
    <v>Map</v>
  </rv>
  <rv s="0">
    <v>536870912</v>
    <v>Maha Sarakham province</v>
    <v>ed8e7a88-5ca7-1c3c-095f-53c3c392ca36</v>
    <v>en-IN</v>
    <v>Map</v>
  </rv>
  <rv s="0">
    <v>536870912</v>
    <v>Mukdahan province</v>
    <v>183e95bf-ae60-ffc8-cd43-8bd722ea5cad</v>
    <v>en-IN</v>
    <v>Map</v>
  </rv>
  <rv s="0">
    <v>536870912</v>
    <v>Nakhon Phanom province</v>
    <v>b431d58e-d6c9-cf67-b191-473f5b3d1e8d</v>
    <v>en-IN</v>
    <v>Map</v>
  </rv>
  <rv s="0">
    <v>536870912</v>
    <v>Nakhon Ratchasima province</v>
    <v>7ce7803a-8dd0-1cde-8139-69ebef62dfa9</v>
    <v>en-IN</v>
    <v>Map</v>
  </rv>
  <rv s="0">
    <v>536870912</v>
    <v>Nong Bua Lamphu province</v>
    <v>f506fb74-64c3-e442-eb93-23f39d769940</v>
    <v>en-IN</v>
    <v>Map</v>
  </rv>
  <rv s="0">
    <v>536870912</v>
    <v>Nong Khai province</v>
    <v>8c153c99-d1d5-8939-8e38-a4771dab046e</v>
    <v>en-IN</v>
    <v>Map</v>
  </rv>
  <rv s="0">
    <v>536870912</v>
    <v>Roi Et province</v>
    <v>85d9a1b9-72b1-8c2d-c8ae-a1a4ebeabff1</v>
    <v>en-IN</v>
    <v>Map</v>
  </rv>
  <rv s="0">
    <v>536870912</v>
    <v>Sakon Nakhon province</v>
    <v>643c56ea-b791-7a7b-1715-4fb369e4828b</v>
    <v>en-IN</v>
    <v>Map</v>
  </rv>
  <rv s="0">
    <v>536870912</v>
    <v>Si Sa Ket</v>
    <v>efff8ff8-a9e2-ff41-f162-5fe167bc2f68</v>
    <v>en-IN</v>
    <v>Map</v>
  </rv>
  <rv s="0">
    <v>536870912</v>
    <v>Surin province</v>
    <v>bcfc86b1-45fe-cae6-e72b-124be7c0ec4c</v>
    <v>en-IN</v>
    <v>Map</v>
  </rv>
  <rv s="0">
    <v>536870912</v>
    <v>Ubon Ratchathani province</v>
    <v>9799346e-1d7b-454c-1596-f7cfec285b4f</v>
    <v>en-IN</v>
    <v>Map</v>
  </rv>
  <rv s="0">
    <v>536870912</v>
    <v>Udon Thani province</v>
    <v>f98afd3c-06df-6455-f66f-2905e60856a2</v>
    <v>en-IN</v>
    <v>Map</v>
  </rv>
  <rv s="0">
    <v>536870912</v>
    <v>Yasothon province</v>
    <v>b691e27e-bdb8-cf25-87ee-76541e6804e2</v>
    <v>en-IN</v>
    <v>Map</v>
  </rv>
  <rv s="0">
    <v>536870912</v>
    <v>Bueng Kan province</v>
    <v>a4160bb6-525a-4048-8b1c-f189304eeb89</v>
    <v>en-IN</v>
    <v>Map</v>
  </rv>
  <rv s="0">
    <v>536870912</v>
    <v>Ang Thong province</v>
    <v>3b530508-becc-3215-2c96-0b9e1b51f154</v>
    <v>en-IN</v>
    <v>Map</v>
  </rv>
  <rv s="0">
    <v>536870912</v>
    <v>Phra Nakhon Si Ayutthaya province</v>
    <v>578e9ec0-ecf1-f532-a8a1-18a5e9597ac1</v>
    <v>en-IN</v>
    <v>Map</v>
  </rv>
  <rv s="0">
    <v>536870912</v>
    <v>Chai Nat province</v>
    <v>2ce7514f-a8ea-6fa8-4dd1-da4225bd72b8</v>
    <v>en-IN</v>
    <v>Map</v>
  </rv>
  <rv s="0">
    <v>536870912</v>
    <v>Kamphaeng Phet province</v>
    <v>b90a4bac-0833-3612-3e23-e8e94bc63851</v>
    <v>en-IN</v>
    <v>Map</v>
  </rv>
  <rv s="0">
    <v>536870912</v>
    <v>Lopburi province</v>
    <v>ceae64d6-76e9-5c56-fff7-00643272f340</v>
    <v>en-IN</v>
    <v>Map</v>
  </rv>
  <rv s="0">
    <v>536870912</v>
    <v>Nakhon Nayok province</v>
    <v>c79375e7-7f58-a4e5-8d37-2d475d0b3ade</v>
    <v>en-IN</v>
    <v>Map</v>
  </rv>
  <rv s="0">
    <v>536870912</v>
    <v>Nakhon Pathom province</v>
    <v>e0d61a62-637b-f7a9-232d-82400c4c113b</v>
    <v>en-IN</v>
    <v>Map</v>
  </rv>
  <rv s="0">
    <v>536870912</v>
    <v>Nakhon Sawan province</v>
    <v>8d29908e-40c6-7b33-244d-14818fc17c76</v>
    <v>en-IN</v>
    <v>Map</v>
  </rv>
  <rv s="0">
    <v>536870912</v>
    <v>Nonthaburi province</v>
    <v>38a59c88-5429-4d6c-b137-db4bef343bae</v>
    <v>en-IN</v>
    <v>Map</v>
  </rv>
  <rv s="0">
    <v>536870912</v>
    <v>Pathum Thani province</v>
    <v>a4631966-30fd-7622-899c-11205340b931</v>
    <v>en-IN</v>
    <v>Map</v>
  </rv>
  <rv s="0">
    <v>536870912</v>
    <v>Phetchabun province</v>
    <v>96583f01-5ecf-e761-123a-bbd7a098a0af</v>
    <v>en-IN</v>
    <v>Map</v>
  </rv>
  <rv s="0">
    <v>536870912</v>
    <v>Phichit province</v>
    <v>1df4e6ac-5ca1-5d05-bdf2-8f2a41a56be6</v>
    <v>en-IN</v>
    <v>Map</v>
  </rv>
  <rv s="0">
    <v>536870912</v>
    <v>Phitsanulok province</v>
    <v>99f5afe8-6528-aa85-8e99-e1d4b74eecb9</v>
    <v>en-IN</v>
    <v>Map</v>
  </rv>
  <rv s="0">
    <v>536870912</v>
    <v>Sukhothai province</v>
    <v>0a6402e0-1579-efc4-94ee-731b92d86d30</v>
    <v>en-IN</v>
    <v>Map</v>
  </rv>
  <rv s="0">
    <v>536870912</v>
    <v>Samut Prakan province</v>
    <v>4fca47ef-6db5-529c-d8cc-7233dae78274</v>
    <v>en-IN</v>
    <v>Map</v>
  </rv>
  <rv s="0">
    <v>536870912</v>
    <v>Samut Sakhon province</v>
    <v>e980786c-cdbc-c326-bccd-3ef129d64795</v>
    <v>en-IN</v>
    <v>Map</v>
  </rv>
  <rv s="0">
    <v>536870912</v>
    <v>Samut Songkhram province</v>
    <v>6981b8c3-86e5-2eb3-b5b0-dca3df5b623d</v>
    <v>en-IN</v>
    <v>Map</v>
  </rv>
  <rv s="0">
    <v>536870912</v>
    <v>Saraburi province</v>
    <v>fc7f8d5c-4c87-0cc6-10a0-48e2cb2cbf12</v>
    <v>en-IN</v>
    <v>Map</v>
  </rv>
  <rv s="0">
    <v>536870912</v>
    <v>Sing Buri province</v>
    <v>6130b71a-93d5-381b-8994-6c662c98368f</v>
    <v>en-IN</v>
    <v>Map</v>
  </rv>
  <rv s="0">
    <v>536870912</v>
    <v>Suphan Buri province</v>
    <v>128d66e6-6c6c-7b30-fcd2-4a52c17fba2f</v>
    <v>en-IN</v>
    <v>Map</v>
  </rv>
  <rv s="0">
    <v>536870912</v>
    <v>Uthai Thani province</v>
    <v>b43cdfd9-80ff-1611-dc6e-e1252fbdc043</v>
    <v>en-IN</v>
    <v>Map</v>
  </rv>
  <rv s="0">
    <v>536870912</v>
    <v>Chachoengsao province</v>
    <v>65d6edef-7834-54a9-e3dd-9960101fd398</v>
    <v>en-IN</v>
    <v>Map</v>
  </rv>
  <rv s="0">
    <v>536870912</v>
    <v>Chanthaburi province</v>
    <v>7e320113-f3bc-a68a-e3e2-32a306211183</v>
    <v>en-IN</v>
    <v>Map</v>
  </rv>
  <rv s="0">
    <v>536870912</v>
    <v>Chon Buri</v>
    <v>51facd2e-84fc-996e-b57b-f36d2fd58e2f</v>
    <v>en-IN</v>
    <v>Map</v>
  </rv>
  <rv s="0">
    <v>536870912</v>
    <v>Prachin Buri</v>
    <v>014a3f63-d8f1-79a4-bc41-df01b86d6dc0</v>
    <v>en-IN</v>
    <v>Map</v>
  </rv>
  <rv s="0">
    <v>536870912</v>
    <v>Rayong province</v>
    <v>e967d008-0fd5-839d-5f76-1239ea9a3d78</v>
    <v>en-IN</v>
    <v>Map</v>
  </rv>
  <rv s="0">
    <v>536870912</v>
    <v>Sa Kaeo province</v>
    <v>8822c0d1-49f1-ef37-2d74-4236bdae7db2</v>
    <v>en-IN</v>
    <v>Map</v>
  </rv>
  <rv s="0">
    <v>536870912</v>
    <v>Trat province</v>
    <v>9a550417-ad10-bbc6-94db-81ea617698ac</v>
    <v>en-IN</v>
    <v>Map</v>
  </rv>
  <rv s="0">
    <v>536870912</v>
    <v>Chumphon province</v>
    <v>f41d048f-3362-a5c8-e21b-0a64c129467e</v>
    <v>en-IN</v>
    <v>Map</v>
  </rv>
  <rv s="0">
    <v>536870912</v>
    <v>Krabi province</v>
    <v>4cd9acbf-b437-bb27-ea9a-d3d74997c2ad</v>
    <v>en-IN</v>
    <v>Map</v>
  </rv>
  <rv s="0">
    <v>536870912</v>
    <v>Nakhon Si Thammarat province</v>
    <v>bd31e26b-e9fb-5bfb-a24d-f97a2010852d</v>
    <v>en-IN</v>
    <v>Map</v>
  </rv>
  <rv s="0">
    <v>536870912</v>
    <v>Narathiwat province</v>
    <v>920b263b-f271-938d-3446-028731fe8698</v>
    <v>en-IN</v>
    <v>Map</v>
  </rv>
  <rv s="0">
    <v>536870912</v>
    <v>Pattani province</v>
    <v>19227138-e1ac-2ebe-45af-dec9111e9931</v>
    <v>en-IN</v>
    <v>Map</v>
  </rv>
  <rv s="0">
    <v>536870912</v>
    <v>Phang Nga province</v>
    <v>e6a34126-0490-3447-3fb6-fdd8bf0b7afe</v>
    <v>en-IN</v>
    <v>Map</v>
  </rv>
  <rv s="0">
    <v>536870912</v>
    <v>Phatthalung province</v>
    <v>b443801d-894b-7e2b-fe41-182a7f70dabd</v>
    <v>en-IN</v>
    <v>Map</v>
  </rv>
  <rv s="0">
    <v>536870912</v>
    <v>Ranong province</v>
    <v>fbdf6111-bf54-12d4-c6d1-95590b109932</v>
    <v>en-IN</v>
    <v>Map</v>
  </rv>
  <rv s="0">
    <v>536870912</v>
    <v>Satun province</v>
    <v>514729e9-3ba9-13c3-90e2-2b9fc1e5562f</v>
    <v>en-IN</v>
    <v>Map</v>
  </rv>
  <rv s="0">
    <v>536870912</v>
    <v>Songkhla province</v>
    <v>0e2aa654-5226-84b6-807e-5786195cb93c</v>
    <v>en-IN</v>
    <v>Map</v>
  </rv>
  <rv s="0">
    <v>536870912</v>
    <v>Surat Thani province</v>
    <v>e9f26cf5-c566-940d-61f7-5ce884ac07f3</v>
    <v>en-IN</v>
    <v>Map</v>
  </rv>
  <rv s="0">
    <v>536870912</v>
    <v>Trang province</v>
    <v>674457b4-7466-8dd8-d488-e2285a57a9a8</v>
    <v>en-IN</v>
    <v>Map</v>
  </rv>
  <rv s="0">
    <v>536870912</v>
    <v>Yala province</v>
    <v>e1a596b2-50dd-aa13-03aa-db9fe1a505e3</v>
    <v>en-IN</v>
    <v>Map</v>
  </rv>
  <rv s="3">
    <v>367</v>
  </rv>
  <rv s="1">
    <fb>0.14927746956191601</fb>
    <v>24</v>
  </rv>
  <rv s="1">
    <fb>0.29499999999999998</fb>
    <v>24</v>
  </rv>
  <rv s="1">
    <fb>7.5400000810623199E-3</fb>
    <v>32</v>
  </rv>
  <rv s="1">
    <fb>35294600</fb>
    <v>25</v>
  </rv>
  <rv s="19">
    <v>#VALUE!</v>
    <v>en-IN</v>
    <v>588bd4b9-e440-b7eb-2cab-2a54c0458548</v>
    <v>536870912</v>
    <v>1</v>
    <v>1060</v>
    <v>105</v>
    <v>Thailand</v>
    <v>20</v>
    <v>21</v>
    <v>Map</v>
    <v>22</v>
    <v>1061</v>
    <v>TH</v>
    <v>6723</v>
    <v>6724</v>
    <v>6725</v>
    <v>6726</v>
    <v>6727</v>
    <v>6728</v>
    <v>6729</v>
    <v>6730</v>
    <v>6731</v>
    <v>THB</v>
    <v>Thailand, officially the Kingdom of Thailand and historically known as Siam, is a country in Southeast Asia on the Indochinese Peninsula. With a population of almost 70 million, it spans 513,120 square kilometres. Thailand is bordered to the ...</v>
    <v>6732</v>
    <v>6733</v>
    <v>6734</v>
    <v>6735</v>
    <v>6587</v>
    <v>6736</v>
    <v>6737</v>
    <v>6738</v>
    <v>6739</v>
    <v>6740</v>
    <v>6728</v>
    <v>6743</v>
    <v>6744</v>
    <v>6745</v>
    <v>6746</v>
    <v>6747</v>
    <v>691</v>
    <v>Thailand</v>
    <v>Thai National Anthem</v>
    <v>6748</v>
    <v>ราชอาณาจักรไทย</v>
    <v>6749</v>
    <v>6750</v>
    <v>6751</v>
    <v>2100</v>
    <v>6752</v>
    <v>2241</v>
    <v>2359</v>
    <v>1591</v>
    <v>39</v>
    <v>2428</v>
    <v>6753</v>
    <v>6829</v>
    <v>6830</v>
    <v>6831</v>
    <v>6832</v>
    <v>Thailand</v>
    <v>6833</v>
    <v>mdp/vdpid/227</v>
  </rv>
  <rv s="1">
    <fb>1568.7370000000001</fb>
    <v>25</v>
  </rv>
  <rv s="2">
    <v>207</v>
    <v>22</v>
    <v>1062</v>
    <v>7</v>
    <v>0</v>
    <v>Image of Bangkok</v>
  </rv>
  <rv s="0">
    <v>805306368</v>
    <v>Chadchart Sittipunt (Governor)</v>
    <v>9b3be4b3-dbc7-ce88-9c4a-e62414c3a14b</v>
    <v>en-IN</v>
    <v>Generic</v>
  </rv>
  <rv s="3">
    <v>368</v>
  </rv>
  <rv s="4">
    <v>https://www.bing.com/search?q=bangkok+thailand&amp;form=skydnc</v>
    <v>Learn more on Bing</v>
  </rv>
  <rv s="1">
    <fb>5676648</fb>
    <v>25</v>
  </rv>
  <rv s="97">
    <v>#VALUE!</v>
    <v>en-IN</v>
    <v>651e796f-a780-c032-4e9c-23e5f5fe5854</v>
    <v>536870912</v>
    <v>1</v>
    <v>1064</v>
    <v>1029</v>
    <v>Bangkok</v>
    <v>20</v>
    <v>21</v>
    <v>Map</v>
    <v>22</v>
    <v>41</v>
    <v>TH-10</v>
    <v>6835</v>
    <v>Thailand</v>
    <v>6722</v>
    <v>Bangkok, officially known in Thai as Krung Thep Maha Nakhon and colloquially as Krung Thep, is the capital and most populous city of Thailand. The city occupies 1,568.7 square kilometres in the Chao Phraya River delta in central Thailand and has ...</v>
    <v>6836</v>
    <v>6838</v>
    <v>6839</v>
    <v>Bangkok</v>
    <v>6840</v>
    <v>Bangkok</v>
    <v>mdp/vdpid/7862880221702127623</v>
  </rv>
  <rv s="2">
    <v>206</v>
    <v>22</v>
    <v>1057</v>
    <v>3</v>
    <v>0</v>
    <v>Image of Thailand</v>
  </rv>
  <rv s="8">
    <v>en-IN</v>
    <v>av3m27</v>
    <v>268435456</v>
    <v>1</v>
    <v>Powered by Refinitiv</v>
    <v>42</v>
    <v>KHR/USD</v>
    <v>43</v>
    <v>62</v>
    <v>Finance</v>
    <v>45</v>
    <v>2.5000000000000001E-4</v>
    <v>2.4000000000000001E-4</v>
    <v>0</v>
    <v>0</v>
    <v>USD</v>
    <v>KHR</v>
    <v>2.4800000000000001E-4</v>
    <v>Currency Pair</v>
    <v>45957.209131944444</v>
    <v>2.4899999999999998E-4</v>
    <v>Cambodia Riel/US Dollar FX Cross Rate</v>
    <v>2.4800000000000001E-4</v>
    <v>2.4800000000000001E-4</v>
    <v>2.4800000000000001E-4</v>
    <v>KHRUSD</v>
    <v>KHR/USD</v>
  </rv>
  <rv s="9">
    <v>6843</v>
  </rv>
  <rv s="0">
    <v>536870912</v>
    <v>Togo</v>
    <v>4b57b145-0846-48a3-d055-cd393d2b9d1d</v>
    <v>en-IN</v>
    <v>Map</v>
  </rv>
  <rv s="1">
    <fb>0.70233498804927397</fb>
    <v>24</v>
  </rv>
  <rv s="1">
    <fb>56785</fb>
    <v>25</v>
  </rv>
  <rv s="1">
    <fb>33.113</fb>
    <v>26</v>
  </rv>
  <rv s="1">
    <fb>228</fb>
    <v>27</v>
  </rv>
  <rv s="0">
    <v>536870912</v>
    <v>Lomé</v>
    <v>26666ccd-d6ab-05f9-2335-0f2d1cc7e573</v>
    <v>en-IN</v>
    <v>Map</v>
  </rv>
  <rv s="1">
    <fb>2999.6060000000002</fb>
    <v>25</v>
  </rv>
  <rv s="1">
    <fb>113.296929295441</fb>
    <v>28</v>
  </rv>
  <rv s="1">
    <fb>6.7465277007744094E-3</fb>
    <v>24</v>
  </rv>
  <rv s="1">
    <fb>154.665237320778</fb>
    <v>25</v>
  </rv>
  <rv s="1">
    <fb>4.32</fb>
    <v>26</v>
  </rv>
  <rv s="1">
    <fb>3.0924801792285697E-2</fb>
    <v>24</v>
  </rv>
  <rv s="1">
    <fb>17.8006330312163</fb>
    <v>29</v>
  </rv>
  <rv s="1">
    <fb>5459979416.6690798</fb>
    <v>31</v>
  </rv>
  <rv s="1">
    <fb>1.2376463</fb>
    <v>24</v>
  </rv>
  <rv s="1">
    <fb>0.14523929999999999</fb>
    <v>24</v>
  </rv>
  <rv s="2">
    <v>208</v>
    <v>22</v>
    <v>1066</v>
    <v>7</v>
    <v>0</v>
    <v>Image of Togo</v>
  </rv>
  <rv s="1">
    <fb>47.4</fb>
    <v>29</v>
  </rv>
  <rv s="0">
    <v>805306368</v>
    <v>Faure Gnassingbé (President)</v>
    <v>2c5b7703-8c00-8fe7-a48c-8768061e69e1</v>
    <v>en-IN</v>
    <v>Generic</v>
  </rv>
  <rv s="0">
    <v>805306368</v>
    <v>Victoire Tomegah Dogbé (Prime minister)</v>
    <v>808705e6-d4ce-9cfc-9420-76655972aefd</v>
    <v>en-IN</v>
    <v>Generic</v>
  </rv>
  <rv s="3">
    <v>369</v>
  </rv>
  <rv s="4">
    <v>https://www.bing.com/search?q=togo+africa&amp;form=skydnc</v>
    <v>Learn more on Bing</v>
  </rv>
  <rv s="1">
    <fb>60.76</fb>
    <v>29</v>
  </rv>
  <rv s="1">
    <fb>396</fb>
    <v>29</v>
  </rv>
  <rv s="1">
    <fb>0.34</fb>
    <v>30</v>
  </rv>
  <rv s="1">
    <fb>0.50964181450000001</fb>
    <v>24</v>
  </rv>
  <rv s="1">
    <fb>7.7399999999999997E-2</fb>
    <v>26</v>
  </rv>
  <rv s="1">
    <fb>8848699</fb>
    <v>25</v>
  </rv>
  <rv s="1">
    <fb>0.48599999999999999</fb>
    <v>24</v>
  </rv>
  <rv s="1">
    <fb>0.05</fb>
    <v>24</v>
  </rv>
  <rv s="1">
    <fb>0.77592002868652299</fb>
    <v>24</v>
  </rv>
  <rv s="0">
    <v>536870912</v>
    <v>Savanes Region</v>
    <v>2102e12c-a7f7-9075-078b-0b943244fbfd</v>
    <v>en-IN</v>
    <v>Map</v>
  </rv>
  <rv s="0">
    <v>536870912</v>
    <v>Kara Region</v>
    <v>36915d15-20f0-ca0e-ae6e-f7c26ba8c9ee</v>
    <v>en-IN</v>
    <v>Map</v>
  </rv>
  <rv s="0">
    <v>536870912</v>
    <v>Centrale Region</v>
    <v>2401957f-a5ee-c190-a97e-18e2d9993603</v>
    <v>en-IN</v>
    <v>Map</v>
  </rv>
  <rv s="0">
    <v>536870912</v>
    <v>Maritime</v>
    <v>6ffb70ad-e9c4-43ee-52d4-6bea8d5acae2</v>
    <v>en-IN</v>
    <v>Map</v>
  </rv>
  <rv s="0">
    <v>536870912</v>
    <v>Plateaux Region</v>
    <v>543752fa-bb49-3038-8b31-1f58f988707f</v>
    <v>en-IN</v>
    <v>Map</v>
  </rv>
  <rv s="3">
    <v>370</v>
  </rv>
  <rv s="1">
    <fb>0.16875840866195699</fb>
    <v>24</v>
  </rv>
  <rv s="1">
    <fb>0.48200000000000004</fb>
    <v>24</v>
  </rv>
  <rv s="1">
    <fb>2.0380001068115199E-2</fb>
    <v>32</v>
  </rv>
  <rv s="1">
    <fb>3414638</fb>
    <v>25</v>
  </rv>
  <rv s="13">
    <v>#VALUE!</v>
    <v>en-IN</v>
    <v>4b57b145-0846-48a3-d055-cd393d2b9d1d</v>
    <v>536870912</v>
    <v>1</v>
    <v>1069</v>
    <v>78</v>
    <v>Togo</v>
    <v>20</v>
    <v>21</v>
    <v>Map</v>
    <v>22</v>
    <v>1070</v>
    <v>TG</v>
    <v>6846</v>
    <v>6847</v>
    <v>3473</v>
    <v>6848</v>
    <v>6849</v>
    <v>6850</v>
    <v>6851</v>
    <v>6852</v>
    <v>6853</v>
    <v>XOF</v>
    <v>Togo, officially the Togolese Republic, is a country in West Africa. It is bordered by Ghana to the west, Benin to the east and Burkina Faso to the north. It is one of the least developed countries and extends south to the Gulf of Guinea, where ...</v>
    <v>6854</v>
    <v>6855</v>
    <v>6856</v>
    <v>6857</v>
    <v>6587</v>
    <v>6858</v>
    <v>6859</v>
    <v>6860</v>
    <v>6861</v>
    <v>6862</v>
    <v>6850</v>
    <v>6865</v>
    <v>6866</v>
    <v>6867</v>
    <v>6868</v>
    <v>6869</v>
    <v>Togo</v>
    <v>Salut à toi, pays de nos aïeux</v>
    <v>3495</v>
    <v>Togo</v>
    <v>6870</v>
    <v>6871</v>
    <v>6872</v>
    <v>4154</v>
    <v>964</v>
    <v>6873</v>
    <v>502</v>
    <v>6874</v>
    <v>2490</v>
    <v>3564</v>
    <v>6875</v>
    <v>6881</v>
    <v>6882</v>
    <v>6883</v>
    <v>6884</v>
    <v>Togo</v>
    <v>6885</v>
    <v>mdp/vdpid/232</v>
  </rv>
  <rv s="1">
    <fb>99.14</fb>
    <v>25</v>
  </rv>
  <rv s="2">
    <v>209</v>
    <v>22</v>
    <v>1072</v>
    <v>7</v>
    <v>0</v>
    <v>Image of Lomé</v>
  </rv>
  <rv s="1">
    <fb>6.1319444444444002</fb>
    <v>37</v>
  </rv>
  <rv s="0">
    <v>805306368</v>
    <v>Aouissi Lodé (Mayor)</v>
    <v>1922eb4d-937d-87c5-0245-a4bab044a873</v>
    <v>en-IN</v>
    <v>Generic</v>
  </rv>
  <rv s="3">
    <v>371</v>
  </rv>
  <rv s="4">
    <v>https://www.bing.com/search?q=lom%c3%a9&amp;form=skydnc</v>
    <v>Learn more on Bing</v>
  </rv>
  <rv s="1">
    <fb>1.2227777777777999</fb>
    <v>37</v>
  </rv>
  <rv s="1">
    <fb>2188376</fb>
    <v>25</v>
  </rv>
  <rv s="14">
    <v>#VALUE!</v>
    <v>en-IN</v>
    <v>26666ccd-d6ab-05f9-2335-0f2d1cc7e573</v>
    <v>536870912</v>
    <v>1</v>
    <v>1073</v>
    <v>82</v>
    <v>Lomé</v>
    <v>20</v>
    <v>21</v>
    <v>Map</v>
    <v>22</v>
    <v>235</v>
    <v>6879</v>
    <v>6887</v>
    <v>6845</v>
    <v>Lomé is the capital and largest city of Togo. It has an urban population of 837,437 while there were 1,477,660 permanent residents in its metropolitan area as of the 2010 census. Located on the Gulf of Guinea at the southwest corner of the ...</v>
    <v>6888</v>
    <v>6889</v>
    <v>6891</v>
    <v>6892</v>
    <v>6893</v>
    <v>Lomé</v>
    <v>6894</v>
    <v>Lomé</v>
    <v>mdp/vdpid/7297358257817911297</v>
  </rv>
  <rv s="2">
    <v>208</v>
    <v>22</v>
    <v>1066</v>
    <v>3</v>
    <v>0</v>
    <v>Image of Togo</v>
  </rv>
  <rv s="8">
    <v>en-IN</v>
    <v>avyq1h</v>
    <v>268435456</v>
    <v>1</v>
    <v>Powered by Refinitiv</v>
    <v>42</v>
    <v>USD/MYR</v>
    <v>43</v>
    <v>1074</v>
    <v>Finance</v>
    <v>45</v>
    <v>4.516</v>
    <v>4.1740000000000004</v>
    <v>-7.0000000000000001E-3</v>
    <v>-1.6589999999999999E-3</v>
    <v>MYR</v>
    <v>USD</v>
    <v>4.2270000000000003</v>
    <v>Currency Pair</v>
    <v>45957.1953587963</v>
    <v>4.2160000000000002</v>
    <v>US Dollar/Malaysian Ringgit FX Spot Rate</v>
    <v>4.2270000000000003</v>
    <v>4.22</v>
    <v>4.2130000000000001</v>
    <v>USDMYR</v>
    <v>USD/MYR</v>
  </rv>
  <rv s="9">
    <v>6897</v>
  </rv>
  <rv s="0">
    <v>536870912</v>
    <v>Tonga</v>
    <v>0f1b09ca-15de-0e2b-5e2f-c70ad3beaad8</v>
    <v>en-IN</v>
    <v>Map</v>
  </rv>
  <rv s="1">
    <fb>0.45833333333333298</fb>
    <v>24</v>
  </rv>
  <rv s="1">
    <fb>748.50656300000003</fb>
    <v>25</v>
  </rv>
  <rv s="1">
    <fb>24.303000000000001</fb>
    <v>26</v>
  </rv>
  <rv s="1">
    <fb>676</fb>
    <v>27</v>
  </rv>
  <rv s="0">
    <v>536870912</v>
    <v>Nuku'alofa</v>
    <v>4f0e3da8-80f2-711d-dc3e-4d3f0e1114f2</v>
    <v>en-IN</v>
    <v>Map</v>
  </rv>
  <rv s="1">
    <fb>128.345</fb>
    <v>25</v>
  </rv>
  <rv s="1">
    <fb>121.09403518917</fb>
    <v>28</v>
  </rv>
  <rv s="1">
    <fb>7.4422454661750501E-2</fb>
    <v>24</v>
  </rv>
  <rv s="1">
    <fb>3.556</fb>
    <v>26</v>
  </rv>
  <rv s="1">
    <fb>450353313.88458401</fb>
    <v>31</v>
  </rv>
  <rv s="1">
    <fb>1.1633897</fb>
    <v>24</v>
  </rv>
  <rv s="1">
    <fb>6.3546400000000003E-2</fb>
    <v>24</v>
  </rv>
  <rv s="2">
    <v>210</v>
    <v>22</v>
    <v>1076</v>
    <v>7</v>
    <v>0</v>
    <v>Image of Tonga</v>
  </rv>
  <rv s="1">
    <fb>13.4</fb>
    <v>29</v>
  </rv>
  <rv s="0">
    <v>805306368</v>
    <v>Tupou VI (Monarch)</v>
    <v>9c1beb1f-4b2e-c7d1-6666-a70ccf99bfed</v>
    <v>en-IN</v>
    <v>Generic</v>
  </rv>
  <rv s="0">
    <v>805306368</v>
    <v>Siaosi Sovaleni (Prime minister)</v>
    <v>7b0424da-4fde-5e2a-c1e9-1dc897e97290</v>
    <v>en-IN</v>
    <v>Generic</v>
  </rv>
  <rv s="3">
    <v>372</v>
  </rv>
  <rv s="4">
    <v>https://www.bing.com/search?q=tonga&amp;form=skydnc</v>
    <v>Learn more on Bing</v>
  </rv>
  <rv s="1">
    <fb>70.801000000000002</fb>
    <v>29</v>
  </rv>
  <rv s="3">
    <v>373</v>
  </rv>
  <rv s="1">
    <fb>0.10219300110000001</fb>
    <v>24</v>
  </rv>
  <rv s="1">
    <fb>0.52229999999999999</fb>
    <v>26</v>
  </rv>
  <rv s="1">
    <fb>106858</fb>
    <v>25</v>
  </rv>
  <rv s="1">
    <fb>0.59750000000000003</fb>
    <v>24</v>
  </rv>
  <rv s="1">
    <fb>0.222581732148491</fb>
    <v>24</v>
  </rv>
  <rv s="1">
    <fb>1.1169999837875399E-2</fb>
    <v>32</v>
  </rv>
  <rv s="1">
    <fb>24145</fb>
    <v>25</v>
  </rv>
  <rv s="98">
    <v>#VALUE!</v>
    <v>en-IN</v>
    <v>0f1b09ca-15de-0e2b-5e2f-c70ad3beaad8</v>
    <v>536870912</v>
    <v>1</v>
    <v>1079</v>
    <v>1080</v>
    <v>Tonga</v>
    <v>20</v>
    <v>21</v>
    <v>Map</v>
    <v>22</v>
    <v>1081</v>
    <v>TO</v>
    <v>6900</v>
    <v>6901</v>
    <v>6902</v>
    <v>6903</v>
    <v>6904</v>
    <v>6905</v>
    <v>6906</v>
    <v>6907</v>
    <v>TOP</v>
    <v>Tonga, officially the Kingdom of Tonga, is an island country in Polynesia, part of Oceania. The country has 171 islands – of which 45 are inhabited. Its total surface area is about 750 km², scattered over 700,000 km² in the southern Pacific ...</v>
    <v>6908</v>
    <v>6411</v>
    <v>1004</v>
    <v>6909</v>
    <v>6910</v>
    <v>6911</v>
    <v>6912</v>
    <v>6913</v>
    <v>6904</v>
    <v>6916</v>
    <v>6917</v>
    <v>6918</v>
    <v>4083</v>
    <v>Tonga</v>
    <v>Ko e fasi 'o e tu'i 'o e 'Otu Tonga</v>
    <v>6919</v>
    <v>Tonga</v>
    <v>6920</v>
    <v>6921</v>
    <v>6922</v>
    <v>4089</v>
    <v>2568</v>
    <v>6234</v>
    <v>142</v>
    <v>5042</v>
    <v>5783</v>
    <v>4156</v>
    <v>6923</v>
    <v>6924</v>
    <v>813</v>
    <v>6925</v>
    <v>Tonga</v>
    <v>6926</v>
    <v>mdp/vdpid/231</v>
  </rv>
  <rv s="1">
    <fb>11.41</fb>
    <v>25</v>
  </rv>
  <rv s="2">
    <v>211</v>
    <v>22</v>
    <v>1082</v>
    <v>7</v>
    <v>0</v>
    <v>Image of Nukuʻalofa</v>
  </rv>
  <rv s="1">
    <fb>-21.134722222221999</fb>
    <v>37</v>
  </rv>
  <rv s="4">
    <v>https://www.bing.com/search?q=nuku%ca%bbalofa&amp;form=skydnc</v>
    <v>Learn more on Bing</v>
  </rv>
  <rv s="1">
    <fb>-175.20833333332999</fb>
    <v>37</v>
  </rv>
  <rv s="1">
    <fb>23221</fb>
    <v>25</v>
  </rv>
  <rv s="6">
    <v>#VALUE!</v>
    <v>en-IN</v>
    <v>4f0e3da8-80f2-711d-dc3e-4d3f0e1114f2</v>
    <v>536870912</v>
    <v>1</v>
    <v>1083</v>
    <v>35</v>
    <v>Nukuʻalofa</v>
    <v>20</v>
    <v>21</v>
    <v>Map</v>
    <v>22</v>
    <v>72</v>
    <v>6928</v>
    <v>6899</v>
    <v>Nukuʻalofa is the capital and largest city of Tonga. It is located on the north coast of the island of Tongatapu, in the country's southernmost island group.</v>
    <v>6929</v>
    <v>6930</v>
    <v>6931</v>
    <v>6932</v>
    <v>Nukuʻalofa</v>
    <v>6933</v>
    <v>Nukuʻalofa</v>
    <v>mdp/vdpid/5789247704693473281</v>
  </rv>
  <rv s="2">
    <v>210</v>
    <v>22</v>
    <v>1076</v>
    <v>3</v>
    <v>0</v>
    <v>Image of Tonga</v>
  </rv>
  <rv s="8">
    <v>en-IN</v>
    <v>avjdvh</v>
    <v>268435456</v>
    <v>1</v>
    <v>Powered by Refinitiv</v>
    <v>42</v>
    <v>MYR/USD</v>
    <v>43</v>
    <v>62</v>
    <v>Finance</v>
    <v>45</v>
    <v>0.23930000000000001</v>
    <v>0.221</v>
    <v>4.4999999999999999E-4</v>
    <v>1.902E-3</v>
    <v>USD</v>
    <v>MYR</v>
    <v>0.23719999999999999</v>
    <v>Currency Pair</v>
    <v>45957.1953587963</v>
    <v>0.2366</v>
    <v>Malaysian Ringgit/US Dollar FX Cross Rate</v>
    <v>0.23649999999999999</v>
    <v>0.2366</v>
    <v>0.23710000000000001</v>
    <v>MYRUSD</v>
    <v>MYR/USD</v>
  </rv>
  <rv s="9">
    <v>6936</v>
  </rv>
  <rv s="0">
    <v>536870912</v>
    <v>Trinidad and Tobago</v>
    <v>e93b487a-784c-4464-d823-334cd05c5313</v>
    <v>en-IN</v>
    <v>Map</v>
  </rv>
  <rv s="1">
    <fb>0.10526315789473699</fb>
    <v>24</v>
  </rv>
  <rv s="1">
    <fb>5128</fb>
    <v>25</v>
  </rv>
  <rv s="1">
    <fb>12.936999999999999</fb>
    <v>26</v>
  </rv>
  <rv s="1">
    <fb>1868</fb>
    <v>27</v>
  </rv>
  <rv s="0">
    <v>536870912</v>
    <v>Port of Spain</v>
    <v>def6ee89-3ed6-d033-25e5-bcefbc6f466a</v>
    <v>en-IN</v>
    <v>Map</v>
  </rv>
  <rv s="1">
    <fb>43868.321000000004</fb>
    <v>25</v>
  </rv>
  <rv s="1">
    <fb>141.75327574751901</fb>
    <v>28</v>
  </rv>
  <rv s="1">
    <fb>1.0185693018882801E-2</fb>
    <v>24</v>
  </rv>
  <rv s="1">
    <fb>7092.9326116349603</fb>
    <v>25</v>
  </rv>
  <rv s="1">
    <fb>1.7250000000000001</fb>
    <v>26</v>
  </rv>
  <rv s="1">
    <fb>0.46023393002634699</fb>
    <v>24</v>
  </rv>
  <rv s="1">
    <fb>99.9195064232607</fb>
    <v>29</v>
  </rv>
  <rv s="1">
    <fb>24100202833.750401</fb>
    <v>31</v>
  </rv>
  <rv s="1">
    <fb>1.0621008000000001</fb>
    <v>24</v>
  </rv>
  <rv s="1">
    <fb>0.11950659999999999</fb>
    <v>24</v>
  </rv>
  <rv s="2">
    <v>212</v>
    <v>22</v>
    <v>1085</v>
    <v>7</v>
    <v>0</v>
    <v>Image of Trinidad and Tobago</v>
  </rv>
  <rv s="1">
    <fb>16.399999999999999</fb>
    <v>29</v>
  </rv>
  <rv s="0">
    <v>536870912</v>
    <v>San Fernando</v>
    <v>b5e7a46e-e785-4faf-9a85-0071df1633c1</v>
    <v>en-IN</v>
    <v>Map</v>
  </rv>
  <rv s="0">
    <v>805306368</v>
    <v>Christine Kangaloo (President)</v>
    <v>e1e9588c-fd18-f031-8269-d8d738d8082b</v>
    <v>en-IN</v>
    <v>Generic</v>
  </rv>
  <rv s="0">
    <v>805306368</v>
    <v>Keith Rowley (Prime minister)</v>
    <v>8b10666f-ed42-bf69-dab4-5be658eb0c84</v>
    <v>en-IN</v>
    <v>Generic</v>
  </rv>
  <rv s="0">
    <v>805306368</v>
    <v>Bridgid Annisette-George (Speaker)</v>
    <v>bf0910d7-35ab-96ce-80c3-8510ccaa70e0</v>
    <v>en-IN</v>
    <v>Generic</v>
  </rv>
  <rv s="0">
    <v>805306368</v>
    <v>Ivor Archie (Chief justice)</v>
    <v>d0fdf1a3-f53b-f8f7-cb65-4501bf820247</v>
    <v>en-IN</v>
    <v>Generic</v>
  </rv>
  <rv s="3">
    <v>374</v>
  </rv>
  <rv s="4">
    <v>https://www.bing.com/search?q=trinidad+and+tobago&amp;form=skydnc</v>
    <v>Learn more on Bing</v>
  </rv>
  <rv s="1">
    <fb>73.38</fb>
    <v>29</v>
  </rv>
  <rv s="1">
    <fb>3889100000</fb>
    <v>31</v>
  </rv>
  <rv s="1">
    <fb>67</fb>
    <v>29</v>
  </rv>
  <rv s="3">
    <v>375</v>
  </rv>
  <rv s="1">
    <fb>0.37332774149999998</fb>
    <v>24</v>
  </rv>
  <rv s="1">
    <fb>4.1675000000000004</fb>
    <v>26</v>
  </rv>
  <rv s="1">
    <fb>1531044</fb>
    <v>25</v>
  </rv>
  <rv s="1">
    <fb>0.22699999999999998</fb>
    <v>24</v>
  </rv>
  <rv s="1">
    <fb>0.45899999999999996</fb>
    <v>24</v>
  </rv>
  <rv s="1">
    <fb>0.59957000732421906</fb>
    <v>24</v>
  </rv>
  <rv s="0">
    <v>536870912</v>
    <v>Chaguanas</v>
    <v>b49fd44b-24a6-3c73-1650-1312ad4c17b0</v>
    <v>en-IN</v>
    <v>Map</v>
  </rv>
  <rv s="0">
    <v>536870912</v>
    <v>Arima</v>
    <v>6b7589e6-16b3-b32c-ae2f-47d32f2759f1</v>
    <v>en-IN</v>
    <v>Map</v>
  </rv>
  <rv s="0">
    <v>536870912</v>
    <v>Point Fortin</v>
    <v>651596ee-704d-a002-dc56-343a69ec74fa</v>
    <v>en-IN</v>
    <v>Map</v>
  </rv>
  <rv s="0">
    <v>536870912</v>
    <v>Couva-Tabaquite-Talparo</v>
    <v>dbbec70f-b622-6a24-7d8b-c320489f8522</v>
    <v>en-IN</v>
    <v>Map</v>
  </rv>
  <rv s="0">
    <v>536870912</v>
    <v>Diego Martin Regional Corporation</v>
    <v>e25e7c1e-1451-a7c0-c910-4caf66b5e63a</v>
    <v>en-IN</v>
    <v>Map</v>
  </rv>
  <rv s="0">
    <v>536870912</v>
    <v>Penal-Debe Regional Corporation</v>
    <v>b7d5bc2b-6de8-4638-e894-319df84be985</v>
    <v>en-IN</v>
    <v>Map</v>
  </rv>
  <rv s="0">
    <v>536870912</v>
    <v>Princes Town</v>
    <v>9c340dff-7403-a984-2464-9c6a83c7ce69</v>
    <v>en-IN</v>
    <v>Map</v>
  </rv>
  <rv s="0">
    <v>536870912</v>
    <v>Mayaro-Rio Claro</v>
    <v>ab8a7d39-91e4-4c64-91d5-43ac8a5f2ccf</v>
    <v>en-IN</v>
    <v>Map</v>
  </rv>
  <rv s="0">
    <v>536870912</v>
    <v>San Juan–Laventille</v>
    <v>9b166e62-f7e9-9fc9-ca53-c1703777a99b</v>
    <v>en-IN</v>
    <v>Map</v>
  </rv>
  <rv s="0">
    <v>536870912</v>
    <v>Sangre Grande Regional Corporation</v>
    <v>00c830c4-0c46-b277-b0ec-fcce8b1d3e1f</v>
    <v>en-IN</v>
    <v>Map</v>
  </rv>
  <rv s="0">
    <v>536870912</v>
    <v>Siparia Regional Corporation</v>
    <v>a2adc50f-d23a-be28-8420-b692a6e49230</v>
    <v>en-IN</v>
    <v>Map</v>
  </rv>
  <rv s="0">
    <v>536870912</v>
    <v>Tunapuna-Piarco Regional Corporation</v>
    <v>11a29174-c3fa-be9f-1c2c-6bbdb7f2e414</v>
    <v>en-IN</v>
    <v>Map</v>
  </rv>
  <rv s="3">
    <v>376</v>
  </rv>
  <rv s="1">
    <fb>0.19513730236184601</fb>
    <v>24</v>
  </rv>
  <rv s="1">
    <fb>0.40500000000000003</fb>
    <v>24</v>
  </rv>
  <rv s="1">
    <fb>2.6860001087188699E-2</fb>
    <v>32</v>
  </rv>
  <rv s="1">
    <fb>741944</fb>
    <v>25</v>
  </rv>
  <rv s="19">
    <v>#VALUE!</v>
    <v>en-IN</v>
    <v>e93b487a-784c-4464-d823-334cd05c5313</v>
    <v>536870912</v>
    <v>1</v>
    <v>1088</v>
    <v>105</v>
    <v>Trinidad and Tobago</v>
    <v>20</v>
    <v>21</v>
    <v>Map</v>
    <v>22</v>
    <v>1089</v>
    <v>TT</v>
    <v>6939</v>
    <v>6940</v>
    <v>618</v>
    <v>6941</v>
    <v>6942</v>
    <v>6943</v>
    <v>6944</v>
    <v>6945</v>
    <v>6946</v>
    <v>TTD</v>
    <v>Trinidad and Tobago, officially the Republic of Trinidad and Tobago, is the southernmost island country in the Caribbean. Consisting of the main islands Trinidad and Tobago and numerous much smaller islands, it is situated 11 kilometres off the ...</v>
    <v>6947</v>
    <v>6948</v>
    <v>6949</v>
    <v>6950</v>
    <v>3018</v>
    <v>6951</v>
    <v>6952</v>
    <v>6953</v>
    <v>6954</v>
    <v>6955</v>
    <v>6956</v>
    <v>6961</v>
    <v>6962</v>
    <v>6963</v>
    <v>6964</v>
    <v>6965</v>
    <v>4610</v>
    <v>Trinidad and Tobago</v>
    <v>Forged from the Love of Liberty</v>
    <v>6966</v>
    <v>Trinidad and Tobago</v>
    <v>6967</v>
    <v>6968</v>
    <v>6969</v>
    <v>6970</v>
    <v>2427</v>
    <v>6971</v>
    <v>649</v>
    <v>2570</v>
    <v>240</v>
    <v>2428</v>
    <v>6972</v>
    <v>6985</v>
    <v>6986</v>
    <v>6987</v>
    <v>6988</v>
    <v>Trinidad and Tobago</v>
    <v>6989</v>
    <v>mdp/vdpid/225</v>
  </rv>
  <rv s="1">
    <fb>12</fb>
    <v>25</v>
  </rv>
  <rv s="2">
    <v>213</v>
    <v>22</v>
    <v>1090</v>
    <v>7</v>
    <v>0</v>
    <v>Image of Port of Spain</v>
  </rv>
  <rv s="0">
    <v>805306368</v>
    <v>Joel Martinez (Mayor)</v>
    <v>d10d0815-d1b6-e184-d63a-e1096416fb9b</v>
    <v>en-IN</v>
    <v>Generic</v>
  </rv>
  <rv s="3">
    <v>377</v>
  </rv>
  <rv s="4">
    <v>https://www.bing.com/search?q=port+of+spain&amp;form=skydnc</v>
    <v>Learn more on Bing</v>
  </rv>
  <rv s="1">
    <fb>37074</fb>
    <v>25</v>
  </rv>
  <rv s="33">
    <v>#VALUE!</v>
    <v>en-IN</v>
    <v>def6ee89-3ed6-d033-25e5-bcefbc6f466a</v>
    <v>536870912</v>
    <v>1</v>
    <v>1092</v>
    <v>222</v>
    <v>Port of Spain</v>
    <v>20</v>
    <v>21</v>
    <v>Map</v>
    <v>22</v>
    <v>36</v>
    <v>TT-POS</v>
    <v>6991</v>
    <v>6938</v>
    <v>Port of Spain, officially the City of Port of Spain, is the capital of Trinidad and Tobago and the third largest municipality, after Chaguanas and San Fernando. The city has a municipal population of 49,031, an urban population of 544,949 and a ...</v>
    <v>6992</v>
    <v>6994</v>
    <v>6995</v>
    <v>Port of Spain</v>
    <v>6996</v>
    <v>Port of Spain</v>
    <v>mdp/vdpid/5604760554531979265</v>
  </rv>
  <rv s="1">
    <fb>18.64</fb>
    <v>25</v>
  </rv>
  <rv s="2">
    <v>214</v>
    <v>22</v>
    <v>1093</v>
    <v>7</v>
    <v>0</v>
    <v>Image of San Fernando, Trinidad and Tobago</v>
  </rv>
  <rv s="0">
    <v>805306368</v>
    <v>Councillor Robert Parris (Mayor)</v>
    <v>c29d786b-20dd-3051-bca9-f158092b8c9d</v>
    <v>en-IN</v>
    <v>Generic</v>
  </rv>
  <rv s="3">
    <v>378</v>
  </rv>
  <rv s="4">
    <v>https://www.bing.com/search?q=san+fernando+trinidad+and+tobago&amp;form=skydnc</v>
    <v>Learn more on Bing</v>
  </rv>
  <rv s="1">
    <fb>55419</fb>
    <v>25</v>
  </rv>
  <rv s="67">
    <v>#VALUE!</v>
    <v>en-IN</v>
    <v>b5e7a46e-e785-4faf-9a85-0071df1633c1</v>
    <v>536870912</v>
    <v>1</v>
    <v>1095</v>
    <v>619</v>
    <v>San Fernando, Trinidad and Tobago</v>
    <v>20</v>
    <v>21</v>
    <v>Map</v>
    <v>22</v>
    <v>1096</v>
    <v>TT-SFO</v>
    <v>6998</v>
    <v>6938</v>
    <v>San Fernando, officially the City of San Fernando, is the most populous city and second most populous municipality in Trinidad and Tobago, after Chaguanas. Sando, as it is known to many local Trinidadians, occupies 19 km² and is located in the ...</v>
    <v>6999</v>
    <v>7001</v>
    <v>7002</v>
    <v>San Fernando, Trinidad and Tobago</v>
    <v>7003</v>
    <v>3301</v>
    <v>San Fernando, Trinidad and Tobago</v>
    <v>mdp/vdpid/5604813777733156865</v>
  </rv>
  <rv s="2">
    <v>212</v>
    <v>22</v>
    <v>1085</v>
    <v>3</v>
    <v>0</v>
    <v>Image of Trinidad and Tobago</v>
  </rv>
  <rv s="0">
    <v>536870912</v>
    <v>Tunisia</v>
    <v>aa802665-9964-3c1f-29ff-48957a4ec8c3</v>
    <v>en-IN</v>
    <v>Map</v>
  </rv>
  <rv s="1">
    <fb>0.6483650875386201</fb>
    <v>24</v>
  </rv>
  <rv s="1">
    <fb>163610</fb>
    <v>25</v>
  </rv>
  <rv s="1">
    <fb>48000</fb>
    <v>25</v>
  </rv>
  <rv s="1">
    <fb>17.564</fb>
    <v>26</v>
  </rv>
  <rv s="1">
    <fb>216</fb>
    <v>27</v>
  </rv>
  <rv s="0">
    <v>536870912</v>
    <v>Tunis</v>
    <v>e349670b-9768-7e22-1d6f-0710a82c29f4</v>
    <v>en-IN</v>
    <v>Map</v>
  </rv>
  <rv s="1">
    <fb>29937.387999999999</fb>
    <v>25</v>
  </rv>
  <rv s="1">
    <fb>155.325373517033</fb>
    <v>28</v>
  </rv>
  <rv s="1">
    <fb>6.7200753286380394E-2</fb>
    <v>24</v>
  </rv>
  <rv s="1">
    <fb>1454.6422866221101</fb>
    <v>25</v>
  </rv>
  <rv s="1">
    <fb>2.1970000000000001</fb>
    <v>26</v>
  </rv>
  <rv s="1">
    <fb>6.7662200770589598E-2</fb>
    <v>24</v>
  </rv>
  <rv s="1">
    <fb>88.870388104383395</fb>
    <v>29</v>
  </rv>
  <rv s="1">
    <fb>38797709923.664101</fb>
    <v>31</v>
  </rv>
  <rv s="1">
    <fb>1.1544597000000001</fb>
    <v>24</v>
  </rv>
  <rv s="1">
    <fb>0.3174652</fb>
    <v>24</v>
  </rv>
  <rv s="2">
    <v>215</v>
    <v>22</v>
    <v>1098</v>
    <v>7</v>
    <v>0</v>
    <v>Image of Tunisia</v>
  </rv>
  <rv s="1">
    <fb>14.6</fb>
    <v>29</v>
  </rv>
  <rv s="0">
    <v>805306368</v>
    <v>Kais Saied (President)</v>
    <v>ba3da614-cb0f-3f43-cce6-c6775ce6a666</v>
    <v>en-IN</v>
    <v>Generic</v>
  </rv>
  <rv s="0">
    <v>805306368</v>
    <v>Ahmed Hachani (Prime minister)</v>
    <v>2b82f9c1-76fd-a106-4056-2b3f845c3048</v>
    <v>en-IN</v>
    <v>Generic</v>
  </rv>
  <rv s="3">
    <v>379</v>
  </rv>
  <rv s="4">
    <v>https://www.bing.com/search?q=tunisia&amp;form=skydnc</v>
    <v>Learn more on Bing</v>
  </rv>
  <rv s="1">
    <fb>76.504999999999995</fb>
    <v>29</v>
  </rv>
  <rv s="1">
    <fb>8503230000</fb>
    <v>31</v>
  </rv>
  <rv s="1">
    <fb>0.47</fb>
    <v>30</v>
  </rv>
  <rv s="1">
    <fb>0.39783110550000006</fb>
    <v>24</v>
  </rv>
  <rv s="1">
    <fb>1.3025</fb>
    <v>26</v>
  </rv>
  <rv s="1">
    <fb>12356117</fb>
    <v>25</v>
  </rv>
  <rv s="1">
    <fb>0.46124000549316402</fb>
    <v>24</v>
  </rv>
  <rv s="0">
    <v>536870912</v>
    <v>Ariana Governorate</v>
    <v>1647375a-fc3b-7140-173a-fbc4e2be75fd</v>
    <v>en-IN</v>
    <v>Map</v>
  </rv>
  <rv s="0">
    <v>536870912</v>
    <v>Beja Governorate</v>
    <v>152c4129-fffc-41f6-65a9-9e63bcd66bcd</v>
    <v>en-IN</v>
    <v>Map</v>
  </rv>
  <rv s="0">
    <v>536870912</v>
    <v>Ben Arous Governorate</v>
    <v>c40f7681-1f46-7f78-23e1-935c0b559f42</v>
    <v>en-IN</v>
    <v>Map</v>
  </rv>
  <rv s="0">
    <v>536870912</v>
    <v>Bizerte Governorate</v>
    <v>e8a098db-6a32-f306-c7c7-e50b1fea36a3</v>
    <v>en-IN</v>
    <v>Map</v>
  </rv>
  <rv s="0">
    <v>536870912</v>
    <v>Gabès Governorate</v>
    <v>335e7767-dcbc-0100-98af-4ae7bfd99055</v>
    <v>en-IN</v>
    <v>Map</v>
  </rv>
  <rv s="0">
    <v>536870912</v>
    <v>Gafsa Governorate</v>
    <v>889afdeb-70c2-c3c8-9ff8-150832a3a1c1</v>
    <v>en-IN</v>
    <v>Map</v>
  </rv>
  <rv s="0">
    <v>536870912</v>
    <v>Jendouba Governorate</v>
    <v>79638493-d161-9dc0-dbbe-307681c5864f</v>
    <v>en-IN</v>
    <v>Map</v>
  </rv>
  <rv s="0">
    <v>536870912</v>
    <v>Kairouan Governorate</v>
    <v>b88e6b9a-8edc-0603-cab9-beb613d92292</v>
    <v>en-IN</v>
    <v>Map</v>
  </rv>
  <rv s="0">
    <v>536870912</v>
    <v>Kasserine Governorate</v>
    <v>83ca5f25-6007-f2a0-168a-ed092694b416</v>
    <v>en-IN</v>
    <v>Map</v>
  </rv>
  <rv s="0">
    <v>536870912</v>
    <v>Kebili Governorate</v>
    <v>333a762f-5fe7-2f99-d157-3bb11be20b60</v>
    <v>en-IN</v>
    <v>Map</v>
  </rv>
  <rv s="0">
    <v>536870912</v>
    <v>Manouba Governorate</v>
    <v>f3cb4579-503e-7a5e-17aa-e5ed57cf798f</v>
    <v>en-IN</v>
    <v>Map</v>
  </rv>
  <rv s="0">
    <v>536870912</v>
    <v>Kef Governorate</v>
    <v>becbeec4-31a1-13f6-b6b8-111cb805b7bd</v>
    <v>en-IN</v>
    <v>Map</v>
  </rv>
  <rv s="0">
    <v>536870912</v>
    <v>Mahdia Governorate</v>
    <v>074d2807-abab-add4-8c57-3804b27b3291</v>
    <v>en-IN</v>
    <v>Map</v>
  </rv>
  <rv s="0">
    <v>536870912</v>
    <v>Medenine Governorate</v>
    <v>37e55ec2-572d-9b64-2d56-4bb14b505a5a</v>
    <v>en-IN</v>
    <v>Map</v>
  </rv>
  <rv s="0">
    <v>536870912</v>
    <v>Monastir Governorate</v>
    <v>f0b9899d-30bf-ab61-8f08-75f515416202</v>
    <v>en-IN</v>
    <v>Map</v>
  </rv>
  <rv s="0">
    <v>536870912</v>
    <v>Nabeul Governorate</v>
    <v>1318ff1a-3cbf-3ad6-69d3-de1b8d6da3de</v>
    <v>en-IN</v>
    <v>Map</v>
  </rv>
  <rv s="0">
    <v>536870912</v>
    <v>Sfax Governorate</v>
    <v>c538a140-fc86-4f02-d916-110aaf0827ec</v>
    <v>en-IN</v>
    <v>Map</v>
  </rv>
  <rv s="0">
    <v>536870912</v>
    <v>Sidi Bouzid Governorate</v>
    <v>65a6a4d7-311c-3787-9b5f-0c129e9fd03e</v>
    <v>en-IN</v>
    <v>Map</v>
  </rv>
  <rv s="0">
    <v>536870912</v>
    <v>Siliana Governorate</v>
    <v>c9de39bc-5149-2c57-cdb5-b8fe90e99d89</v>
    <v>en-IN</v>
    <v>Map</v>
  </rv>
  <rv s="0">
    <v>536870912</v>
    <v>Sousse Governorate</v>
    <v>e159cd27-6614-2988-fb1e-e3012426d835</v>
    <v>en-IN</v>
    <v>Map</v>
  </rv>
  <rv s="0">
    <v>536870912</v>
    <v>Tataouine Governorate</v>
    <v>117afbff-675e-97d7-df66-ed1c04ea6f74</v>
    <v>en-IN</v>
    <v>Map</v>
  </rv>
  <rv s="0">
    <v>536870912</v>
    <v>Tozeur Governorate</v>
    <v>bfb66b82-c875-b6b7-bc6f-ab7b655f9f81</v>
    <v>en-IN</v>
    <v>Map</v>
  </rv>
  <rv s="0">
    <v>536870912</v>
    <v>Tunis Governorate</v>
    <v>6ad529f3-2581-1ab5-dffc-4ee82b3685bb</v>
    <v>en-IN</v>
    <v>Map</v>
  </rv>
  <rv s="0">
    <v>536870912</v>
    <v>Zaghouan Governorate</v>
    <v>e747784c-7040-34f3-13f4-4c98d7d8c045</v>
    <v>en-IN</v>
    <v>Map</v>
  </rv>
  <rv s="3">
    <v>380</v>
  </rv>
  <rv s="1">
    <fb>0.21127889655799803</fb>
    <v>24</v>
  </rv>
  <rv s="1">
    <fb>0.60699999999999998</fb>
    <v>24</v>
  </rv>
  <rv s="1">
    <fb>0.16021999359130898</fb>
    <v>32</v>
  </rv>
  <rv s="1">
    <fb>8099061</fb>
    <v>25</v>
  </rv>
  <rv s="19">
    <v>#VALUE!</v>
    <v>en-IN</v>
    <v>aa802665-9964-3c1f-29ff-48957a4ec8c3</v>
    <v>536870912</v>
    <v>1</v>
    <v>1101</v>
    <v>105</v>
    <v>Tunisia</v>
    <v>20</v>
    <v>21</v>
    <v>Map</v>
    <v>22</v>
    <v>1102</v>
    <v>TN</v>
    <v>7007</v>
    <v>7008</v>
    <v>7009</v>
    <v>7010</v>
    <v>7011</v>
    <v>7012</v>
    <v>7013</v>
    <v>7014</v>
    <v>7015</v>
    <v>TND</v>
    <v>Tunisia, officially the Republic of Tunisia, is the northernmost country in Africa. It is a part of the Maghreb region of North Africa, bordered by Algeria to the west and southwest, Libya to the southeast, and the Mediterranean Sea to the north ...</v>
    <v>7016</v>
    <v>7017</v>
    <v>7018</v>
    <v>7019</v>
    <v>2468</v>
    <v>7020</v>
    <v>7021</v>
    <v>7022</v>
    <v>7023</v>
    <v>7024</v>
    <v>7012</v>
    <v>7027</v>
    <v>7028</v>
    <v>7029</v>
    <v>7030</v>
    <v>5034</v>
    <v>7031</v>
    <v>Tunisia</v>
    <v>Humat Al Hima</v>
    <v>808</v>
    <v>Republic of Tunisia</v>
    <v>7032</v>
    <v>7033</v>
    <v>7034</v>
    <v>329</v>
    <v>5319</v>
    <v>2737</v>
    <v>1234</v>
    <v>3500</v>
    <v>2738</v>
    <v>2739</v>
    <v>7035</v>
    <v>7060</v>
    <v>7061</v>
    <v>7062</v>
    <v>7063</v>
    <v>Tunisia</v>
    <v>7064</v>
    <v>mdp/vdpid/234</v>
  </rv>
  <rv s="1">
    <fb>212.63</fb>
    <v>25</v>
  </rv>
  <rv s="0">
    <v>536870912</v>
    <v>Hafsid dynasty</v>
    <v>69e06e75-4e77-4664-af85-85ff47d66a09</v>
    <v>en-IN</v>
    <v>Map</v>
  </rv>
  <rv s="2">
    <v>216</v>
    <v>22</v>
    <v>1104</v>
    <v>7</v>
    <v>0</v>
    <v>Image of Tunis</v>
  </rv>
  <rv s="1">
    <fb>36.800833333333003</fb>
    <v>37</v>
  </rv>
  <rv s="0">
    <v>805306368</v>
    <v>Souad Abderrahim (Mayor)</v>
    <v>d8a15a7b-d706-285a-dbb8-ff4abfdcd41a</v>
    <v>en-IN</v>
    <v>Generic</v>
  </rv>
  <rv s="3">
    <v>381</v>
  </rv>
  <rv s="4">
    <v>https://www.bing.com/search?q=tunis&amp;form=skydnc</v>
    <v>Learn more on Bing</v>
  </rv>
  <rv s="1">
    <fb>10.18</fb>
    <v>37</v>
  </rv>
  <rv s="1">
    <fb>602560</fb>
    <v>25</v>
  </rv>
  <rv s="21">
    <v>#VALUE!</v>
    <v>en-IN</v>
    <v>e349670b-9768-7e22-1d6f-0710a82c29f4</v>
    <v>536870912</v>
    <v>1</v>
    <v>1105</v>
    <v>120</v>
    <v>Tunis</v>
    <v>20</v>
    <v>21</v>
    <v>Map</v>
    <v>22</v>
    <v>94</v>
    <v>7058</v>
    <v>7058</v>
    <v>7066</v>
    <v>7067</v>
    <v>Tunis is the capital and largest city of Tunisia. The greater metropolitan area of Tunis, often referred to as "Grand Tunis", has about 2,700,000 inhabitants. As of 2020, it is the third-largest city in the Maghreb region and the ...</v>
    <v>7068</v>
    <v>7069</v>
    <v>7071</v>
    <v>7072</v>
    <v>7073</v>
    <v>Tunis</v>
    <v>7074</v>
    <v>Tunis</v>
    <v>mdp/vdpid/7213585068533481473</v>
  </rv>
  <rv s="2">
    <v>215</v>
    <v>22</v>
    <v>1098</v>
    <v>3</v>
    <v>0</v>
    <v>Image of Tunisia</v>
  </rv>
  <rv s="0">
    <v>536870912</v>
    <v>Turkey</v>
    <v>fbfb6418-e8cf-0d18-8b81-28d0fcccda7c</v>
    <v>en-IN</v>
    <v>Map</v>
  </rv>
  <rv s="1">
    <fb>0.49799254187076897</fb>
    <v>24</v>
  </rv>
  <rv s="1">
    <fb>783562</fb>
    <v>25</v>
  </rv>
  <rv s="1">
    <fb>512000</fb>
    <v>25</v>
  </rv>
  <rv s="1">
    <fb>16.027000000000001</fb>
    <v>26</v>
  </rv>
  <rv s="1">
    <fb>90</fb>
    <v>27</v>
  </rv>
  <rv s="0">
    <v>536870912</v>
    <v>Ankara</v>
    <v>85c37289-d0cf-bf9c-89e0-a375b7d3c4e7</v>
    <v>en-IN</v>
    <v>Map</v>
  </rv>
  <rv s="1">
    <fb>372724.88099999999</fb>
    <v>25</v>
  </rv>
  <rv s="1">
    <fb>234.437126307922</fb>
    <v>28</v>
  </rv>
  <rv s="1">
    <fb>0.151768215720023</fb>
    <v>24</v>
  </rv>
  <rv s="1">
    <fb>2847.1263826231798</fb>
    <v>25</v>
  </rv>
  <rv s="1">
    <fb>2.069</fb>
    <v>26</v>
  </rv>
  <rv s="1">
    <fb>0.15354651443713199</fb>
    <v>24</v>
  </rv>
  <rv s="1">
    <fb>86.843187660707997</fb>
    <v>29</v>
  </rv>
  <rv s="1">
    <fb>754411708202.61597</fb>
    <v>31</v>
  </rv>
  <rv s="1">
    <fb>0.93154979999999998</fb>
    <v>24</v>
  </rv>
  <rv s="1">
    <fb>0.2386259</fb>
    <v>24</v>
  </rv>
  <rv s="2">
    <v>217</v>
    <v>22</v>
    <v>1107</v>
    <v>7</v>
    <v>0</v>
    <v>Image of Turkey</v>
  </rv>
  <rv s="1">
    <fb>9.1</fb>
    <v>29</v>
  </rv>
  <rv s="0">
    <v>536870912</v>
    <v>Istanbul</v>
    <v>fda0585c-e197-df02-9869-433da5f8d140</v>
    <v>en-IN</v>
    <v>Map</v>
  </rv>
  <rv s="0">
    <v>805306368</v>
    <v>Recep Tayyip Erdoğan (President)</v>
    <v>f21eb85d-34a7-cfce-c58a-9ef2caf64671</v>
    <v>en-IN</v>
    <v>Generic</v>
  </rv>
  <rv s="0">
    <v>805306368</v>
    <v>Cevdet Yılmaz (Vice president)</v>
    <v>af91fb6e-6da4-9c52-90f9-0b6528a5ec03</v>
    <v>en-IN</v>
    <v>Generic</v>
  </rv>
  <rv s="0">
    <v>805306368</v>
    <v>Zühtü Arslan (Chief justice)</v>
    <v>185ccd5c-aff5-0c62-b4d7-63be3af57921</v>
    <v>en-IN</v>
    <v>Generic</v>
  </rv>
  <rv s="3">
    <v>382</v>
  </rv>
  <rv s="4">
    <v>https://www.bing.com/search?q=turkey&amp;form=skydnc</v>
    <v>Learn more on Bing</v>
  </rv>
  <rv s="1">
    <fb>77.436999999999998</fb>
    <v>29</v>
  </rv>
  <rv s="1">
    <fb>184966060000</fb>
    <v>31</v>
  </rv>
  <rv s="1">
    <fb>3.45</fb>
    <v>30</v>
  </rv>
  <rv s="3">
    <v>383</v>
  </rv>
  <rv s="1">
    <fb>0.16948329139999999</fb>
    <v>24</v>
  </rv>
  <rv s="1">
    <fb>1.8492</fb>
    <v>26</v>
  </rv>
  <rv s="1">
    <fb>85341241</fb>
    <v>25</v>
  </rv>
  <rv s="1">
    <fb>0.48499999999999999</fb>
    <v>24</v>
  </rv>
  <rv s="1">
    <fb>0.52828998565673801</fb>
    <v>24</v>
  </rv>
  <rv s="0">
    <v>536870912</v>
    <v>Adana Province</v>
    <v>165c9b43-6a79-db5c-7219-325686bd9700</v>
    <v>en-IN</v>
    <v>Map</v>
  </rv>
  <rv s="0">
    <v>536870912</v>
    <v>Adıyaman Province</v>
    <v>855cf865-a95f-d57f-d14b-d8a01c0592a7</v>
    <v>en-IN</v>
    <v>Map</v>
  </rv>
  <rv s="0">
    <v>536870912</v>
    <v>Afyonkarahisar Province</v>
    <v>084e2a26-12e8-4bc8-e44d-28ccfff05b42</v>
    <v>en-IN</v>
    <v>Map</v>
  </rv>
  <rv s="0">
    <v>536870912</v>
    <v>Ağrı Province</v>
    <v>e02279d8-277c-c50b-1605-c56baca6063e</v>
    <v>en-IN</v>
    <v>Map</v>
  </rv>
  <rv s="0">
    <v>536870912</v>
    <v>Amasya Province</v>
    <v>cc18e26e-109d-8f56-7a4f-c6274bf9b99c</v>
    <v>en-IN</v>
    <v>Map</v>
  </rv>
  <rv s="0">
    <v>536870912</v>
    <v>Ankara Province</v>
    <v>4d2d62dd-3675-5693-ab16-c5f56814d654</v>
    <v>en-IN</v>
    <v>Map</v>
  </rv>
  <rv s="0">
    <v>536870912</v>
    <v>Antalya Province</v>
    <v>587c167a-e948-0ae5-d37e-df27f8a66abc</v>
    <v>en-IN</v>
    <v>Map</v>
  </rv>
  <rv s="0">
    <v>536870912</v>
    <v>Artvin Province</v>
    <v>98c6f465-c9e5-4892-6b40-65f91af6b631</v>
    <v>en-IN</v>
    <v>Map</v>
  </rv>
  <rv s="0">
    <v>536870912</v>
    <v>Aydın Province</v>
    <v>cb3d0981-c59d-2d85-84fb-1ae261b238a7</v>
    <v>en-IN</v>
    <v>Map</v>
  </rv>
  <rv s="0">
    <v>536870912</v>
    <v>Balıkesir Province</v>
    <v>b014e5e1-62ae-7b55-9609-fda4fe491964</v>
    <v>en-IN</v>
    <v>Map</v>
  </rv>
  <rv s="0">
    <v>536870912</v>
    <v>Bilecik Province</v>
    <v>8ca0b002-5a15-15dd-5188-80ec8f8ed2d9</v>
    <v>en-IN</v>
    <v>Map</v>
  </rv>
  <rv s="0">
    <v>536870912</v>
    <v>Bingöl Province</v>
    <v>10ff836a-bdbd-44b4-94e9-c8722cbd9fb8</v>
    <v>en-IN</v>
    <v>Map</v>
  </rv>
  <rv s="0">
    <v>536870912</v>
    <v>Bitlis Province</v>
    <v>4f16e498-6063-4b1b-9ac1-bec6026acd6b</v>
    <v>en-IN</v>
    <v>Map</v>
  </rv>
  <rv s="0">
    <v>536870912</v>
    <v>Bolu Province</v>
    <v>453d788e-f478-b00f-232c-b3c00555b863</v>
    <v>en-IN</v>
    <v>Map</v>
  </rv>
  <rv s="0">
    <v>536870912</v>
    <v>Burdur Province</v>
    <v>70d559c6-b4b3-6141-5bc5-9ad815fa655a</v>
    <v>en-IN</v>
    <v>Map</v>
  </rv>
  <rv s="0">
    <v>536870912</v>
    <v>Bursa Province</v>
    <v>c12c1d6b-e8f6-4eaf-ee4e-7958bdacfc7b</v>
    <v>en-IN</v>
    <v>Map</v>
  </rv>
  <rv s="0">
    <v>536870912</v>
    <v>Çankırı Province</v>
    <v>1aed89ee-690d-e55a-1cd5-1a2c6683ea86</v>
    <v>en-IN</v>
    <v>Map</v>
  </rv>
  <rv s="0">
    <v>536870912</v>
    <v>Çanakkale Province</v>
    <v>4db76560-ab4d-49c4-c8e7-4f73a0fa7ab9</v>
    <v>en-IN</v>
    <v>Map</v>
  </rv>
  <rv s="0">
    <v>536870912</v>
    <v>Çorum Province</v>
    <v>1506a536-030f-6d72-9ee3-f59b2131734c</v>
    <v>en-IN</v>
    <v>Map</v>
  </rv>
  <rv s="0">
    <v>536870912</v>
    <v>Denizli Province</v>
    <v>88d2965a-eef8-deca-0ec8-76cc543ab50d</v>
    <v>en-IN</v>
    <v>Map</v>
  </rv>
  <rv s="0">
    <v>536870912</v>
    <v>Diyarbakır Province</v>
    <v>12b8cb72-be29-1cf6-de4d-60e448df036a</v>
    <v>en-IN</v>
    <v>Map</v>
  </rv>
  <rv s="0">
    <v>536870912</v>
    <v>Düzce Province</v>
    <v>5d3dd9f1-8f88-4a6c-b065-c24ce552ef31</v>
    <v>en-IN</v>
    <v>Map</v>
  </rv>
  <rv s="0">
    <v>536870912</v>
    <v>Edirne Province</v>
    <v>f0daead3-5c80-efbc-369f-d1ab3a6dc8b4</v>
    <v>en-IN</v>
    <v>Map</v>
  </rv>
  <rv s="0">
    <v>536870912</v>
    <v>Elazığ Province</v>
    <v>2122aea0-b392-1445-ddaf-b278ba9f87ee</v>
    <v>en-IN</v>
    <v>Map</v>
  </rv>
  <rv s="0">
    <v>536870912</v>
    <v>Erzincan Province</v>
    <v>2f6662bd-7e90-3693-c3c7-8a7c8807fb00</v>
    <v>en-IN</v>
    <v>Map</v>
  </rv>
  <rv s="0">
    <v>536870912</v>
    <v>Erzurum Province</v>
    <v>01866a32-d9b1-dd86-228d-e56f4adf0cf1</v>
    <v>en-IN</v>
    <v>Map</v>
  </rv>
  <rv s="0">
    <v>536870912</v>
    <v>Eskişehir Province</v>
    <v>47db0cad-86de-b13a-209a-10b6124cd564</v>
    <v>en-IN</v>
    <v>Map</v>
  </rv>
  <rv s="0">
    <v>536870912</v>
    <v>Gaziantep Province</v>
    <v>f1482689-3585-0141-6070-b066119a08fb</v>
    <v>en-IN</v>
    <v>Map</v>
  </rv>
  <rv s="0">
    <v>536870912</v>
    <v>Giresun Province</v>
    <v>2889cd47-4b36-37bb-04d4-df5b5184e171</v>
    <v>en-IN</v>
    <v>Map</v>
  </rv>
  <rv s="0">
    <v>536870912</v>
    <v>Gümüşhane Province</v>
    <v>aed198db-94b5-ed02-7c09-9d96aadb3d6c</v>
    <v>en-IN</v>
    <v>Map</v>
  </rv>
  <rv s="0">
    <v>536870912</v>
    <v>Hakkâri Province</v>
    <v>0cb801b8-2c6e-eb40-c17c-a1b963e86cde</v>
    <v>en-IN</v>
    <v>Map</v>
  </rv>
  <rv s="0">
    <v>536870912</v>
    <v>Hatay Province</v>
    <v>fddcca0f-224b-914e-87d1-2883651173ce</v>
    <v>en-IN</v>
    <v>Map</v>
  </rv>
  <rv s="0">
    <v>536870912</v>
    <v>Isparta Province</v>
    <v>71fa1532-0582-66aa-39bf-e3a06833cb3b</v>
    <v>en-IN</v>
    <v>Map</v>
  </rv>
  <rv s="0">
    <v>536870912</v>
    <v>Mersin Province</v>
    <v>c341746a-b3c2-a92f-31b4-b17728f62a02</v>
    <v>en-IN</v>
    <v>Map</v>
  </rv>
  <rv s="0">
    <v>536870912</v>
    <v>Istanbul Province</v>
    <v>aa3276af-e94f-620a-5fb3-4ee74dc3cf72</v>
    <v>en-IN</v>
    <v>Map</v>
  </rv>
  <rv s="0">
    <v>536870912</v>
    <v>İzmir Province</v>
    <v>e1b979ad-2537-f1c3-fa25-d697064ad3b5</v>
    <v>en-IN</v>
    <v>Map</v>
  </rv>
  <rv s="0">
    <v>536870912</v>
    <v>Kars Province</v>
    <v>836bc829-af6c-b635-a753-3f80169778f6</v>
    <v>en-IN</v>
    <v>Map</v>
  </rv>
  <rv s="0">
    <v>536870912</v>
    <v>Kastamonu Province</v>
    <v>df94dcd0-c282-be5c-fabb-f025a16a5a42</v>
    <v>en-IN</v>
    <v>Map</v>
  </rv>
  <rv s="0">
    <v>536870912</v>
    <v>Kayseri Province</v>
    <v>9fc99e5c-e6c0-9dbd-e980-989451b70f34</v>
    <v>en-IN</v>
    <v>Map</v>
  </rv>
  <rv s="0">
    <v>536870912</v>
    <v>Kırklareli Province</v>
    <v>4da2d7c3-fbfe-176e-501d-855e2a122280</v>
    <v>en-IN</v>
    <v>Map</v>
  </rv>
  <rv s="0">
    <v>536870912</v>
    <v>Kırşehir Province</v>
    <v>214c2df7-9c5e-adb8-024d-1cad8e4ccd37</v>
    <v>en-IN</v>
    <v>Map</v>
  </rv>
  <rv s="0">
    <v>536870912</v>
    <v>Kocaeli Province</v>
    <v>d3bd1534-20dc-a0df-a2c9-36b0eb0912c1</v>
    <v>en-IN</v>
    <v>Map</v>
  </rv>
  <rv s="0">
    <v>536870912</v>
    <v>Konya Province</v>
    <v>a01c56c9-d3fb-ac13-8a71-93db8c55474b</v>
    <v>en-IN</v>
    <v>Map</v>
  </rv>
  <rv s="0">
    <v>536870912</v>
    <v>Kütahya Province</v>
    <v>8541ec9d-1054-7976-26d5-9eefdb011fee</v>
    <v>en-IN</v>
    <v>Map</v>
  </rv>
  <rv s="0">
    <v>536870912</v>
    <v>Malatya Province</v>
    <v>5c83e762-87ba-c1e8-b224-83a3e16fdc65</v>
    <v>en-IN</v>
    <v>Map</v>
  </rv>
  <rv s="0">
    <v>536870912</v>
    <v>Manisa Province</v>
    <v>10f37388-45f4-be0c-4ea8-4b86ce0be5a6</v>
    <v>en-IN</v>
    <v>Map</v>
  </rv>
  <rv s="0">
    <v>536870912</v>
    <v>Kahramanmaraş Province</v>
    <v>f63d4a34-ee39-abc7-9291-01617eb0f4cc</v>
    <v>en-IN</v>
    <v>Map</v>
  </rv>
  <rv s="0">
    <v>536870912</v>
    <v>Mardin Province</v>
    <v>fa6857dd-5d0d-43a8-667d-fb037dec8eca</v>
    <v>en-IN</v>
    <v>Map</v>
  </rv>
  <rv s="0">
    <v>536870912</v>
    <v>Muğla Province</v>
    <v>ba66fd86-d4a9-22ac-57c0-778bd41da0ca</v>
    <v>en-IN</v>
    <v>Map</v>
  </rv>
  <rv s="0">
    <v>536870912</v>
    <v>Muş Province</v>
    <v>4df7fbea-9f00-38fd-c8ca-6181747e0a17</v>
    <v>en-IN</v>
    <v>Map</v>
  </rv>
  <rv s="0">
    <v>536870912</v>
    <v>Nevşehir Province</v>
    <v>65973d79-2f88-10d4-6e47-2a6fdc3f4eea</v>
    <v>en-IN</v>
    <v>Map</v>
  </rv>
  <rv s="0">
    <v>536870912</v>
    <v>Niğde Province</v>
    <v>02801ccd-3926-32c4-1773-63f7a5c1044a</v>
    <v>en-IN</v>
    <v>Map</v>
  </rv>
  <rv s="0">
    <v>536870912</v>
    <v>Ordu Province</v>
    <v>4d4a68fb-2fa4-4a92-7d4e-3837d34e9342</v>
    <v>en-IN</v>
    <v>Map</v>
  </rv>
  <rv s="0">
    <v>536870912</v>
    <v>Rize Province</v>
    <v>72c2af94-7c88-720b-cb84-e74549314d0e</v>
    <v>en-IN</v>
    <v>Map</v>
  </rv>
  <rv s="0">
    <v>536870912</v>
    <v>Sakarya Province</v>
    <v>7ebe894a-2b67-c535-acbb-2bdaa1184732</v>
    <v>en-IN</v>
    <v>Map</v>
  </rv>
  <rv s="0">
    <v>536870912</v>
    <v>Samsun Province</v>
    <v>8c4e990a-62e7-1da2-28fa-bd0bf3fc397c</v>
    <v>en-IN</v>
    <v>Map</v>
  </rv>
  <rv s="0">
    <v>536870912</v>
    <v>Siirt Province</v>
    <v>5490ed79-ab84-df78-c6f2-810d9bb2614b</v>
    <v>en-IN</v>
    <v>Map</v>
  </rv>
  <rv s="0">
    <v>536870912</v>
    <v>Sinop Province</v>
    <v>b9e74088-f822-fd19-c8b8-e311ddda29a5</v>
    <v>en-IN</v>
    <v>Map</v>
  </rv>
  <rv s="0">
    <v>536870912</v>
    <v>Sivas Province</v>
    <v>0aeac0b1-43d7-c278-de16-15b0fb9fd27a</v>
    <v>en-IN</v>
    <v>Map</v>
  </rv>
  <rv s="0">
    <v>536870912</v>
    <v>Tekirdağ Province</v>
    <v>bd5368fb-d1b8-4a96-b634-985d3089515d</v>
    <v>en-IN</v>
    <v>Map</v>
  </rv>
  <rv s="0">
    <v>536870912</v>
    <v>Tokat Province</v>
    <v>8d336435-bb4e-154b-2b3d-bc7c79381e19</v>
    <v>en-IN</v>
    <v>Map</v>
  </rv>
  <rv s="0">
    <v>536870912</v>
    <v>Trabzon Province</v>
    <v>26d72493-e6e0-8391-d7eb-8b7032399dce</v>
    <v>en-IN</v>
    <v>Map</v>
  </rv>
  <rv s="0">
    <v>536870912</v>
    <v>Tunceli Province</v>
    <v>116c4083-d7f5-5473-a24e-38ca9bbe6b02</v>
    <v>en-IN</v>
    <v>Map</v>
  </rv>
  <rv s="0">
    <v>536870912</v>
    <v>Şanlıurfa Province</v>
    <v>8357d93c-256b-62a5-5bde-56fa0bc45f01</v>
    <v>en-IN</v>
    <v>Map</v>
  </rv>
  <rv s="0">
    <v>536870912</v>
    <v>Uşak Province</v>
    <v>122cbd30-fc4b-cc92-4b05-8b9f07bd9a42</v>
    <v>en-IN</v>
    <v>Map</v>
  </rv>
  <rv s="0">
    <v>536870912</v>
    <v>Van Province</v>
    <v>6189c8a3-7d17-4329-919d-ca71576f7001</v>
    <v>en-IN</v>
    <v>Map</v>
  </rv>
  <rv s="0">
    <v>536870912</v>
    <v>Yozgat Province</v>
    <v>0c70abd6-4b3a-bafe-cca0-47c3c0b5207c</v>
    <v>en-IN</v>
    <v>Map</v>
  </rv>
  <rv s="0">
    <v>536870912</v>
    <v>Zonguldak Province</v>
    <v>f15aed49-7932-e29c-3822-1cdd73b6309e</v>
    <v>en-IN</v>
    <v>Map</v>
  </rv>
  <rv s="0">
    <v>536870912</v>
    <v>Aksaray Province</v>
    <v>81d2c9ee-3ec0-b0b7-611e-b5c639377d08</v>
    <v>en-IN</v>
    <v>Map</v>
  </rv>
  <rv s="0">
    <v>536870912</v>
    <v>Bayburt Province</v>
    <v>78b7d282-727e-0596-becd-d71f66061a80</v>
    <v>en-IN</v>
    <v>Map</v>
  </rv>
  <rv s="0">
    <v>536870912</v>
    <v>Karaman Province</v>
    <v>7d9ce050-bb20-8bbc-a1b4-1437c3553ebc</v>
    <v>en-IN</v>
    <v>Map</v>
  </rv>
  <rv s="0">
    <v>536870912</v>
    <v>Kırıkkale Province</v>
    <v>a4c29c36-f0cd-5129-a03c-8859a5b31089</v>
    <v>en-IN</v>
    <v>Map</v>
  </rv>
  <rv s="0">
    <v>536870912</v>
    <v>Batman Province</v>
    <v>62e638c6-38ee-e10e-0af1-d6579e7f08f6</v>
    <v>en-IN</v>
    <v>Map</v>
  </rv>
  <rv s="0">
    <v>536870912</v>
    <v>Şırnak Province</v>
    <v>466847c5-4091-0032-b3df-5b8881f5e9bc</v>
    <v>en-IN</v>
    <v>Map</v>
  </rv>
  <rv s="0">
    <v>536870912</v>
    <v>Bartın Province</v>
    <v>08decd5f-ab51-292a-67f0-6791470aaeca</v>
    <v>en-IN</v>
    <v>Map</v>
  </rv>
  <rv s="0">
    <v>536870912</v>
    <v>Ardahan Province</v>
    <v>48344073-852b-85c4-c321-585f945a4ed9</v>
    <v>en-IN</v>
    <v>Map</v>
  </rv>
  <rv s="0">
    <v>536870912</v>
    <v>Iğdır Province</v>
    <v>11552ebc-e31a-3666-c967-038d03236735</v>
    <v>en-IN</v>
    <v>Map</v>
  </rv>
  <rv s="0">
    <v>536870912</v>
    <v>Yalova Province</v>
    <v>57683b96-e4ee-b046-126a-cfacf116feea</v>
    <v>en-IN</v>
    <v>Map</v>
  </rv>
  <rv s="0">
    <v>536870912</v>
    <v>Karabük Province</v>
    <v>37c4dec2-a540-0bac-3662-01c63c2d9be4</v>
    <v>en-IN</v>
    <v>Map</v>
  </rv>
  <rv s="0">
    <v>536870912</v>
    <v>Kilis Province</v>
    <v>61d19aee-be4d-6c41-e22d-e3aa79c91850</v>
    <v>en-IN</v>
    <v>Map</v>
  </rv>
  <rv s="0">
    <v>536870912</v>
    <v>Osmaniye Province</v>
    <v>51d1cb5f-1f55-7a57-518f-80a94efdb5f7</v>
    <v>en-IN</v>
    <v>Map</v>
  </rv>
  <rv s="3">
    <v>384</v>
  </rv>
  <rv s="1">
    <fb>0.178640331232954</fb>
    <v>24</v>
  </rv>
  <rv s="1">
    <fb>0.42299999999999999</fb>
    <v>24</v>
  </rv>
  <rv s="1">
    <fb>0.134899997711182</fb>
    <v>32</v>
  </rv>
  <rv s="1">
    <fb>63097818</fb>
    <v>25</v>
  </rv>
  <rv s="19">
    <v>#VALUE!</v>
    <v>en-IN</v>
    <v>fbfb6418-e8cf-0d18-8b81-28d0fcccda7c</v>
    <v>536870912</v>
    <v>1</v>
    <v>1110</v>
    <v>105</v>
    <v>Turkey</v>
    <v>20</v>
    <v>21</v>
    <v>Map</v>
    <v>22</v>
    <v>1111</v>
    <v>TR</v>
    <v>7078</v>
    <v>7079</v>
    <v>7080</v>
    <v>7081</v>
    <v>7082</v>
    <v>7083</v>
    <v>7084</v>
    <v>7085</v>
    <v>7086</v>
    <v>TRL</v>
    <v>Turkey, officially the Republic of Türkiye, is a transcontinental country located at the juncture of Southeast Europe and West Asia. It is mainly on the Anatolian Peninsula in West Asia, with a small portion called East Thrace on the Balkan ...</v>
    <v>7087</v>
    <v>7088</v>
    <v>7089</v>
    <v>7090</v>
    <v>6318</v>
    <v>7091</v>
    <v>7092</v>
    <v>7093</v>
    <v>7094</v>
    <v>7095</v>
    <v>7096</v>
    <v>7100</v>
    <v>7101</v>
    <v>7102</v>
    <v>7103</v>
    <v>4698</v>
    <v>7104</v>
    <v>Turkey</v>
    <v>İstiklal Marşı</v>
    <v>7105</v>
    <v>Türkiye Cumhuriyeti</v>
    <v>7106</v>
    <v>7107</v>
    <v>7108</v>
    <v>2426</v>
    <v>1687</v>
    <v>7109</v>
    <v>1916</v>
    <v>2035</v>
    <v>2036</v>
    <v>6157</v>
    <v>7110</v>
    <v>7192</v>
    <v>7193</v>
    <v>7194</v>
    <v>7195</v>
    <v>Turkey</v>
    <v>7196</v>
    <v>mdp/vdpid/235</v>
  </rv>
  <rv s="1">
    <fb>25632</fb>
    <v>25</v>
  </rv>
  <rv s="2">
    <v>218</v>
    <v>22</v>
    <v>1112</v>
    <v>7</v>
    <v>0</v>
    <v>Image of Ankara</v>
  </rv>
  <rv s="1">
    <fb>39.935760000000002</fb>
    <v>37</v>
  </rv>
  <rv s="0">
    <v>805306368</v>
    <v>Mansur Yavaş (Mayor)</v>
    <v>5fab4bf3-7c91-22a9-287e-1e75e4fa51fb</v>
    <v>en-IN</v>
    <v>Generic</v>
  </rv>
  <rv s="0">
    <v>805306368</v>
    <v>Vasip Şahin (Governor)</v>
    <v>e172167c-9421-df13-82df-f5a8f0cf3544</v>
    <v>en-IN</v>
    <v>Generic</v>
  </rv>
  <rv s="3">
    <v>385</v>
  </rv>
  <rv s="4">
    <v>https://www.bing.com/search?q=ankara&amp;form=skydnc</v>
    <v>Learn more on Bing</v>
  </rv>
  <rv s="1">
    <fb>32.83869</fb>
    <v>37</v>
  </rv>
  <rv s="1">
    <fb>5747325</fb>
    <v>25</v>
  </rv>
  <rv s="14">
    <v>#VALUE!</v>
    <v>en-IN</v>
    <v>85c37289-d0cf-bf9c-89e0-a375b7d3c4e7</v>
    <v>536870912</v>
    <v>1</v>
    <v>1113</v>
    <v>82</v>
    <v>Ankara</v>
    <v>20</v>
    <v>21</v>
    <v>Map</v>
    <v>22</v>
    <v>362</v>
    <v>7116</v>
    <v>7198</v>
    <v>362</v>
    <v>Ankara, historically known as Ancyra and Angora, is the capital of Turkey. Located in the central part of Anatolia, the city has a population of 5.1 million in its urban center and 5.7 million in Ankara Province, making it Turkey's ...</v>
    <v>7199</v>
    <v>7200</v>
    <v>7203</v>
    <v>7204</v>
    <v>7205</v>
    <v>Ankara</v>
    <v>7206</v>
    <v>Ankara</v>
    <v>mdp/vdpid/7246232342287613962</v>
  </rv>
  <rv s="1">
    <fb>5343</fb>
    <v>25</v>
  </rv>
  <rv s="2">
    <v>219</v>
    <v>22</v>
    <v>1114</v>
    <v>7</v>
    <v>0</v>
    <v>Image of Istanbul</v>
  </rv>
  <rv s="1">
    <fb>41.01</fb>
    <v>37</v>
  </rv>
  <rv s="0">
    <v>805306368</v>
    <v>Ekrem İmamoğlu (Mayor)</v>
    <v>ff38a013-97bc-5896-6f0d-896241a1c64c</v>
    <v>en-IN</v>
    <v>Generic</v>
  </rv>
  <rv s="3">
    <v>386</v>
  </rv>
  <rv s="4">
    <v>https://www.bing.com/search?q=istanbul+turkey&amp;form=skydnc</v>
    <v>Learn more on Bing</v>
  </rv>
  <rv s="1">
    <fb>28.960277777778</fb>
    <v>37</v>
  </rv>
  <rv s="1">
    <fb>15462452</fb>
    <v>25</v>
  </rv>
  <rv s="14">
    <v>#VALUE!</v>
    <v>en-IN</v>
    <v>fda0585c-e197-df02-9869-433da5f8d140</v>
    <v>536870912</v>
    <v>1</v>
    <v>1115</v>
    <v>82</v>
    <v>Istanbul</v>
    <v>20</v>
    <v>21</v>
    <v>Map</v>
    <v>22</v>
    <v>189</v>
    <v>7145</v>
    <v>7208</v>
    <v>362</v>
    <v>Istanbul, formerly known as Constantinople, is the largest city in Turkey, serving as the country's economic, cultural and historic hub. The city straddles the Bosporus strait, lying in both Europe and Asia, and has a population of over 15 ...</v>
    <v>7209</v>
    <v>7210</v>
    <v>7212</v>
    <v>7213</v>
    <v>7214</v>
    <v>Istanbul</v>
    <v>7215</v>
    <v>Istanbul</v>
    <v>mdp/vdpid/7245290133887385609</v>
  </rv>
  <rv s="2">
    <v>217</v>
    <v>22</v>
    <v>1107</v>
    <v>3</v>
    <v>0</v>
    <v>Image of Turkey</v>
  </rv>
  <rv s="8">
    <v>en-IN</v>
    <v>avytar</v>
    <v>268435456</v>
    <v>1</v>
    <v>Powered by Refinitiv</v>
    <v>42</v>
    <v>USD/TWD</v>
    <v>43</v>
    <v>1116</v>
    <v>Finance</v>
    <v>45</v>
    <v>33.295000000000002</v>
    <v>28.734000000000002</v>
    <v>-8.7999999999999995E-2</v>
    <v>-2.8539999999999998E-3</v>
    <v>TWD</v>
    <v>USD</v>
    <v>30.832999999999998</v>
    <v>Currency Pair</v>
    <v>45957.217766203707</v>
    <v>30.713999999999999</v>
    <v>US Dollar/Taiwan Dollar FX Spot Rate</v>
    <v>30.832999999999998</v>
    <v>30.832999999999998</v>
    <v>30.745000000000001</v>
    <v>USDTWD</v>
    <v>USD/TWD</v>
  </rv>
  <rv s="9">
    <v>7218</v>
  </rv>
  <rv s="0">
    <v>536870912</v>
    <v>Turkmenistan</v>
    <v>664b94e6-8775-89e5-15d6-25a9db3a3dc0</v>
    <v>en-IN</v>
    <v>Map</v>
  </rv>
  <rv s="1">
    <fb>0.72006469048581712</fb>
    <v>24</v>
  </rv>
  <rv s="1">
    <fb>491210</fb>
    <v>25</v>
  </rv>
  <rv s="1">
    <fb>42000</fb>
    <v>25</v>
  </rv>
  <rv s="1">
    <fb>23.831</fb>
    <v>26</v>
  </rv>
  <rv s="1">
    <fb>993</fb>
    <v>27</v>
  </rv>
  <rv s="0">
    <v>536870912</v>
    <v>Ashgabat</v>
    <v>fbec6970-3135-751a-385e-114550e7bce9</v>
    <v>en-IN</v>
    <v>Map</v>
  </rv>
  <rv s="1">
    <fb>70630.087</fb>
    <v>25</v>
  </rv>
  <rv s="1">
    <fb>2678.7635136420599</fb>
    <v>25</v>
  </rv>
  <rv s="1">
    <fb>2.786</fb>
    <v>26</v>
  </rv>
  <rv s="1">
    <fb>8.7821590449641385E-2</fb>
    <v>24</v>
  </rv>
  <rv s="1">
    <fb>40761142857.142899</fb>
    <v>31</v>
  </rv>
  <rv s="1">
    <fb>0.88400429999999997</fb>
    <v>24</v>
  </rv>
  <rv s="1">
    <fb>7.9658699999999999E-2</fb>
    <v>24</v>
  </rv>
  <rv s="2">
    <v>220</v>
    <v>22</v>
    <v>1118</v>
    <v>7</v>
    <v>0</v>
    <v>Image of Turkmenistan</v>
  </rv>
  <rv s="1">
    <fb>39.299999999999997</fb>
    <v>29</v>
  </rv>
  <rv s="0">
    <v>805306368</v>
    <v>Serdar Berdimuhamedow (President)</v>
    <v>f7ea96b1-4deb-d888-1ec8-c1cacdde4289</v>
    <v>en-IN</v>
    <v>Generic</v>
  </rv>
  <rv s="0">
    <v>805306368</v>
    <v>Raşit Meredow (Vice president)</v>
    <v>ec85ee8b-e067-0cc9-f025-75548c965ea4</v>
    <v>en-IN</v>
    <v>Generic</v>
  </rv>
  <rv s="3">
    <v>387</v>
  </rv>
  <rv s="4">
    <v>https://www.bing.com/search?q=turkmenistan&amp;form=skydnc</v>
    <v>Learn more on Bing</v>
  </rv>
  <rv s="1">
    <fb>68.072999999999993</fb>
    <v>29</v>
  </rv>
  <rv s="3">
    <v>388</v>
  </rv>
  <rv s="1">
    <fb>0.71071380100000003</fb>
    <v>24</v>
  </rv>
  <rv s="1">
    <fb>2.2246999999999999</fb>
    <v>26</v>
  </rv>
  <rv s="1">
    <fb>6430770</fb>
    <v>25</v>
  </rv>
  <rv s="1">
    <fb>0.64482002258300797</fb>
    <v>24</v>
  </rv>
  <rv s="0">
    <v>536870912</v>
    <v>Ahal Region</v>
    <v>e959d3af-7327-7310-a82c-ef09b4e7d497</v>
    <v>en-IN</v>
    <v>Map</v>
  </rv>
  <rv s="0">
    <v>536870912</v>
    <v>Balkan Region</v>
    <v>e24600bb-4cc6-3f3e-2a8d-72afa3798c4e</v>
    <v>en-IN</v>
    <v>Map</v>
  </rv>
  <rv s="0">
    <v>536870912</v>
    <v>Daşoguz Region</v>
    <v>28778168-265d-7a94-6027-6d542686cd26</v>
    <v>en-IN</v>
    <v>Map</v>
  </rv>
  <rv s="0">
    <v>536870912</v>
    <v>Lebap Region</v>
    <v>121e66e3-57d4-d75e-bd7f-be1f0903ae04</v>
    <v>en-IN</v>
    <v>Map</v>
  </rv>
  <rv s="0">
    <v>536870912</v>
    <v>Mary Region</v>
    <v>66258e45-7780-01ed-8222-fdac4996dc92</v>
    <v>en-IN</v>
    <v>Map</v>
  </rv>
  <rv s="3">
    <v>389</v>
  </rv>
  <rv s="1">
    <fb>3.9130001068115199E-2</fb>
    <v>32</v>
  </rv>
  <rv s="1">
    <fb>3092738</fb>
    <v>25</v>
  </rv>
  <rv s="99">
    <v>#VALUE!</v>
    <v>en-IN</v>
    <v>664b94e6-8775-89e5-15d6-25a9db3a3dc0</v>
    <v>536870912</v>
    <v>1</v>
    <v>1121</v>
    <v>1122</v>
    <v>Turkmenistan</v>
    <v>20</v>
    <v>21</v>
    <v>Map</v>
    <v>22</v>
    <v>1123</v>
    <v>TM</v>
    <v>7221</v>
    <v>7222</v>
    <v>7223</v>
    <v>7224</v>
    <v>7225</v>
    <v>7226</v>
    <v>7227</v>
    <v>TMT</v>
    <v>Turkmenistan is a landlocked country in Central Asia bordered by Kazakhstan to the northwest, Uzbekistan to the north, east and northeast, Afghanistan to the southeast, Iran to the south and southwest and the Caspian Sea to the west. Ashgabat is ...</v>
    <v>7228</v>
    <v>7229</v>
    <v>7230</v>
    <v>3494</v>
    <v>7231</v>
    <v>7232</v>
    <v>7233</v>
    <v>7234</v>
    <v>7235</v>
    <v>7226</v>
    <v>7238</v>
    <v>7239</v>
    <v>7240</v>
    <v>5604</v>
    <v>3483</v>
    <v>Turkmenistan</v>
    <v>National anthem of Turkmenistan</v>
    <v>7241</v>
    <v>Türkmenistan</v>
    <v>7242</v>
    <v>7243</v>
    <v>7244</v>
    <v>812</v>
    <v>35</v>
    <v>965</v>
    <v>1022</v>
    <v>5254</v>
    <v>2036</v>
    <v>40</v>
    <v>7245</v>
    <v>7251</v>
    <v>7252</v>
    <v>Turkmenistan</v>
    <v>7253</v>
    <v>mdp/vdpid/238</v>
  </rv>
  <rv s="1">
    <fb>765</fb>
    <v>25</v>
  </rv>
  <rv s="2">
    <v>221</v>
    <v>22</v>
    <v>1124</v>
    <v>7</v>
    <v>0</v>
    <v>Image of Ashgabat</v>
  </rv>
  <rv s="0">
    <v>805306368</v>
    <v>Rahym Nurgeldiyewic Gandymow (Mayor)</v>
    <v>9b2c4d3a-5c9b-21d5-c1f9-db8164a57bbe</v>
    <v>en-IN</v>
    <v>Generic</v>
  </rv>
  <rv s="3">
    <v>390</v>
  </rv>
  <rv s="4">
    <v>https://www.bing.com/search?q=ashgabat&amp;form=skydnc</v>
    <v>Learn more on Bing</v>
  </rv>
  <rv s="1">
    <fb>1030063</fb>
    <v>25</v>
  </rv>
  <rv s="43">
    <v>#VALUE!</v>
    <v>en-IN</v>
    <v>fbec6970-3135-751a-385e-114550e7bce9</v>
    <v>536870912</v>
    <v>1</v>
    <v>1126</v>
    <v>299</v>
    <v>Ashgabat</v>
    <v>20</v>
    <v>21</v>
    <v>Map</v>
    <v>22</v>
    <v>94</v>
    <v>TM-S</v>
    <v>7255</v>
    <v>916</v>
    <v>Ashgabat or Asgabat, formerly named Poltoratsk between 1919 and 1927, is the capital and the largest city of Turkmenistan. It lies between the Karakum Desert and the Kopetdag mountain range in Central Asia, near the Iran-Turkmenistan border, and ...</v>
    <v>7256</v>
    <v>7258</v>
    <v>7259</v>
    <v>Ashgabat</v>
    <v>7241</v>
    <v>7260</v>
    <v>Ashgabat</v>
    <v>mdp/vdpid/7363631675097481217</v>
  </rv>
  <rv s="2">
    <v>220</v>
    <v>22</v>
    <v>1118</v>
    <v>3</v>
    <v>0</v>
    <v>Image of Turkmenistan</v>
  </rv>
  <rv s="8">
    <v>en-IN</v>
    <v>avvidm</v>
    <v>268435456</v>
    <v>1</v>
    <v>Powered by Refinitiv</v>
    <v>42</v>
    <v>TWD/USD</v>
    <v>43</v>
    <v>62</v>
    <v>Finance</v>
    <v>45</v>
    <v>3.4779999999999998E-2</v>
    <v>2.9989999999999999E-2</v>
    <v>8.2000000000000001E-5</v>
    <v>2.5300000000000001E-3</v>
    <v>USD</v>
    <v>TWD</v>
    <v>3.2559999999999999E-2</v>
    <v>Currency Pair</v>
    <v>45957.217766203707</v>
    <v>3.243E-2</v>
    <v>Taiwan Dollar/US Dollar FX Cross Rate</v>
    <v>3.2399999999999998E-2</v>
    <v>3.2410000000000001E-2</v>
    <v>3.2489999999999998E-2</v>
    <v>TWDUSD</v>
    <v>TWD/USD</v>
  </rv>
  <rv s="9">
    <v>7263</v>
  </rv>
  <rv s="0">
    <v>536870912</v>
    <v>Tuvalu</v>
    <v>bb5acbbf-f8c0-1043-b404-d55ae0eb22b2</v>
    <v>en-IN</v>
    <v>Map</v>
  </rv>
  <rv s="1">
    <fb>0.59999998410542699</fb>
    <v>24</v>
  </rv>
  <rv s="1">
    <fb>26</fb>
    <v>25</v>
  </rv>
  <rv s="1">
    <fb>688</fb>
    <v>27</v>
  </rv>
  <rv s="0">
    <v>536870912</v>
    <v>Funafuti</v>
    <v>5d09e1a9-6309-4ead-bcd0-d3ce71ae25d1</v>
    <v>en-IN</v>
    <v>Map</v>
  </rv>
  <rv s="1">
    <fb>11.000999999999999</fb>
    <v>25</v>
  </rv>
  <rv s="1">
    <fb>0.33333333333333298</fb>
    <v>24</v>
  </rv>
  <rv s="1">
    <fb>47271463.329857498</fb>
    <v>31</v>
  </rv>
  <rv s="1">
    <fb>0.86029889999999998</fb>
    <v>24</v>
  </rv>
  <rv s="2">
    <v>222</v>
    <v>22</v>
    <v>1128</v>
    <v>7</v>
    <v>0</v>
    <v>Image of Tuvalu</v>
  </rv>
  <rv s="1">
    <fb>20.6</fb>
    <v>29</v>
  </rv>
  <rv s="0">
    <v>805306368</v>
    <v>Kausea Natano (Prime minister)</v>
    <v>7c0661a0-ec96-e44d-5d59-eaf9fe8aa2b0</v>
    <v>en-IN</v>
    <v>Generic</v>
  </rv>
  <rv s="3">
    <v>391</v>
  </rv>
  <rv s="4">
    <v>https://www.bing.com/search?q=tuvalu&amp;form=skydnc</v>
    <v>Learn more on Bing</v>
  </rv>
  <rv s="3">
    <v>392</v>
  </rv>
  <rv s="1">
    <fb>7.4982205000000005E-3</fb>
    <v>24</v>
  </rv>
  <rv s="1">
    <fb>0.91739999999999999</fb>
    <v>26</v>
  </rv>
  <rv s="1">
    <fb>11312</fb>
    <v>25</v>
  </rv>
  <rv s="1">
    <fb>0.21299999999999999</fb>
    <v>24</v>
  </rv>
  <rv s="1">
    <fb>0.10800000000000001</fb>
    <v>24</v>
  </rv>
  <rv s="1">
    <fb>7362</fb>
    <v>25</v>
  </rv>
  <rv s="100">
    <v>#VALUE!</v>
    <v>en-IN</v>
    <v>bb5acbbf-f8c0-1043-b404-d55ae0eb22b2</v>
    <v>536870912</v>
    <v>1</v>
    <v>1131</v>
    <v>1132</v>
    <v>Tuvalu</v>
    <v>20</v>
    <v>21</v>
    <v>Map</v>
    <v>22</v>
    <v>1133</v>
    <v>TV</v>
    <v>7266</v>
    <v>7267</v>
    <v>7268</v>
    <v>7269</v>
    <v>7270</v>
    <v>AUD</v>
    <v>Tuvalu, formerly known as the Ellice Islands, is an island country in the Polynesian subregion of Oceania in the Pacific Ocean. Its islands are situated about midway between Hawaii and Australia. They lie east-northeast of the Santa Cruz ...</v>
    <v>7271</v>
    <v>7272</v>
    <v>7273</v>
    <v>7274</v>
    <v>7275</v>
    <v>7269</v>
    <v>7277</v>
    <v>7278</v>
    <v>Tuvalu</v>
    <v>Tuvalu mo te Atua</v>
    <v>7279</v>
    <v>Tuvalu</v>
    <v>7280</v>
    <v>7281</v>
    <v>7282</v>
    <v>7283</v>
    <v>5465</v>
    <v>5041</v>
    <v>2891</v>
    <v>1023</v>
    <v>7284</v>
    <v>5255</v>
    <v>Tuvalu</v>
    <v>7285</v>
    <v>mdp/vdpid/236</v>
  </rv>
  <rv s="1">
    <fb>2.4</fb>
    <v>25</v>
  </rv>
  <rv s="2">
    <v>223</v>
    <v>22</v>
    <v>1134</v>
    <v>7</v>
    <v>0</v>
    <v>Image of Funafuti</v>
  </rv>
  <rv s="0">
    <v>536870912</v>
    <v>Vaiaku</v>
    <v>5c4246c1-fa62-11e0-666a-2e3945c15339</v>
    <v>en-IN</v>
    <v>Map</v>
  </rv>
  <rv s="4">
    <v>https://www.bing.com/search?q=funafuti&amp;form=skydnc</v>
    <v>Learn more on Bing</v>
  </rv>
  <rv s="1">
    <fb>6025</fb>
    <v>25</v>
  </rv>
  <rv s="101">
    <v>#VALUE!</v>
    <v>en-IN</v>
    <v>5d09e1a9-6309-4ead-bcd0-d3ce71ae25d1</v>
    <v>536870912</v>
    <v>1</v>
    <v>1136</v>
    <v>1137</v>
    <v>Funafuti</v>
    <v>20</v>
    <v>21</v>
    <v>Map</v>
    <v>22</v>
    <v>414</v>
    <v>TV-FUN</v>
    <v>7287</v>
    <v>7265</v>
    <v>Funafuti is the capital of the island nation of Tuvalu. It has a population of 6,320 people, and so it has more people than the rest of Tuvalu combined, with approximately 60% of the population. It consists of a narrow sweep of land between 20 ...</v>
    <v>7288</v>
    <v>7289</v>
    <v>7290</v>
    <v>Funafuti</v>
    <v>7291</v>
    <v>Funafuti</v>
    <v>mdp/vdpid/8844658812037103617</v>
  </rv>
  <rv s="2">
    <v>222</v>
    <v>22</v>
    <v>1128</v>
    <v>3</v>
    <v>0</v>
    <v>Image of Tuvalu</v>
  </rv>
  <rv s="0">
    <v>536870912</v>
    <v>Uganda</v>
    <v>7d4e292c-ed0f-b242-321c-a056c115e6cc</v>
    <v>en-IN</v>
    <v>Map</v>
  </rv>
  <rv s="1">
    <fb>0.71888090963494899</fb>
    <v>24</v>
  </rv>
  <rv s="1">
    <fb>241038</fb>
    <v>25</v>
  </rv>
  <rv s="1">
    <fb>46000</fb>
    <v>25</v>
  </rv>
  <rv s="1">
    <fb>38.134999999999998</fb>
    <v>26</v>
  </rv>
  <rv s="1">
    <fb>256</fb>
    <v>27</v>
  </rv>
  <rv s="0">
    <v>536870912</v>
    <v>Kampala</v>
    <v>67dc76a5-510b-2628-8dfa-cbbf87564c1c</v>
    <v>en-IN</v>
    <v>Map</v>
  </rv>
  <rv s="1">
    <fb>5680.183</fb>
    <v>25</v>
  </rv>
  <rv s="1">
    <fb>173.871268176331</fb>
    <v>28</v>
  </rv>
  <rv s="1">
    <fb>2.8690942502055398E-2</fb>
    <v>24</v>
  </rv>
  <rv s="1">
    <fb>4.9550000000000001</fb>
    <v>26</v>
  </rv>
  <rv s="1">
    <fb>9.6838223061446696E-2</fb>
    <v>24</v>
  </rv>
  <rv s="1">
    <fb>0.94</fb>
    <v>30</v>
  </rv>
  <rv s="1">
    <fb>34387229486.400803</fb>
    <v>31</v>
  </rv>
  <rv s="1">
    <fb>1.0270471000000001</fb>
    <v>24</v>
  </rv>
  <rv s="1">
    <fb>4.8366400000000004E-2</fb>
    <v>24</v>
  </rv>
  <rv s="2">
    <v>224</v>
    <v>22</v>
    <v>1139</v>
    <v>7</v>
    <v>0</v>
    <v>Image of Uganda</v>
  </rv>
  <rv s="1">
    <fb>33.799999999999997</fb>
    <v>29</v>
  </rv>
  <rv s="0">
    <v>805306368</v>
    <v>Yoweri Museveni (President)</v>
    <v>64dcefe8-9e50-6c08-a717-3213c308913a</v>
    <v>en-IN</v>
    <v>Generic</v>
  </rv>
  <rv s="0">
    <v>805306368</v>
    <v>Jessica Alupo (Vice president)</v>
    <v>d4586258-cc35-d9b7-4504-0bcd193c3259</v>
    <v>en-IN</v>
    <v>Generic</v>
  </rv>
  <rv s="0">
    <v>805306368</v>
    <v>Robinah Nabbanja (Prime minister)</v>
    <v>48911f0c-c5ae-841e-ad36-d7f43af76493</v>
    <v>en-IN</v>
    <v>Generic</v>
  </rv>
  <rv s="3">
    <v>393</v>
  </rv>
  <rv s="4">
    <v>https://www.bing.com/search?q=uganda&amp;form=skydnc</v>
    <v>Learn more on Bing</v>
  </rv>
  <rv s="1">
    <fb>62.972999999999999</fb>
    <v>29</v>
  </rv>
  <rv s="1">
    <fb>375</fb>
    <v>29</v>
  </rv>
  <rv s="1">
    <fb>0.01</fb>
    <v>30</v>
  </rv>
  <rv s="3">
    <v>394</v>
  </rv>
  <rv s="1">
    <fb>0.40501093429999996</fb>
    <v>24</v>
  </rv>
  <rv s="1">
    <fb>0.16800000000000001</fb>
    <v>26</v>
  </rv>
  <rv s="1">
    <fb>47249585</fb>
    <v>25</v>
  </rv>
  <rv s="1">
    <fb>0.34200000000000003</fb>
    <v>24</v>
  </rv>
  <rv s="1">
    <fb>2.5000000000000001E-2</fb>
    <v>24</v>
  </rv>
  <rv s="1">
    <fb>0.703369979858398</fb>
    <v>24</v>
  </rv>
  <rv s="0">
    <v>536870912</v>
    <v>Buikwe District</v>
    <v>f2d05439-5ff8-6b50-30cf-2de0bd18486b</v>
    <v>en-IN</v>
    <v>Map</v>
  </rv>
  <rv s="0">
    <v>536870912</v>
    <v>Bukomansimbi District</v>
    <v>8ec77aae-1d78-247d-142a-a1b24a683ac6</v>
    <v>en-IN</v>
    <v>Map</v>
  </rv>
  <rv s="0">
    <v>536870912</v>
    <v>Butambala District</v>
    <v>1696851b-eca8-466d-8416-035ee72a7504</v>
    <v>en-IN</v>
    <v>Map</v>
  </rv>
  <rv s="0">
    <v>536870912</v>
    <v>Buvuma District</v>
    <v>416c9b18-8eab-41df-90f0-a88344a8ff8e</v>
    <v>en-IN</v>
    <v>Map</v>
  </rv>
  <rv s="0">
    <v>536870912</v>
    <v>Gomba District</v>
    <v>708b530f-631c-49cc-b584-8772420f1bd6</v>
    <v>en-IN</v>
    <v>Map</v>
  </rv>
  <rv s="0">
    <v>536870912</v>
    <v>Kalangala District</v>
    <v>58006821-1b21-7c0d-aa1a-cc52a621c055</v>
    <v>en-IN</v>
    <v>Map</v>
  </rv>
  <rv s="0">
    <v>536870912</v>
    <v>Kalungu District</v>
    <v>6c800f8c-8e3e-ff73-84fd-7d26b506a62c</v>
    <v>en-IN</v>
    <v>Map</v>
  </rv>
  <rv s="0">
    <v>536870912</v>
    <v>Kampala District</v>
    <v>c83cc293-6fb4-3b16-2054-3f9547fff4a3</v>
    <v>en-IN</v>
    <v>Map</v>
  </rv>
  <rv s="0">
    <v>536870912</v>
    <v>Kayunga District</v>
    <v>370c3c3a-0e9d-db15-f2d2-412b1843cdb4</v>
    <v>en-IN</v>
    <v>Map</v>
  </rv>
  <rv s="0">
    <v>536870912</v>
    <v>Kiboga District</v>
    <v>7098ef10-c952-8824-8790-67b6e0941d29</v>
    <v>en-IN</v>
    <v>Map</v>
  </rv>
  <rv s="0">
    <v>536870912</v>
    <v>Kyankwanzi District</v>
    <v>4e677004-908e-1591-6fdf-cb50ffe78955</v>
    <v>en-IN</v>
    <v>Map</v>
  </rv>
  <rv s="0">
    <v>536870912</v>
    <v>Luweero District</v>
    <v>c392e326-e5cc-b98d-074d-67f021fc0fd5</v>
    <v>en-IN</v>
    <v>Map</v>
  </rv>
  <rv s="0">
    <v>536870912</v>
    <v>Lwengo District</v>
    <v>00af7840-bc24-7461-e13d-426be139ba35</v>
    <v>en-IN</v>
    <v>Map</v>
  </rv>
  <rv s="0">
    <v>536870912</v>
    <v>Lyantonde District</v>
    <v>96a41db4-7c72-96b4-2716-be8ff9b54bc1</v>
    <v>en-IN</v>
    <v>Map</v>
  </rv>
  <rv s="0">
    <v>536870912</v>
    <v>Masaka District</v>
    <v>fdbaf2dc-1526-073f-4c14-17bbfaaea07f</v>
    <v>en-IN</v>
    <v>Map</v>
  </rv>
  <rv s="0">
    <v>536870912</v>
    <v>Mityana District</v>
    <v>349d406a-b304-30dd-2477-b8c66412da0f</v>
    <v>en-IN</v>
    <v>Map</v>
  </rv>
  <rv s="0">
    <v>536870912</v>
    <v>Mpigi District</v>
    <v>a40a0def-8780-45c6-e099-6aa139f00ea5</v>
    <v>en-IN</v>
    <v>Map</v>
  </rv>
  <rv s="0">
    <v>536870912</v>
    <v>Mubende District</v>
    <v>3cbf7551-fa5f-aad7-9286-d23f5d922824</v>
    <v>en-IN</v>
    <v>Map</v>
  </rv>
  <rv s="0">
    <v>536870912</v>
    <v>Mukono District</v>
    <v>e480dfcc-09c7-9c93-4144-80ef8b7bdfc6</v>
    <v>en-IN</v>
    <v>Map</v>
  </rv>
  <rv s="0">
    <v>536870912</v>
    <v>Nakaseke District</v>
    <v>5c0e5eb9-7540-dcb2-c61f-7f163e27ca0d</v>
    <v>en-IN</v>
    <v>Map</v>
  </rv>
  <rv s="0">
    <v>536870912</v>
    <v>Nakasongola District</v>
    <v>5b572f0b-1499-e070-55f3-965f13ba8e82</v>
    <v>en-IN</v>
    <v>Map</v>
  </rv>
  <rv s="0">
    <v>536870912</v>
    <v>Rakai District</v>
    <v>c49b1a37-023c-a446-57a8-ae53ec038f4a</v>
    <v>en-IN</v>
    <v>Map</v>
  </rv>
  <rv s="0">
    <v>536870912</v>
    <v>Sembabule District</v>
    <v>33029761-5f47-be41-6171-3b18eae54c98</v>
    <v>en-IN</v>
    <v>Map</v>
  </rv>
  <rv s="0">
    <v>536870912</v>
    <v>Wakiso District</v>
    <v>92994034-0e70-8ea3-c37f-3ecbeff6f9bf</v>
    <v>en-IN</v>
    <v>Map</v>
  </rv>
  <rv s="0">
    <v>536870912</v>
    <v>Amuria District</v>
    <v>62b6eaa7-09bf-3e57-dd64-6e07cefb791c</v>
    <v>en-IN</v>
    <v>Map</v>
  </rv>
  <rv s="0">
    <v>536870912</v>
    <v>Budaka District</v>
    <v>d498d986-dc74-9fb3-d622-049468a3ca7c</v>
    <v>en-IN</v>
    <v>Map</v>
  </rv>
  <rv s="0">
    <v>536870912</v>
    <v>Bududa District</v>
    <v>8657e48e-c424-565b-31db-ec71b8d19f95</v>
    <v>en-IN</v>
    <v>Map</v>
  </rv>
  <rv s="0">
    <v>536870912</v>
    <v>Bugiri District</v>
    <v>cd2c9903-0268-600c-2301-b18517147e32</v>
    <v>en-IN</v>
    <v>Map</v>
  </rv>
  <rv s="0">
    <v>536870912</v>
    <v>Bukedea District</v>
    <v>f8770798-37e6-8c33-0dcb-ba1e6fc8264f</v>
    <v>en-IN</v>
    <v>Map</v>
  </rv>
  <rv s="0">
    <v>536870912</v>
    <v>Bukwo District</v>
    <v>b0ac9f47-f5ef-8f68-b61f-1bb7249dce79</v>
    <v>en-IN</v>
    <v>Map</v>
  </rv>
  <rv s="0">
    <v>536870912</v>
    <v>Bulambuli District</v>
    <v>0157d6f5-cb41-a186-0cdd-b0e889f2633d</v>
    <v>en-IN</v>
    <v>Map</v>
  </rv>
  <rv s="0">
    <v>536870912</v>
    <v>Busia District</v>
    <v>17e18ab6-99aa-b26b-5dad-972405c9cef1</v>
    <v>en-IN</v>
    <v>Map</v>
  </rv>
  <rv s="0">
    <v>536870912</v>
    <v>Butaleja District</v>
    <v>6ec87612-56ac-797c-19ca-04732aa20455</v>
    <v>en-IN</v>
    <v>Map</v>
  </rv>
  <rv s="0">
    <v>536870912</v>
    <v>Buyende District</v>
    <v>8076d2d9-f5c3-a7d3-0508-44efbb5cb9f9</v>
    <v>en-IN</v>
    <v>Map</v>
  </rv>
  <rv s="0">
    <v>536870912</v>
    <v>Iganga District</v>
    <v>26be4719-c7f6-c6a8-a9a8-77855569bf38</v>
    <v>en-IN</v>
    <v>Map</v>
  </rv>
  <rv s="0">
    <v>536870912</v>
    <v>Jinja District</v>
    <v>391480b0-1696-2af0-5402-d63f88f6a374</v>
    <v>en-IN</v>
    <v>Map</v>
  </rv>
  <rv s="0">
    <v>536870912</v>
    <v>Kaberamaido District</v>
    <v>ba81d5dd-db0c-6458-874d-9b6520a4f927</v>
    <v>en-IN</v>
    <v>Map</v>
  </rv>
  <rv s="0">
    <v>536870912</v>
    <v>Kaliro District</v>
    <v>d25ae4be-60c8-28ad-b542-0579eb5e5e08</v>
    <v>en-IN</v>
    <v>Map</v>
  </rv>
  <rv s="0">
    <v>536870912</v>
    <v>Kamuli District</v>
    <v>2ab20290-b9ef-ff6d-5a71-a1488c48dba9</v>
    <v>en-IN</v>
    <v>Map</v>
  </rv>
  <rv s="0">
    <v>536870912</v>
    <v>Kapchorwa District</v>
    <v>a10a6813-4134-8e2a-ab93-5b103a547690</v>
    <v>en-IN</v>
    <v>Map</v>
  </rv>
  <rv s="0">
    <v>536870912</v>
    <v>Katakwi District</v>
    <v>6a7d6c62-081e-feef-1891-12a7d94affaa</v>
    <v>en-IN</v>
    <v>Map</v>
  </rv>
  <rv s="0">
    <v>536870912</v>
    <v>Kibuku District</v>
    <v>7c9a91b5-1b20-c9bf-b578-ccc27a797688</v>
    <v>en-IN</v>
    <v>Map</v>
  </rv>
  <rv s="0">
    <v>536870912</v>
    <v>Kumi District</v>
    <v>e6191e07-e190-3dfd-23bb-afebb37771aa</v>
    <v>en-IN</v>
    <v>Map</v>
  </rv>
  <rv s="0">
    <v>536870912</v>
    <v>Kween District</v>
    <v>14446749-1edf-430d-a957-9549fad0639f</v>
    <v>en-IN</v>
    <v>Map</v>
  </rv>
  <rv s="0">
    <v>536870912</v>
    <v>Luuka District</v>
    <v>1c905aa8-cfad-c3c3-7dd1-44006298f4d6</v>
    <v>en-IN</v>
    <v>Map</v>
  </rv>
  <rv s="0">
    <v>536870912</v>
    <v>Manafwa District</v>
    <v>c3af2571-26f0-4cdc-8404-f925367b46ab</v>
    <v>en-IN</v>
    <v>Map</v>
  </rv>
  <rv s="0">
    <v>536870912</v>
    <v>Mayuge District</v>
    <v>56dc6b83-adb7-85f5-76cf-152842f1a9fb</v>
    <v>en-IN</v>
    <v>Map</v>
  </rv>
  <rv s="0">
    <v>536870912</v>
    <v>Mbale District</v>
    <v>43976d14-a481-641c-05cf-fcfc64808710</v>
    <v>en-IN</v>
    <v>Map</v>
  </rv>
  <rv s="0">
    <v>536870912</v>
    <v>Namayingo District</v>
    <v>9df0191e-0c52-3bbd-6550-761b97792eaf</v>
    <v>en-IN</v>
    <v>Map</v>
  </rv>
  <rv s="0">
    <v>536870912</v>
    <v>Namutumba District</v>
    <v>6402dcf1-8914-1dce-87a0-1d38079f98c1</v>
    <v>en-IN</v>
    <v>Map</v>
  </rv>
  <rv s="0">
    <v>536870912</v>
    <v>Ngora District</v>
    <v>36906f64-bf0f-b140-6046-bb958997fe07</v>
    <v>en-IN</v>
    <v>Map</v>
  </rv>
  <rv s="0">
    <v>536870912</v>
    <v>Pallisa District</v>
    <v>118ed6a1-7a16-b582-2fe5-b5756970beac</v>
    <v>en-IN</v>
    <v>Map</v>
  </rv>
  <rv s="0">
    <v>536870912</v>
    <v>Serere District</v>
    <v>91191892-8a33-db6c-26ac-5caaefce7c56</v>
    <v>en-IN</v>
    <v>Map</v>
  </rv>
  <rv s="0">
    <v>536870912</v>
    <v>Sironko District</v>
    <v>2b6fab9c-0eff-254e-b2c3-6da8a6a6badc</v>
    <v>en-IN</v>
    <v>Map</v>
  </rv>
  <rv s="0">
    <v>536870912</v>
    <v>Soroti District</v>
    <v>4d164bfe-cb33-98ab-4b82-d2bcf1e0e8d9</v>
    <v>en-IN</v>
    <v>Map</v>
  </rv>
  <rv s="0">
    <v>536870912</v>
    <v>Tororo District</v>
    <v>dce4500c-36f9-2b4c-f31f-96d86bde4f96</v>
    <v>en-IN</v>
    <v>Map</v>
  </rv>
  <rv s="0">
    <v>536870912</v>
    <v>Abim District</v>
    <v>29419ebc-02d5-d463-1718-3ddb57ae5fa8</v>
    <v>en-IN</v>
    <v>Map</v>
  </rv>
  <rv s="0">
    <v>536870912</v>
    <v>Adjumani District</v>
    <v>f1ccc807-1fbf-9ec8-576c-bb8edfa3d2f0</v>
    <v>en-IN</v>
    <v>Map</v>
  </rv>
  <rv s="0">
    <v>536870912</v>
    <v>Agago District</v>
    <v>b222976f-8edd-b694-6458-aa73ed6b3813</v>
    <v>en-IN</v>
    <v>Map</v>
  </rv>
  <rv s="0">
    <v>536870912</v>
    <v>Alebtong District</v>
    <v>6b1f40e5-ee78-1be9-f408-14344b3ca2cd</v>
    <v>en-IN</v>
    <v>Map</v>
  </rv>
  <rv s="0">
    <v>536870912</v>
    <v>Amolatar District</v>
    <v>a09c2577-38a8-d27b-ea09-771cc3fac468</v>
    <v>en-IN</v>
    <v>Map</v>
  </rv>
  <rv s="0">
    <v>536870912</v>
    <v>Amudat District</v>
    <v>ecc13e2b-baa6-8e85-4b58-8d2b49796271</v>
    <v>en-IN</v>
    <v>Map</v>
  </rv>
  <rv s="0">
    <v>536870912</v>
    <v>Amuru District</v>
    <v>d9026d8b-8b48-53b6-c503-538a14819689</v>
    <v>en-IN</v>
    <v>Map</v>
  </rv>
  <rv s="0">
    <v>536870912</v>
    <v>Apac District</v>
    <v>105fe9c4-60a3-c53a-4273-31345d63648f</v>
    <v>en-IN</v>
    <v>Map</v>
  </rv>
  <rv s="0">
    <v>536870912</v>
    <v>Arua District</v>
    <v>d10bc05c-b917-5132-fc07-c25892a2104a</v>
    <v>en-IN</v>
    <v>Map</v>
  </rv>
  <rv s="0">
    <v>536870912</v>
    <v>Dokolo District</v>
    <v>8251b00b-c485-1978-73e7-88bcde6320d4</v>
    <v>en-IN</v>
    <v>Map</v>
  </rv>
  <rv s="0">
    <v>536870912</v>
    <v>Gulu District</v>
    <v>5c0ee095-c4e1-a7d2-497f-be1b6a1eb173</v>
    <v>en-IN</v>
    <v>Map</v>
  </rv>
  <rv s="0">
    <v>536870912</v>
    <v>Kaabong District</v>
    <v>91b83a77-147e-9a6c-bbf8-4101cc86b1c7</v>
    <v>en-IN</v>
    <v>Map</v>
  </rv>
  <rv s="0">
    <v>536870912</v>
    <v>Kitgum District</v>
    <v>50215a5b-1892-7209-2bd3-698149bfa23b</v>
    <v>en-IN</v>
    <v>Map</v>
  </rv>
  <rv s="0">
    <v>536870912</v>
    <v>Koboko District</v>
    <v>27d6756f-de04-c1aa-6001-e4dbf8cdea9c</v>
    <v>en-IN</v>
    <v>Map</v>
  </rv>
  <rv s="0">
    <v>536870912</v>
    <v>Kole District</v>
    <v>5b170021-649b-a2a0-8c68-7baca0933acb</v>
    <v>en-IN</v>
    <v>Map</v>
  </rv>
  <rv s="0">
    <v>536870912</v>
    <v>Kotido District</v>
    <v>bc702f99-12ce-1a40-b9a7-4052844938fd</v>
    <v>en-IN</v>
    <v>Map</v>
  </rv>
  <rv s="0">
    <v>536870912</v>
    <v>Lamwo District</v>
    <v>b403abf2-5a6e-7a8e-2a9a-1322456652fa</v>
    <v>en-IN</v>
    <v>Map</v>
  </rv>
  <rv s="0">
    <v>536870912</v>
    <v>Lira District</v>
    <v>27bfe193-81e1-de65-9276-6a05bec4202c</v>
    <v>en-IN</v>
    <v>Map</v>
  </rv>
  <rv s="0">
    <v>536870912</v>
    <v>Maracha District</v>
    <v>f49a2190-86b5-4a0c-9af1-e39345080f68</v>
    <v>en-IN</v>
    <v>Map</v>
  </rv>
  <rv s="0">
    <v>536870912</v>
    <v>Moroto District</v>
    <v>dc0215d6-6809-a84b-50db-cf59190a5e3c</v>
    <v>en-IN</v>
    <v>Map</v>
  </rv>
  <rv s="0">
    <v>536870912</v>
    <v>Moyo District</v>
    <v>fae9c60f-c426-b205-4769-62bdbade277f</v>
    <v>en-IN</v>
    <v>Map</v>
  </rv>
  <rv s="0">
    <v>536870912</v>
    <v>Nakapiripirit District</v>
    <v>b0413110-b35a-5dc4-d613-1884a3a3f825</v>
    <v>en-IN</v>
    <v>Map</v>
  </rv>
  <rv s="0">
    <v>536870912</v>
    <v>Napak District</v>
    <v>2623ca7b-24ff-6bc5-0f7f-54cf577efb03</v>
    <v>en-IN</v>
    <v>Map</v>
  </rv>
  <rv s="0">
    <v>536870912</v>
    <v>Nebbi District</v>
    <v>dc446f39-de00-40cb-995a-214cc7bf68db</v>
    <v>en-IN</v>
    <v>Map</v>
  </rv>
  <rv s="0">
    <v>536870912</v>
    <v>Nwoya District</v>
    <v>f3e049a4-0c17-ce1b-c574-2bfc5b84979b</v>
    <v>en-IN</v>
    <v>Map</v>
  </rv>
  <rv s="0">
    <v>536870912</v>
    <v>Otuke District</v>
    <v>2996036d-3a48-3622-acc9-95d959d4a908</v>
    <v>en-IN</v>
    <v>Map</v>
  </rv>
  <rv s="0">
    <v>536870912</v>
    <v>Oyam District</v>
    <v>74e5f8bd-ae17-ac2f-cc45-97ac94fad502</v>
    <v>en-IN</v>
    <v>Map</v>
  </rv>
  <rv s="0">
    <v>536870912</v>
    <v>Pader District</v>
    <v>d87460b6-de91-068e-d672-471043777b03</v>
    <v>en-IN</v>
    <v>Map</v>
  </rv>
  <rv s="0">
    <v>536870912</v>
    <v>Yumbe District</v>
    <v>9b6d24af-f700-20f2-bae5-f166b7710505</v>
    <v>en-IN</v>
    <v>Map</v>
  </rv>
  <rv s="0">
    <v>536870912</v>
    <v>Zombo District</v>
    <v>ae245e52-5be7-fe52-70bb-b4d848626fb6</v>
    <v>en-IN</v>
    <v>Map</v>
  </rv>
  <rv s="0">
    <v>536870912</v>
    <v>Buhweju District</v>
    <v>79190a2f-d12c-433e-764a-b3471324f6d6</v>
    <v>en-IN</v>
    <v>Map</v>
  </rv>
  <rv s="0">
    <v>536870912</v>
    <v>Buliisa District</v>
    <v>cd8e84d5-4bb8-4f3c-a0b5-d8872f3b9bb6</v>
    <v>en-IN</v>
    <v>Map</v>
  </rv>
  <rv s="0">
    <v>536870912</v>
    <v>Bundibugyo District</v>
    <v>5070546d-172d-504d-84b2-cb60beaa53cb</v>
    <v>en-IN</v>
    <v>Map</v>
  </rv>
  <rv s="0">
    <v>536870912</v>
    <v>Bushenyi District</v>
    <v>b510ce84-718b-5a27-dea9-1001b7f638bb</v>
    <v>en-IN</v>
    <v>Map</v>
  </rv>
  <rv s="0">
    <v>536870912</v>
    <v>Hoima District</v>
    <v>c88659b1-d54d-0803-c9db-28c20330b186</v>
    <v>en-IN</v>
    <v>Map</v>
  </rv>
  <rv s="0">
    <v>536870912</v>
    <v>Ibanda District</v>
    <v>4c4632c3-35e2-d358-9121-e37a61d23cdc</v>
    <v>en-IN</v>
    <v>Map</v>
  </rv>
  <rv s="0">
    <v>536870912</v>
    <v>Isingiro District</v>
    <v>bd8b4022-a46f-425a-8116-afb371a30b09</v>
    <v>en-IN</v>
    <v>Map</v>
  </rv>
  <rv s="0">
    <v>536870912</v>
    <v>Kabale District</v>
    <v>dfad3502-a75c-be56-bf1e-0e579198a3c1</v>
    <v>en-IN</v>
    <v>Map</v>
  </rv>
  <rv s="0">
    <v>536870912</v>
    <v>Kabarole District</v>
    <v>f4797522-0c91-ea89-11cb-574094365b9f</v>
    <v>en-IN</v>
    <v>Map</v>
  </rv>
  <rv s="0">
    <v>536870912</v>
    <v>Kamwenge District</v>
    <v>3f708bdd-7305-f197-4802-a9576e4317e7</v>
    <v>en-IN</v>
    <v>Map</v>
  </rv>
  <rv s="0">
    <v>536870912</v>
    <v>Kanungu District</v>
    <v>783daab0-54ba-da4d-8fed-48310841ca5c</v>
    <v>en-IN</v>
    <v>Map</v>
  </rv>
  <rv s="0">
    <v>536870912</v>
    <v>Kasese District</v>
    <v>921b9091-cac8-b129-f1b4-b2306086d5a1</v>
    <v>en-IN</v>
    <v>Map</v>
  </rv>
  <rv s="0">
    <v>536870912</v>
    <v>Kibaale District</v>
    <v>485b9be2-73eb-235b-ff88-53e8af67fdd2</v>
    <v>en-IN</v>
    <v>Map</v>
  </rv>
  <rv s="0">
    <v>536870912</v>
    <v>Kiruhura District</v>
    <v>6b35e7d6-57b4-ef6d-4ffa-c04a106794c9</v>
    <v>en-IN</v>
    <v>Map</v>
  </rv>
  <rv s="0">
    <v>536870912</v>
    <v>Kiryandongo District</v>
    <v>5e41d164-5f19-e9a8-af85-bd30778b9e78</v>
    <v>en-IN</v>
    <v>Map</v>
  </rv>
  <rv s="0">
    <v>536870912</v>
    <v>Kisoro District</v>
    <v>76a0add3-0ea7-4a53-0204-438f9d016993</v>
    <v>en-IN</v>
    <v>Map</v>
  </rv>
  <rv s="0">
    <v>536870912</v>
    <v>Kyegegwa District</v>
    <v>ded72a78-23a1-49df-b898-21114048313a</v>
    <v>en-IN</v>
    <v>Map</v>
  </rv>
  <rv s="0">
    <v>536870912</v>
    <v>Kyenjojo District</v>
    <v>e6967dc8-9abc-c412-90c2-8ad0876a1536</v>
    <v>en-IN</v>
    <v>Map</v>
  </rv>
  <rv s="0">
    <v>536870912</v>
    <v>Masindi District</v>
    <v>bfcc000b-e7b3-cc6c-8ecb-81a5d281523c</v>
    <v>en-IN</v>
    <v>Map</v>
  </rv>
  <rv s="0">
    <v>536870912</v>
    <v>Mbarara District</v>
    <v>3004c94f-fb81-fc83-acc3-5c52730ceff3</v>
    <v>en-IN</v>
    <v>Map</v>
  </rv>
  <rv s="0">
    <v>536870912</v>
    <v>Mitooma District</v>
    <v>152412be-02d2-bc45-3f5e-170438024993</v>
    <v>en-IN</v>
    <v>Map</v>
  </rv>
  <rv s="0">
    <v>536870912</v>
    <v>Ntoroko District</v>
    <v>c9888485-ec74-39ba-61aa-c26227c200d9</v>
    <v>en-IN</v>
    <v>Map</v>
  </rv>
  <rv s="0">
    <v>536870912</v>
    <v>Ntungamo District</v>
    <v>469cac16-03ad-c4e1-11a8-d287cb371cb5</v>
    <v>en-IN</v>
    <v>Map</v>
  </rv>
  <rv s="0">
    <v>536870912</v>
    <v>Rubirizi District</v>
    <v>cb6b8cb7-2962-5fc6-1822-dc2db8f09c3d</v>
    <v>en-IN</v>
    <v>Map</v>
  </rv>
  <rv s="0">
    <v>536870912</v>
    <v>Rukungiri District</v>
    <v>630e5dde-32bd-e5c3-c218-8f587b1061df</v>
    <v>en-IN</v>
    <v>Map</v>
  </rv>
  <rv s="0">
    <v>536870912</v>
    <v>Sheema District</v>
    <v>37314be3-8b82-c23e-ceba-03e0baa8b112</v>
    <v>en-IN</v>
    <v>Map</v>
  </rv>
  <rv s="3">
    <v>395</v>
  </rv>
  <rv s="1">
    <fb>0.117391967515158</fb>
    <v>24</v>
  </rv>
  <rv s="1">
    <fb>0.33700000000000002</fb>
    <v>24</v>
  </rv>
  <rv s="1">
    <fb>1.8430000543594401E-2</fb>
    <v>32</v>
  </rv>
  <rv s="1">
    <fb>10784516</fb>
    <v>25</v>
  </rv>
  <rv s="36">
    <v>#VALUE!</v>
    <v>en-IN</v>
    <v>7d4e292c-ed0f-b242-321c-a056c115e6cc</v>
    <v>536870912</v>
    <v>1</v>
    <v>1142</v>
    <v>231</v>
    <v>Uganda</v>
    <v>20</v>
    <v>21</v>
    <v>Map</v>
    <v>22</v>
    <v>1143</v>
    <v>UG</v>
    <v>7295</v>
    <v>7296</v>
    <v>7297</v>
    <v>7298</v>
    <v>7299</v>
    <v>7300</v>
    <v>7301</v>
    <v>7302</v>
    <v>7303</v>
    <v>UGX</v>
    <v>Uganda, officially the Republic of Uganda, is a landlocked country in East Africa. The country is bordered to the east by Kenya, to the north by South Sudan, to the west by the Democratic Republic of the Congo, to the south-west by Rwanda, and ...</v>
    <v>7304</v>
    <v>7305</v>
    <v>7306</v>
    <v>7307</v>
    <v>7308</v>
    <v>7309</v>
    <v>7310</v>
    <v>7311</v>
    <v>7300</v>
    <v>7315</v>
    <v>7316</v>
    <v>7317</v>
    <v>7318</v>
    <v>7319</v>
    <v>Uganda</v>
    <v>Oh Uganda, Land of Beauty</v>
    <v>7320</v>
    <v>Uganda</v>
    <v>7321</v>
    <v>7322</v>
    <v>7323</v>
    <v>1868</v>
    <v>7324</v>
    <v>1521</v>
    <v>7325</v>
    <v>5254</v>
    <v>890</v>
    <v>3283</v>
    <v>7326</v>
    <v>7439</v>
    <v>7440</v>
    <v>7441</v>
    <v>7442</v>
    <v>Uganda</v>
    <v>7443</v>
    <v>mdp/vdpid/240</v>
  </rv>
  <rv s="1">
    <fb>189</fb>
    <v>25</v>
  </rv>
  <rv s="2">
    <v>225</v>
    <v>22</v>
    <v>1145</v>
    <v>7</v>
    <v>0</v>
    <v>Image of Kampala</v>
  </rv>
  <rv s="4">
    <v>https://www.bing.com/search?q=kampala&amp;form=skydnc</v>
    <v>Learn more on Bing</v>
  </rv>
  <rv s="1">
    <fb>1680600</fb>
    <v>25</v>
  </rv>
  <rv s="26">
    <v>#VALUE!</v>
    <v>en-IN</v>
    <v>67dc76a5-510b-2628-8dfa-cbbf87564c1c</v>
    <v>536870912</v>
    <v>1</v>
    <v>1146</v>
    <v>166</v>
    <v>Kampala</v>
    <v>20</v>
    <v>21</v>
    <v>Map</v>
    <v>22</v>
    <v>109</v>
    <v>UG-102</v>
    <v>7445</v>
    <v>7294</v>
    <v>Kampala is the capital and largest city of Uganda. The city proper has a population of 1,680,000 and is divided into the five political divisions of Kampala Central Division, Kawempe Division, Makindye Division, Nakawa Division, and Rubaga Division.</v>
    <v>7446</v>
    <v>7447</v>
    <v>Kampala</v>
    <v>7448</v>
    <v>Kampala</v>
    <v>mdp/vdpid/7223865843434651649</v>
  </rv>
  <rv s="2">
    <v>224</v>
    <v>22</v>
    <v>1139</v>
    <v>3</v>
    <v>0</v>
    <v>Image of Uganda</v>
  </rv>
  <rv s="0">
    <v>536870912</v>
    <v>Ukraine</v>
    <v>ad599477-9e6d-4a0e-bab5-0edf9db7115a</v>
    <v>en-IN</v>
    <v>Map</v>
  </rv>
  <rv s="1">
    <fb>0.71665314436637995</fb>
    <v>24</v>
  </rv>
  <rv s="1">
    <fb>603550</fb>
    <v>25</v>
  </rv>
  <rv s="1">
    <fb>297000</fb>
    <v>25</v>
  </rv>
  <rv s="1">
    <fb>8.6999999999999993</fb>
    <v>26</v>
  </rv>
  <rv s="1">
    <fb>380</fb>
    <v>27</v>
  </rv>
  <rv s="0">
    <v>536870912</v>
    <v>Kyiv</v>
    <v>79c78723-042d-4572-bc87-599fa1203134</v>
    <v>en-IN</v>
    <v>Map</v>
  </rv>
  <rv s="1">
    <fb>202249.71799999999</fb>
    <v>25</v>
  </rv>
  <rv s="1">
    <fb>281.658595641646</fb>
    <v>28</v>
  </rv>
  <rv s="1">
    <fb>7.8867174561113002E-2</fb>
    <v>24</v>
  </rv>
  <rv s="1">
    <fb>3418.56924154441</fb>
    <v>25</v>
  </rv>
  <rv s="1">
    <fb>1.3009999999999999</fb>
    <v>26</v>
  </rv>
  <rv s="1">
    <fb>0.167080388142165</fb>
    <v>24</v>
  </rv>
  <rv s="1">
    <fb>75.3495057807649</fb>
    <v>29</v>
  </rv>
  <rv s="1">
    <fb>153781069118.14801</fb>
    <v>31</v>
  </rv>
  <rv s="1">
    <fb>0.99040940000000011</fb>
    <v>24</v>
  </rv>
  <rv s="1">
    <fb>0.82671180000000011</fb>
    <v>24</v>
  </rv>
  <rv s="2">
    <v>226</v>
    <v>22</v>
    <v>1148</v>
    <v>7</v>
    <v>0</v>
    <v>Image of Ukraine</v>
  </rv>
  <rv s="1">
    <fb>7.5</fb>
    <v>29</v>
  </rv>
  <rv s="0">
    <v>805306368</v>
    <v>Volodymyr Zelenskyy (President)</v>
    <v>9bae3411-f7b7-35a0-00a8-57f94c361da9</v>
    <v>en-IN</v>
    <v>Generic</v>
  </rv>
  <rv s="0">
    <v>805306368</v>
    <v>Denys Shmyhal (Prime minister)</v>
    <v>be5cbc70-24e7-afe9-a0b1-49d91b73bd1a</v>
    <v>en-IN</v>
    <v>Generic</v>
  </rv>
  <rv s="3">
    <v>396</v>
  </rv>
  <rv s="4">
    <v>https://www.bing.com/search?q=ukraine&amp;form=skydnc</v>
    <v>Learn more on Bing</v>
  </rv>
  <rv s="1">
    <fb>71.582682926829307</fb>
    <v>29</v>
  </rv>
  <rv s="1">
    <fb>4415440000</fb>
    <v>31</v>
  </rv>
  <rv s="1">
    <fb>0.84</fb>
    <v>30</v>
  </rv>
  <rv s="3">
    <v>397</v>
  </rv>
  <rv s="1">
    <fb>0.47811215909999999</fb>
    <v>24</v>
  </rv>
  <rv s="1">
    <fb>2.9923000000000002</fb>
    <v>26</v>
  </rv>
  <rv s="1">
    <fb>38000000</fb>
    <v>25</v>
  </rv>
  <rv s="1">
    <fb>0.17800000000000002</fb>
    <v>24</v>
  </rv>
  <rv s="1">
    <fb>0.54151000976562502</fb>
    <v>24</v>
  </rv>
  <rv s="0">
    <v>536870912</v>
    <v>Cherkasy Oblast</v>
    <v>c9976b82-1310-ef4d-b0c9-a9afe6a1007f</v>
    <v>en-IN</v>
    <v>Map</v>
  </rv>
  <rv s="0">
    <v>536870912</v>
    <v>Chernihiv Oblast</v>
    <v>4d3c108d-9f83-97bb-6c45-e5206908c9ba</v>
    <v>en-IN</v>
    <v>Map</v>
  </rv>
  <rv s="0">
    <v>536870912</v>
    <v>Chernivtsi Oblast</v>
    <v>2b816ee4-0e8d-8ada-257c-6b9b23a72ad0</v>
    <v>en-IN</v>
    <v>Map</v>
  </rv>
  <rv s="0">
    <v>536870912</v>
    <v>Dnipropetrovsk Oblast</v>
    <v>83b98499-16b8-bb03-d593-dd4bdf6eca84</v>
    <v>en-IN</v>
    <v>Map</v>
  </rv>
  <rv s="0">
    <v>536870912</v>
    <v>Donetsk Oblast</v>
    <v>66af6664-7bd4-318e-e6c4-a5eba1b797fa</v>
    <v>en-IN</v>
    <v>Map</v>
  </rv>
  <rv s="0">
    <v>536870912</v>
    <v>Ivano-Frankivsk Oblast</v>
    <v>5ab8bbed-4d8c-3a6e-ce49-db79ef72183f</v>
    <v>en-IN</v>
    <v>Map</v>
  </rv>
  <rv s="0">
    <v>536870912</v>
    <v>Kharkiv Oblast</v>
    <v>80a0fd15-8a6f-05e0-ef8e-3ac5b137b76c</v>
    <v>en-IN</v>
    <v>Map</v>
  </rv>
  <rv s="0">
    <v>536870912</v>
    <v>Kherson Oblast</v>
    <v>3d03caa9-910c-b257-2449-cb94ef57e497</v>
    <v>en-IN</v>
    <v>Map</v>
  </rv>
  <rv s="0">
    <v>536870912</v>
    <v>Khmelnytskyi Oblast</v>
    <v>d8d2d1e1-25b5-cc8e-95a9-dd2af8f5b7a7</v>
    <v>en-IN</v>
    <v>Map</v>
  </rv>
  <rv s="0">
    <v>536870912</v>
    <v>Kyiv Oblast</v>
    <v>4c971681-9dca-2885-9bc5-18f1d3b975b1</v>
    <v>en-IN</v>
    <v>Map</v>
  </rv>
  <rv s="0">
    <v>536870912</v>
    <v>Kirovohrad Oblast</v>
    <v>ef8d4608-76c2-a832-264e-4cf51a0c5dbd</v>
    <v>en-IN</v>
    <v>Map</v>
  </rv>
  <rv s="0">
    <v>536870912</v>
    <v>Luhansk Oblast</v>
    <v>cccfd56b-f7a9-dd2a-d268-68084adf28b4</v>
    <v>en-IN</v>
    <v>Map</v>
  </rv>
  <rv s="0">
    <v>536870912</v>
    <v>Lviv Oblast</v>
    <v>aa5637b1-7fe1-a3c0-42df-6616eb84675a</v>
    <v>en-IN</v>
    <v>Map</v>
  </rv>
  <rv s="0">
    <v>536870912</v>
    <v>Mykolaiv Oblast</v>
    <v>11f87280-610e-7272-da94-5f8890fcf23d</v>
    <v>en-IN</v>
    <v>Map</v>
  </rv>
  <rv s="0">
    <v>536870912</v>
    <v>Odesa Oblast</v>
    <v>ab1bf172-10d2-6650-704b-07f524561e0c</v>
    <v>en-IN</v>
    <v>Map</v>
  </rv>
  <rv s="0">
    <v>536870912</v>
    <v>Poltava Oblast</v>
    <v>e5ca22a5-cbe2-e9f8-df2a-c271030dccc7</v>
    <v>en-IN</v>
    <v>Map</v>
  </rv>
  <rv s="0">
    <v>536870912</v>
    <v>Rivne Oblast</v>
    <v>d6cdb68d-5af6-afd9-b456-affff06b0df7</v>
    <v>en-IN</v>
    <v>Map</v>
  </rv>
  <rv s="0">
    <v>536870912</v>
    <v>Sumy Oblast</v>
    <v>f7532844-70f6-fa1d-38eb-23fd0dbcb818</v>
    <v>en-IN</v>
    <v>Map</v>
  </rv>
  <rv s="0">
    <v>536870912</v>
    <v>Ternopil Oblast</v>
    <v>8546d368-622f-6499-3510-030c076e5f17</v>
    <v>en-IN</v>
    <v>Map</v>
  </rv>
  <rv s="0">
    <v>536870912</v>
    <v>Vinnytsia Oblast</v>
    <v>f740bcec-499b-0dee-db2b-31a5e212bb43</v>
    <v>en-IN</v>
    <v>Map</v>
  </rv>
  <rv s="0">
    <v>536870912</v>
    <v>Volyn Oblast</v>
    <v>0e1b7fc3-81cf-e44d-b558-4f6a739d4ab5</v>
    <v>en-IN</v>
    <v>Map</v>
  </rv>
  <rv s="0">
    <v>536870912</v>
    <v>Zakarpattia Oblast</v>
    <v>2b40bf9f-f59e-2eda-4e2c-ab42a853d304</v>
    <v>en-IN</v>
    <v>Map</v>
  </rv>
  <rv s="0">
    <v>536870912</v>
    <v>Zaporizhzhia Oblast</v>
    <v>cfdae36e-e003-7dea-83b3-d9f416b99469</v>
    <v>en-IN</v>
    <v>Map</v>
  </rv>
  <rv s="0">
    <v>536870912</v>
    <v>Zhytomyr Oblast</v>
    <v>8a86953e-fa05-4b29-ba68-763eb4012703</v>
    <v>en-IN</v>
    <v>Map</v>
  </rv>
  <rv s="0">
    <v>536870912</v>
    <v>Autonomous Republic of Crimea</v>
    <v>79c3dba3-7806-419d-9763-6a5bc8e8e810</v>
    <v>en-IN</v>
    <v>Map</v>
  </rv>
  <rv s="3">
    <v>398</v>
  </rv>
  <rv s="1">
    <fb>0.201408893342575</fb>
    <v>24</v>
  </rv>
  <rv s="1">
    <fb>0.45200000000000001</fb>
    <v>24</v>
  </rv>
  <rv s="1">
    <fb>8.8819999694824195E-2</fb>
    <v>32</v>
  </rv>
  <rv s="1">
    <fb>30835699</fb>
    <v>25</v>
  </rv>
  <rv s="5">
    <v>#VALUE!</v>
    <v>en-IN</v>
    <v>ad599477-9e6d-4a0e-bab5-0edf9db7115a</v>
    <v>536870912</v>
    <v>1</v>
    <v>1151</v>
    <v>18</v>
    <v>Ukraine</v>
    <v>20</v>
    <v>21</v>
    <v>Map</v>
    <v>22</v>
    <v>1152</v>
    <v>UA</v>
    <v>7452</v>
    <v>7453</v>
    <v>7454</v>
    <v>7455</v>
    <v>7456</v>
    <v>7457</v>
    <v>7458</v>
    <v>7459</v>
    <v>7460</v>
    <v>UAH</v>
    <v>Ukraine is a country in Eastern Europe. It is the second-largest European country after Russia, which borders it to the east and northeast. It also borders Belarus to the north; Poland, Slovakia, and Hungary to the west; and Romania and Moldova ...</v>
    <v>7461</v>
    <v>7462</v>
    <v>7463</v>
    <v>7464</v>
    <v>1226</v>
    <v>7465</v>
    <v>7466</v>
    <v>7467</v>
    <v>7468</v>
    <v>7469</v>
    <v>7457</v>
    <v>7472</v>
    <v>7473</v>
    <v>7474</v>
    <v>7475</v>
    <v>1302</v>
    <v>7476</v>
    <v>Ukraine</v>
    <v>National anthem of Ukraine</v>
    <v>7477</v>
    <v>Україна</v>
    <v>7478</v>
    <v>7479</v>
    <v>7480</v>
    <v>1588</v>
    <v>409</v>
    <v>2984</v>
    <v>2969</v>
    <v>1169</v>
    <v>1919</v>
    <v>7481</v>
    <v>7482</v>
    <v>7508</v>
    <v>7509</v>
    <v>846</v>
    <v>7510</v>
    <v>7511</v>
    <v>Ukraine</v>
    <v>7512</v>
    <v>mdp/vdpid/241</v>
  </rv>
  <rv s="1">
    <fb>848</fb>
    <v>25</v>
  </rv>
  <rv s="2">
    <v>227</v>
    <v>22</v>
    <v>1153</v>
    <v>7</v>
    <v>0</v>
    <v>Image of Kyiv</v>
  </rv>
  <rv s="0">
    <v>805306368</v>
    <v>Vitali Klitschko (Mayor)</v>
    <v>233abb25-73d6-cc6f-e85c-baf465f7b4c6</v>
    <v>en-IN</v>
    <v>Generic</v>
  </rv>
  <rv s="3">
    <v>399</v>
  </rv>
  <rv s="4">
    <v>https://www.bing.com/search?q=kiev&amp;form=skydnc</v>
    <v>Learn more on Bing</v>
  </rv>
  <rv s="1">
    <fb>2952301</fb>
    <v>25</v>
  </rv>
  <rv s="3">
    <v>400</v>
  </rv>
  <rv s="102">
    <v>#VALUE!</v>
    <v>en-IN</v>
    <v>79c78723-042d-4572-bc87-599fa1203134</v>
    <v>536870912</v>
    <v>1</v>
    <v>1155</v>
    <v>1156</v>
    <v>Kyiv</v>
    <v>20</v>
    <v>21</v>
    <v>Map</v>
    <v>22</v>
    <v>94</v>
    <v>7514</v>
    <v>Kiev City Council</v>
    <v>916</v>
    <v>Kyiv is the capital and most populous city of Ukraine. It is in north-central Ukraine along the Dnieper River. As of 1 January 2022, its population was 2,952,301, making Kyiv the seventh-most populous city in Europe. Kyiv is an important ...</v>
    <v>7515</v>
    <v>7517</v>
    <v>7518</v>
    <v>Kyiv</v>
    <v>7477</v>
    <v>7519</v>
    <v>7520</v>
    <v>Kyiv</v>
    <v>mdp/vdpid/7050576977408819202</v>
  </rv>
  <rv s="2">
    <v>226</v>
    <v>22</v>
    <v>1148</v>
    <v>3</v>
    <v>0</v>
    <v>Image of Ukraine</v>
  </rv>
  <rv s="0">
    <v>536870912</v>
    <v>United Arab Emirates</v>
    <v>254a2621-4625-0f85-0b9d-13e4e75e5c9b</v>
    <v>en-IN</v>
    <v>Map</v>
  </rv>
  <rv s="1">
    <fb>5.4745140494645003E-2</fb>
    <v>24</v>
  </rv>
  <rv s="1">
    <fb>83600</fb>
    <v>25</v>
  </rv>
  <rv s="1">
    <fb>63000</fb>
    <v>25</v>
  </rv>
  <rv s="1">
    <fb>10.331</fb>
    <v>26</v>
  </rv>
  <rv s="1">
    <fb>971</fb>
    <v>27</v>
  </rv>
  <rv s="0">
    <v>536870912</v>
    <v>Abu Dhabi</v>
    <v>5c13f73c-6c26-b05a-8294-4e5d670b582c</v>
    <v>en-IN</v>
    <v>Map</v>
  </rv>
  <rv s="1">
    <fb>206323.755</fb>
    <v>25</v>
  </rv>
  <rv s="1">
    <fb>114.52466053234301</fb>
    <v>28</v>
  </rv>
  <rv s="1">
    <fb>-1.9310811478217102E-2</fb>
    <v>24</v>
  </rv>
  <rv s="1">
    <fb>11088.3502863794</fb>
    <v>25</v>
  </rv>
  <rv s="1">
    <fb>1.413</fb>
    <v>26</v>
  </rv>
  <rv s="1">
    <fb>4.5573078521840199E-2</fb>
    <v>24</v>
  </rv>
  <rv s="1">
    <fb>86.1283490244126</fb>
    <v>29</v>
  </rv>
  <rv s="1">
    <fb>421142267937.65002</fb>
    <v>31</v>
  </rv>
  <rv s="1">
    <fb>1.0839706</fb>
    <v>24</v>
  </rv>
  <rv s="1">
    <fb>0.36847080230712898</fb>
    <v>24</v>
  </rv>
  <rv s="2">
    <v>228</v>
    <v>22</v>
    <v>1158</v>
    <v>7</v>
    <v>0</v>
    <v>Image of United Arab Emirates</v>
  </rv>
  <rv s="1">
    <fb>6.5</fb>
    <v>29</v>
  </rv>
  <rv s="0">
    <v>536870912</v>
    <v>Dubai</v>
    <v>be495e21-8e36-a64d-d87a-350ba05996eb</v>
    <v>en-IN</v>
    <v>Map</v>
  </rv>
  <rv s="0">
    <v>805306368</v>
    <v>Mohamed bin Zayed Al Nahyan (President)</v>
    <v>f9a564f5-d322-fa19-3bc8-73e961373e10</v>
    <v>en-IN</v>
    <v>Generic</v>
  </rv>
  <rv s="0">
    <v>805306368</v>
    <v>Mohammed bin Rashid Al Maktoum (Prime minister)</v>
    <v>699a9d4c-17ad-a2e7-0654-51e1cf321b41</v>
    <v>en-IN</v>
    <v>Generic</v>
  </rv>
  <rv s="3">
    <v>401</v>
  </rv>
  <rv s="4">
    <v>https://www.bing.com/search?q=united+arab+emirates&amp;form=skydnc</v>
    <v>Learn more on Bing</v>
  </rv>
  <rv s="1">
    <fb>77.813999999999993</fb>
    <v>29</v>
  </rv>
  <rv s="1">
    <fb>247209143274.88101</fb>
    <v>31</v>
  </rv>
  <rv s="1">
    <fb>0.1778964985</fb>
    <v>24</v>
  </rv>
  <rv s="1">
    <fb>2.5278</fb>
    <v>26</v>
  </rv>
  <rv s="1">
    <fb>9441129</fb>
    <v>25</v>
  </rv>
  <rv s="1">
    <fb>0.82094001770019498</fb>
    <v>24</v>
  </rv>
  <rv s="0">
    <v>536870912</v>
    <v>Emirate of Abu Dhabi</v>
    <v>64d30bb6-7457-2a4b-5a2a-ef4f432d2eb6</v>
    <v>en-IN</v>
    <v>Map</v>
  </rv>
  <rv s="0">
    <v>536870912</v>
    <v>Emirate of Sharjah</v>
    <v>d4a83efb-738c-4204-0d9b-311bba6e7d55</v>
    <v>en-IN</v>
    <v>Map</v>
  </rv>
  <rv s="0">
    <v>536870912</v>
    <v>Emirate of Ajman</v>
    <v>e99dee76-8670-41c5-83d6-9915d5d5da4e</v>
    <v>en-IN</v>
    <v>Map</v>
  </rv>
  <rv s="0">
    <v>536870912</v>
    <v>Emirate of Ras Al Khaimah</v>
    <v>2290fba6-b72e-3389-2cb6-7a529757db04</v>
    <v>en-IN</v>
    <v>Map</v>
  </rv>
  <rv s="0">
    <v>536870912</v>
    <v>Emirate of Fujairah</v>
    <v>4afc1d56-0440-fff3-812e-07b2c32fa703</v>
    <v>en-IN</v>
    <v>Map</v>
  </rv>
  <rv s="3">
    <v>402</v>
  </rv>
  <rv s="1">
    <fb>5.9310281329913201E-4</fb>
    <v>24</v>
  </rv>
  <rv s="1">
    <fb>2.3480000495910602E-2</fb>
    <v>32</v>
  </rv>
  <rv s="1">
    <fb>8479744</fb>
    <v>25</v>
  </rv>
  <rv s="20">
    <v>#VALUE!</v>
    <v>en-IN</v>
    <v>254a2621-4625-0f85-0b9d-13e4e75e5c9b</v>
    <v>536870912</v>
    <v>1</v>
    <v>1161</v>
    <v>116</v>
    <v>United Arab Emirates</v>
    <v>20</v>
    <v>21</v>
    <v>Map</v>
    <v>22</v>
    <v>1162</v>
    <v>AE</v>
    <v>7524</v>
    <v>7525</v>
    <v>7526</v>
    <v>7527</v>
    <v>7528</v>
    <v>7529</v>
    <v>7530</v>
    <v>7531</v>
    <v>7532</v>
    <v>AED</v>
    <v>The United Arab Emirates, or simply the Emirates, is a country in West Asia, in the Middle East. It is located at the eastern end of the Arabian Peninsula and shares borders with Oman and Saudi Arabia, while also having maritime borders in the ...</v>
    <v>7533</v>
    <v>7534</v>
    <v>7535</v>
    <v>7536</v>
    <v>2481</v>
    <v>7537</v>
    <v>7538</v>
    <v>7539</v>
    <v>7540</v>
    <v>7541</v>
    <v>7542</v>
    <v>7545</v>
    <v>7546</v>
    <v>7547</v>
    <v>7548</v>
    <v>486</v>
    <v>United Arab Emirates</v>
    <v>Ishy Bilady</v>
    <v>808</v>
    <v>les Émirats arabes unis</v>
    <v>7549</v>
    <v>7550</v>
    <v>7551</v>
    <v>3037</v>
    <v>4703</v>
    <v>4438</v>
    <v>238</v>
    <v>967</v>
    <v>570</v>
    <v>3824</v>
    <v>7552</v>
    <v>7558</v>
    <v>7559</v>
    <v>1785</v>
    <v>7560</v>
    <v>United Arab Emirates</v>
    <v>7561</v>
    <v>mdp/vdpid/224</v>
  </rv>
  <rv s="1">
    <fb>972</fb>
    <v>25</v>
  </rv>
  <rv s="2">
    <v>229</v>
    <v>22</v>
    <v>1163</v>
    <v>7</v>
    <v>0</v>
    <v>Image of Abu Dhabi</v>
  </rv>
  <rv s="1">
    <fb>24.4511111111111</fb>
    <v>37</v>
  </rv>
  <rv s="4">
    <v>https://www.bing.com/search?q=abu+dhabi&amp;form=skydnc</v>
    <v>Learn more on Bing</v>
  </rv>
  <rv s="1">
    <fb>54.396944444444401</fb>
    <v>37</v>
  </rv>
  <rv s="1">
    <fb>1483000</fb>
    <v>25</v>
  </rv>
  <rv s="29">
    <v>#VALUE!</v>
    <v>en-IN</v>
    <v>5c13f73c-6c26-b05a-8294-4e5d670b582c</v>
    <v>536870912</v>
    <v>1</v>
    <v>1164</v>
    <v>188</v>
    <v>Abu Dhabi</v>
    <v>20</v>
    <v>21</v>
    <v>Map</v>
    <v>22</v>
    <v>189</v>
    <v>7553</v>
    <v>7563</v>
    <v>7523</v>
    <v>Abu Dhabi is the capital of the United Arab Emirates. It is also the capital of the Emirate of Abu Dhabi and the centre of the Abu Dhabi Metropolitan Area. Abu Dhabi is the UAE's second-most populous city after Dubai.</v>
    <v>7564</v>
    <v>7565</v>
    <v>7566</v>
    <v>7567</v>
    <v>Abu Dhabi</v>
    <v>7568</v>
    <v>Abu Dhabi</v>
    <v>mdp/vdpid/7376443939491938305</v>
  </rv>
  <rv s="1">
    <fb>35</fb>
    <v>25</v>
  </rv>
  <rv s="2">
    <v>230</v>
    <v>22</v>
    <v>1165</v>
    <v>7</v>
    <v>0</v>
    <v>Image of Dubai</v>
  </rv>
  <rv s="4">
    <v>https://www.bing.com/search?q=dubai&amp;form=skydnc</v>
    <v>Learn more on Bing</v>
  </rv>
  <rv s="1">
    <fb>3564931</fb>
    <v>25</v>
  </rv>
  <rv s="84">
    <v>#VALUE!</v>
    <v>en-IN</v>
    <v>be495e21-8e36-a64d-d87a-350ba05996eb</v>
    <v>536870912</v>
    <v>1</v>
    <v>1167</v>
    <v>824</v>
    <v>Dubai</v>
    <v>20</v>
    <v>21</v>
    <v>Map</v>
    <v>22</v>
    <v>235</v>
    <v>AE-DU</v>
    <v>7570</v>
    <v>7523</v>
    <v>Dubai is the most populous city in the United Arab Emirates and the capital of the Emirate of Dubai, the most populated of the country's seven emirates. Established in the 19th century as a small fishing village, Dubai grew into a regional ...</v>
    <v>7571</v>
    <v>7572</v>
    <v>Dubai</v>
    <v>1454</v>
    <v>7573</v>
    <v>Dubai</v>
    <v>mdp/vdpid/7376477268119388161</v>
  </rv>
  <rv s="2">
    <v>228</v>
    <v>22</v>
    <v>1158</v>
    <v>3</v>
    <v>0</v>
    <v>Image of United Arab Emirates</v>
  </rv>
  <rv s="0">
    <v>536870912</v>
    <v>United Kingdom</v>
    <v>b1a5155a-6bb2-4646-8f7c-3e6b3a53c831</v>
    <v>en-IN</v>
    <v>Map</v>
  </rv>
  <rv s="1">
    <fb>0.71714878141404492</fb>
    <v>24</v>
  </rv>
  <rv s="1">
    <fb>242495</fb>
    <v>25</v>
  </rv>
  <rv s="1">
    <fb>148000</fb>
    <v>25</v>
  </rv>
  <rv s="1">
    <fb>11</fb>
    <v>26</v>
  </rv>
  <rv s="1">
    <fb>44</fb>
    <v>27</v>
  </rv>
  <rv s="0">
    <v>536870912</v>
    <v>London</v>
    <v>8e0ba7b6-4225-fa8a-6369-1b5294e602a5</v>
    <v>en-IN</v>
    <v>Map</v>
  </rv>
  <rv s="1">
    <fb>379024.78700000001</fb>
    <v>25</v>
  </rv>
  <rv s="1">
    <fb>119.622711300166</fb>
    <v>28</v>
  </rv>
  <rv s="1">
    <fb>1.7381046008651101E-2</fb>
    <v>24</v>
  </rv>
  <rv s="1">
    <fb>5129.5277927901998</fb>
    <v>25</v>
  </rv>
  <rv s="1">
    <fb>1.68</fb>
    <v>26</v>
  </rv>
  <rv s="1">
    <fb>0.130657628239573</fb>
    <v>24</v>
  </rv>
  <rv s="1">
    <fb>80.351771267255202</fb>
    <v>29</v>
  </rv>
  <rv s="1">
    <fb>1.46</fb>
    <v>30</v>
  </rv>
  <rv s="1">
    <fb>2827113184695.5801</fb>
    <v>31</v>
  </rv>
  <rv s="1">
    <fb>1.0115456</fb>
    <v>24</v>
  </rv>
  <rv s="1">
    <fb>0.59995569999999998</fb>
    <v>24</v>
  </rv>
  <rv s="2">
    <v>231</v>
    <v>22</v>
    <v>1169</v>
    <v>7</v>
    <v>0</v>
    <v>Image of United Kingdom</v>
  </rv>
  <rv s="1">
    <fb>3.6</fb>
    <v>29</v>
  </rv>
  <rv s="0">
    <v>805306368</v>
    <v>Rishi Sunak (Prime minister)</v>
    <v>79551c5d-075b-e493-70a2-f5b22a4876e1</v>
    <v>en-IN</v>
    <v>Generic</v>
  </rv>
  <rv s="3">
    <v>403</v>
  </rv>
  <rv s="4">
    <v>https://www.bing.com/search?q=united+kingdom&amp;form=skydnc</v>
    <v>Learn more on Bing</v>
  </rv>
  <rv s="1">
    <fb>81.256097560975604</fb>
    <v>29</v>
  </rv>
  <rv s="1">
    <fb>1868152970000</fb>
    <v>31</v>
  </rv>
  <rv s="1">
    <fb>10.130000000000001</fb>
    <v>30</v>
  </rv>
  <rv s="1">
    <fb>0.14794489889999998</fb>
    <v>24</v>
  </rv>
  <rv s="1">
    <fb>2.8117000000000001</fb>
    <v>26</v>
  </rv>
  <rv s="1">
    <fb>66971411</fb>
    <v>25</v>
  </rv>
  <rv s="1">
    <fb>0.26800000000000002</fb>
    <v>24</v>
  </rv>
  <rv s="1">
    <fb>0.62773998260497998</fb>
    <v>24</v>
  </rv>
  <rv s="0">
    <v>536870912</v>
    <v>England</v>
    <v>280d39e8-7217-6863-6980-a8c20c211c89</v>
    <v>en-IN</v>
    <v>Map</v>
  </rv>
  <rv s="0">
    <v>536870912</v>
    <v>Wales</v>
    <v>b51b24e1-6afb-d525-d360-f2eb5bf3410b</v>
    <v>en-IN</v>
    <v>Map</v>
  </rv>
  <rv s="0">
    <v>536870912</v>
    <v>Scotland</v>
    <v>a0377d96-1a18-f843-65ad-adcbc4acdc69</v>
    <v>en-IN</v>
    <v>Map</v>
  </rv>
  <rv s="0">
    <v>536870912</v>
    <v>Northern Ireland</v>
    <v>e4b8bc44-385c-e87b-bb7d-b32328f53502</v>
    <v>en-IN</v>
    <v>Map</v>
  </rv>
  <rv s="3">
    <v>404</v>
  </rv>
  <rv s="1">
    <fb>0.255052921600669</fb>
    <v>24</v>
  </rv>
  <rv s="3">
    <v>405</v>
  </rv>
  <rv s="1">
    <fb>0.30599999999999999</fb>
    <v>24</v>
  </rv>
  <rv s="1">
    <fb>3.8510000705719E-2</fb>
    <v>32</v>
  </rv>
  <rv s="1">
    <fb>55908316</fb>
    <v>25</v>
  </rv>
  <rv s="5">
    <v>#VALUE!</v>
    <v>en-IN</v>
    <v>b1a5155a-6bb2-4646-8f7c-3e6b3a53c831</v>
    <v>536870912</v>
    <v>1</v>
    <v>1172</v>
    <v>18</v>
    <v>United Kingdom</v>
    <v>20</v>
    <v>21</v>
    <v>Map</v>
    <v>22</v>
    <v>1173</v>
    <v>GB</v>
    <v>7577</v>
    <v>7578</v>
    <v>7579</v>
    <v>7580</v>
    <v>7581</v>
    <v>7582</v>
    <v>7583</v>
    <v>7584</v>
    <v>7585</v>
    <v>GBP</v>
    <v>The United Kingdom of Great Britain and Northern Ireland, commonly known as the United Kingdom or Britain, is an island country in Northwestern Europe, off the north-western coast of the continental mainland. It comprises of four countries – ...</v>
    <v>7586</v>
    <v>7587</v>
    <v>7588</v>
    <v>7589</v>
    <v>7590</v>
    <v>7591</v>
    <v>7592</v>
    <v>7593</v>
    <v>7594</v>
    <v>7595</v>
    <v>7582</v>
    <v>7597</v>
    <v>7598</v>
    <v>7599</v>
    <v>7600</v>
    <v>5604</v>
    <v>7601</v>
    <v>United Kingdom</v>
    <v>God Save the King</v>
    <v>1974</v>
    <v>United Kingdom of Great Britain and Northern Ireland</v>
    <v>7602</v>
    <v>7603</v>
    <v>7604</v>
    <v>329</v>
    <v>7605</v>
    <v>568</v>
    <v>142</v>
    <v>4705</v>
    <v>1851</v>
    <v>505</v>
    <v>7606</v>
    <v>7611</v>
    <v>7612</v>
    <v>7613</v>
    <v>7614</v>
    <v>7615</v>
    <v>United Kingdom</v>
    <v>7616</v>
    <v>mdp/vdpid/242</v>
  </rv>
  <rv s="0">
    <v>536870912</v>
    <v>Greater London</v>
    <v>2ba8a441-178c-f2c0-26cb-a4b260b8c806</v>
    <v>en-IN</v>
    <v>Map</v>
  </rv>
  <rv s="1">
    <fb>1572</fb>
    <v>25</v>
  </rv>
  <rv s="2">
    <v>232</v>
    <v>22</v>
    <v>1174</v>
    <v>7</v>
    <v>0</v>
    <v>Image of London</v>
  </rv>
  <rv s="1">
    <fb>51.507222222221998</fb>
    <v>37</v>
  </rv>
  <rv s="0">
    <v>805306368</v>
    <v>Sadiq Khan (Mayor)</v>
    <v>d7862dc2-4c03-1dc8-3412-7fe03041fdcb</v>
    <v>en-IN</v>
    <v>Generic</v>
  </rv>
  <rv s="3">
    <v>406</v>
  </rv>
  <rv s="4">
    <v>https://www.bing.com/search?q=london+england&amp;form=skydnc</v>
    <v>Learn more on Bing</v>
  </rv>
  <rv s="1">
    <fb>-0.1275</fb>
    <v>37</v>
  </rv>
  <rv s="1">
    <fb>8799728</fb>
    <v>25</v>
  </rv>
  <rv s="39">
    <v>#VALUE!</v>
    <v>en-IN</v>
    <v>8e0ba7b6-4225-fa8a-6369-1b5294e602a5</v>
    <v>536870912</v>
    <v>1</v>
    <v>1175</v>
    <v>273</v>
    <v>London</v>
    <v>20</v>
    <v>21</v>
    <v>Map</v>
    <v>22</v>
    <v>362</v>
    <v>7607</v>
    <v>7618</v>
    <v>7619</v>
    <v>450</v>
    <v>London is the capital and largest city of England and the United Kingdom, with a population of around 8.8 million. It stands on the River Thames in south-east England at the head of a 50-mile estuary down to the North Sea and has been a major ...</v>
    <v>7620</v>
    <v>7621</v>
    <v>7623</v>
    <v>7624</v>
    <v>7625</v>
    <v>London</v>
    <v>7626</v>
    <v>1622</v>
    <v>London</v>
    <v>mdp/vdpid/5471798185326280713</v>
  </rv>
  <rv s="2">
    <v>231</v>
    <v>22</v>
    <v>1169</v>
    <v>3</v>
    <v>0</v>
    <v>Image of United Kingdom</v>
  </rv>
  <rv s="8">
    <v>en-IN</v>
    <v>avymzr</v>
    <v>268435456</v>
    <v>1</v>
    <v>Powered by Refinitiv</v>
    <v>42</v>
    <v>USD/EGP</v>
    <v>43</v>
    <v>1176</v>
    <v>Finance</v>
    <v>45</v>
    <v>51.68</v>
    <v>47.33</v>
    <v>0.04</v>
    <v>8.4250000000000004E-4</v>
    <v>EGP</v>
    <v>USD</v>
    <v>47.52</v>
    <v>Currency Pair</v>
    <v>45957.216817129629</v>
    <v>47.55</v>
    <v>US Dollar/Egyptian Pound FX Spot Rate</v>
    <v>47.48</v>
    <v>47.48</v>
    <v>47.52</v>
    <v>USDEGP</v>
    <v>USD/EGP</v>
  </rv>
  <rv s="9">
    <v>7629</v>
  </rv>
  <rv s="0">
    <v>536870912</v>
    <v>United States</v>
    <v>5232ed96-85b1-2edb-12c6-63e6c597a1de</v>
    <v>en-IN</v>
    <v>Map</v>
  </rv>
  <rv s="1">
    <fb>0.44369067999501505</fb>
    <v>24</v>
  </rv>
  <rv s="1">
    <fb>9826675</fb>
    <v>25</v>
  </rv>
  <rv s="1">
    <fb>1359000</fb>
    <v>25</v>
  </rv>
  <rv s="1">
    <fb>11.6</fb>
    <v>26</v>
  </rv>
  <rv s="1">
    <fb>1</fb>
    <v>27</v>
  </rv>
  <rv s="0">
    <v>536870912</v>
    <v>Washington, D.C.</v>
    <v>216726d1-8987-06d3-5eff-823da05c3d3c</v>
    <v>en-IN</v>
    <v>Map</v>
  </rv>
  <rv s="1">
    <fb>5006302.0769999996</fb>
    <v>25</v>
  </rv>
  <rv s="1">
    <fb>117.244195476228</fb>
    <v>28</v>
  </rv>
  <rv s="1">
    <fb>12993.961824772699</fb>
    <v>25</v>
  </rv>
  <rv s="1">
    <fb>1.7295</fb>
    <v>26</v>
  </rv>
  <rv s="1">
    <fb>0.339297856663409</fb>
    <v>24</v>
  </rv>
  <rv s="1">
    <fb>82.427828245269197</fb>
    <v>29</v>
  </rv>
  <rv s="1">
    <fb>21427700000000</fb>
    <v>31</v>
  </rv>
  <rv s="1">
    <fb>1.0182144</fb>
    <v>24</v>
  </rv>
  <rv s="1">
    <fb>0.88167390000000001</fb>
    <v>24</v>
  </rv>
  <rv s="2">
    <v>233</v>
    <v>22</v>
    <v>1178</v>
    <v>7</v>
    <v>0</v>
    <v>Image of United States</v>
  </rv>
  <rv s="1">
    <fb>5.6</fb>
    <v>29</v>
  </rv>
  <rv s="0">
    <v>536870912</v>
    <v>New York City</v>
    <v>60d5dc2b-c915-460b-b722-c9e3485499ca</v>
    <v>en-IN</v>
    <v>Map</v>
  </rv>
  <rv s="0">
    <v>805306368</v>
    <v>Joe Biden (President)</v>
    <v>cad484f9-be75-7a78-12dd-16233f823cd7</v>
    <v>en-IN</v>
    <v>Generic</v>
  </rv>
  <rv s="0">
    <v>805306368</v>
    <v>Kamala Harris (Vice president)</v>
    <v>ef5cf66f-32b7-7271-286a-8e8313eda5c5</v>
    <v>en-IN</v>
    <v>Generic</v>
  </rv>
  <rv s="0">
    <v>805306368</v>
    <v>Kevin McCarthy (Speaker)</v>
    <v>deb3b1b0-ed4c-206d-2f27-d94f7f833250</v>
    <v>en-IN</v>
    <v>Generic</v>
  </rv>
  <rv s="0">
    <v>805306368</v>
    <v>John Roberts (Chief justice)</v>
    <v>af7f7f4b-fd5b-867d-e108-4b6ecf118076</v>
    <v>en-IN</v>
    <v>Generic</v>
  </rv>
  <rv s="3">
    <v>407</v>
  </rv>
  <rv s="4">
    <v>https://www.bing.com/search?q=united+states&amp;form=skydnc</v>
    <v>Learn more on Bing</v>
  </rv>
  <rv s="1">
    <fb>78.539024390243895</fb>
    <v>29</v>
  </rv>
  <rv s="1">
    <fb>30436313050000</fb>
    <v>31</v>
  </rv>
  <rv s="1">
    <fb>7.25</fb>
    <v>30</v>
  </rv>
  <rv s="1">
    <fb>0.1108387988</fb>
    <v>24</v>
  </rv>
  <rv s="1">
    <fb>2.6120000000000001</fb>
    <v>26</v>
  </rv>
  <rv s="1">
    <fb>331893745</fb>
    <v>25</v>
  </rv>
  <rv s="1">
    <fb>0.30499999999999999</fb>
    <v>24</v>
  </rv>
  <rv s="1">
    <fb>0.46799999999999997</fb>
    <v>24</v>
  </rv>
  <rv s="1">
    <fb>0.62048999786377002</fb>
    <v>24</v>
  </rv>
  <rv s="0">
    <v>536870912</v>
    <v>Alabama</v>
    <v>376f8b06-52f6-4e72-a31d-311a3563e645</v>
    <v>en-IN</v>
    <v>Map</v>
  </rv>
  <rv s="0">
    <v>536870912</v>
    <v>Arkansas</v>
    <v>b939db72-08f2-4ea6-a16a-a53bf32e6612</v>
    <v>en-IN</v>
    <v>Map</v>
  </rv>
  <rv s="0">
    <v>536870912</v>
    <v>California</v>
    <v>3009d91d-d582-4c34-85ba-772ba09e5be1</v>
    <v>en-IN</v>
    <v>Map</v>
  </rv>
  <rv s="0">
    <v>536870912</v>
    <v>Colorado</v>
    <v>a070c5c2-b22d-41d8-b869-f20e583c4f80</v>
    <v>en-IN</v>
    <v>Map</v>
  </rv>
  <rv s="0">
    <v>536870912</v>
    <v>Connecticut</v>
    <v>b3ca6523-435e-4a3b-8f78-1ad900a52cf8</v>
    <v>en-IN</v>
    <v>Map</v>
  </rv>
  <rv s="0">
    <v>536870912</v>
    <v>Florida</v>
    <v>5fece3f4-e8e8-4159-843e-f725a930ad50</v>
    <v>en-IN</v>
    <v>Map</v>
  </rv>
  <rv s="0">
    <v>536870912</v>
    <v>Georgia</v>
    <v>84604bc7-2c47-4f8d-8ea5-b6ac8c018a20</v>
    <v>en-IN</v>
    <v>Map</v>
  </rv>
  <rv s="0">
    <v>536870912</v>
    <v>Hawaii</v>
    <v>b6f01eaf-aecf-44f6-b64d-1f6e982365c3</v>
    <v>en-IN</v>
    <v>Map</v>
  </rv>
  <rv s="0">
    <v>536870912</v>
    <v>Idaho</v>
    <v>ecd30387-20fa-4523-9045-e2860154b5e9</v>
    <v>en-IN</v>
    <v>Map</v>
  </rv>
  <rv s="0">
    <v>536870912</v>
    <v>Illinois</v>
    <v>4131acb8-628a-4241-8920-ca79eab9dade</v>
    <v>en-IN</v>
    <v>Map</v>
  </rv>
  <rv s="0">
    <v>536870912</v>
    <v>Indiana</v>
    <v>109f7e5a-efbb-4953-b4b8-cb812ce1ff5d</v>
    <v>en-IN</v>
    <v>Map</v>
  </rv>
  <rv s="0">
    <v>536870912</v>
    <v>Iowa</v>
    <v>77850824-b07a-487a-af58-37f9949afc27</v>
    <v>en-IN</v>
    <v>Map</v>
  </rv>
  <rv s="0">
    <v>536870912</v>
    <v>Kansas</v>
    <v>6e527b71-bd3e-4bc1-b1c0-59d288b4fd5e</v>
    <v>en-IN</v>
    <v>Map</v>
  </rv>
  <rv s="0">
    <v>536870912</v>
    <v>Kentucky</v>
    <v>108dfd18-4626-481a-8dfa-18f64e6eac84</v>
    <v>en-IN</v>
    <v>Map</v>
  </rv>
  <rv s="0">
    <v>536870912</v>
    <v>Louisiana</v>
    <v>0ca1e87f-e2f6-43fb-8deb-d22bd09a9cae</v>
    <v>en-IN</v>
    <v>Map</v>
  </rv>
  <rv s="0">
    <v>536870912</v>
    <v>Maine</v>
    <v>d62dd683-9cf9-4db9-a497-d810d529592b</v>
    <v>en-IN</v>
    <v>Map</v>
  </rv>
  <rv s="0">
    <v>536870912</v>
    <v>Maryland</v>
    <v>4c472f4d-06a8-4d90-8bb8-da4d168c73fe</v>
    <v>en-IN</v>
    <v>Map</v>
  </rv>
  <rv s="0">
    <v>536870912</v>
    <v>Massachusetts</v>
    <v>845219d5-3650-4199-b926-964ca27c863c</v>
    <v>en-IN</v>
    <v>Map</v>
  </rv>
  <rv s="0">
    <v>536870912</v>
    <v>Michigan</v>
    <v>162411c2-b757-495d-aa81-93942fae2f7e</v>
    <v>en-IN</v>
    <v>Map</v>
  </rv>
  <rv s="0">
    <v>536870912</v>
    <v>Minnesota</v>
    <v>77f97f6f-7e93-46e5-b486-6198effe8dea</v>
    <v>en-IN</v>
    <v>Map</v>
  </rv>
  <rv s="0">
    <v>536870912</v>
    <v>Mississippi</v>
    <v>6af619ca-217d-49c0-9a86-153fc7fbcd78</v>
    <v>en-IN</v>
    <v>Map</v>
  </rv>
  <rv s="0">
    <v>536870912</v>
    <v>Missouri</v>
    <v>6185f8cb-44e1-4da6-9bf0-b75286aeb591</v>
    <v>en-IN</v>
    <v>Map</v>
  </rv>
  <rv s="0">
    <v>536870912</v>
    <v>Montana</v>
    <v>447d6cd5-53f6-4c8f-bf6c-9ff228415c3b</v>
    <v>en-IN</v>
    <v>Map</v>
  </rv>
  <rv s="0">
    <v>536870912</v>
    <v>Nebraska</v>
    <v>3e64ff5d-6b40-4dbe-91b1-0e554e892496</v>
    <v>en-IN</v>
    <v>Map</v>
  </rv>
  <rv s="0">
    <v>536870912</v>
    <v>Nevada</v>
    <v>c2157d7e-617e-4517-80f8-1b08113afc14</v>
    <v>en-IN</v>
    <v>Map</v>
  </rv>
  <rv s="0">
    <v>536870912</v>
    <v>New Hampshire</v>
    <v>9ca71997-cc97-46eb-8911-fac32f80b0b1</v>
    <v>en-IN</v>
    <v>Map</v>
  </rv>
  <rv s="0">
    <v>536870912</v>
    <v>New Jersey</v>
    <v>05277898-b62b-4878-8632-09d29756a2ff</v>
    <v>en-IN</v>
    <v>Map</v>
  </rv>
  <rv s="0">
    <v>536870912</v>
    <v>New Mexico</v>
    <v>a16d3636-4349-41c7-a77e-89e34b26a8ad</v>
    <v>en-IN</v>
    <v>Map</v>
  </rv>
  <rv s="0">
    <v>536870912</v>
    <v>New York</v>
    <v>caeb7b9a-f5d7-4686-8fb5-cf7628296b13</v>
    <v>en-IN</v>
    <v>Map</v>
  </rv>
  <rv s="0">
    <v>536870912</v>
    <v>North Carolina</v>
    <v>9e2bf053-dd80-4646-8f26-65075e7085c0</v>
    <v>en-IN</v>
    <v>Map</v>
  </rv>
  <rv s="0">
    <v>536870912</v>
    <v>North Dakota</v>
    <v>77fbc744-3efe-4aa9-9e8e-f8034f06b941</v>
    <v>en-IN</v>
    <v>Map</v>
  </rv>
  <rv s="0">
    <v>536870912</v>
    <v>Ohio</v>
    <v>6f3df7da-1ef6-48e3-b2b3-b5b5fce3e846</v>
    <v>en-IN</v>
    <v>Map</v>
  </rv>
  <rv s="0">
    <v>536870912</v>
    <v>Oklahoma</v>
    <v>cbcf556f-952a-4665-bb95-0500b27f9976</v>
    <v>en-IN</v>
    <v>Map</v>
  </rv>
  <rv s="0">
    <v>536870912</v>
    <v>Oregon</v>
    <v>cacd36fd-7c62-43e2-a632-64a2a1811933</v>
    <v>en-IN</v>
    <v>Map</v>
  </rv>
  <rv s="0">
    <v>536870912</v>
    <v>Pennsylvania</v>
    <v>6304580e-c803-4266-818a-971619176547</v>
    <v>en-IN</v>
    <v>Map</v>
  </rv>
  <rv s="0">
    <v>536870912</v>
    <v>Rhode Island</v>
    <v>65a08f52-b469-4f7c-8353-9b3c0b2a5752</v>
    <v>en-IN</v>
    <v>Map</v>
  </rv>
  <rv s="0">
    <v>536870912</v>
    <v>South Carolina</v>
    <v>810015e8-b10b-4232-9e2c-de87a67bd26e</v>
    <v>en-IN</v>
    <v>Map</v>
  </rv>
  <rv s="0">
    <v>536870912</v>
    <v>South Dakota</v>
    <v>9cee0b65-d357-479e-a066-31c634648f47</v>
    <v>en-IN</v>
    <v>Map</v>
  </rv>
  <rv s="0">
    <v>536870912</v>
    <v>Tennessee</v>
    <v>9bbc9c72-1bf1-4ef6-b66d-a6cdef70f4f3</v>
    <v>en-IN</v>
    <v>Map</v>
  </rv>
  <rv s="0">
    <v>536870912</v>
    <v>Texas</v>
    <v>00a23ccd-3344-461c-8b9f-c2bb55be5815</v>
    <v>en-IN</v>
    <v>Map</v>
  </rv>
  <rv s="0">
    <v>536870912</v>
    <v>Utah</v>
    <v>c6705e44-d27f-4240-95a2-54e802e3b524</v>
    <v>en-IN</v>
    <v>Map</v>
  </rv>
  <rv s="0">
    <v>536870912</v>
    <v>Vermont</v>
    <v>221864cc-447e-4e78-847c-59e485d73bff</v>
    <v>en-IN</v>
    <v>Map</v>
  </rv>
  <rv s="0">
    <v>536870912</v>
    <v>Virginia</v>
    <v>7eee9976-e8a7-472c-ada1-007208abd678</v>
    <v>en-IN</v>
    <v>Map</v>
  </rv>
  <rv s="0">
    <v>536870912</v>
    <v>Washington</v>
    <v>982ad551-fd5d-45df-bd70-bf704dd576e4</v>
    <v>en-IN</v>
    <v>Map</v>
  </rv>
  <rv s="0">
    <v>536870912</v>
    <v>West Virginia</v>
    <v>8a47255a-fae3-4faa-aa32-c6f384cb6c1d</v>
    <v>en-IN</v>
    <v>Map</v>
  </rv>
  <rv s="0">
    <v>536870912</v>
    <v>Wisconsin</v>
    <v>cb4d2853-06f4-4467-8e7c-4e31cbb35cb2</v>
    <v>en-IN</v>
    <v>Map</v>
  </rv>
  <rv s="0">
    <v>536870912</v>
    <v>Wyoming</v>
    <v>bff03ad6-2b7f-400b-a76e-eb9fc4a93961</v>
    <v>en-IN</v>
    <v>Map</v>
  </rv>
  <rv s="0">
    <v>536870912</v>
    <v>American Samoa</v>
    <v>12d04d63-b9b5-855b-0821-b32474a729a4</v>
    <v>en-IN</v>
    <v>Map</v>
  </rv>
  <rv s="0">
    <v>536870912</v>
    <v>Guam</v>
    <v>f842c067-b461-3084-6a3b-6c6c7431fc9a</v>
    <v>en-IN</v>
    <v>Map</v>
  </rv>
  <rv s="0">
    <v>536870912</v>
    <v>Northern Mariana Islands</v>
    <v>f4475436-adda-9ff0-b5fe-6c3dff0e26be</v>
    <v>en-IN</v>
    <v>Map</v>
  </rv>
  <rv s="0">
    <v>536870912</v>
    <v>Puerto Rico</v>
    <v>72752f4d-11d3-5470-b64e-b9e012b0520f</v>
    <v>en-IN</v>
    <v>Map</v>
  </rv>
  <rv s="0">
    <v>536870912</v>
    <v>United States Virgin Islands</v>
    <v>38bd827b-bc00-140e-85be-46a96078429c</v>
    <v>en-IN</v>
    <v>Map</v>
  </rv>
  <rv s="0">
    <v>536870912</v>
    <v>Alaska</v>
    <v>31c4c7a1-54e7-4306-ac9b-f1b02e85bda5</v>
    <v>en-IN</v>
    <v>Map</v>
  </rv>
  <rv s="0">
    <v>536870912</v>
    <v>Arizona</v>
    <v>bf973f46-5962-4997-a7ba-a05f1aa2a9f9</v>
    <v>en-IN</v>
    <v>Map</v>
  </rv>
  <rv s="0">
    <v>536870912</v>
    <v>Delaware</v>
    <v>8ad617cc-3d7a-4b3c-a787-098de959ccc4</v>
    <v>en-IN</v>
    <v>Map</v>
  </rv>
  <rv s="3">
    <v>408</v>
  </rv>
  <rv s="1">
    <fb>9.5866513904898809E-2</fb>
    <v>24</v>
  </rv>
  <rv s="3">
    <v>409</v>
  </rv>
  <rv s="1">
    <fb>0.14699999999999999</fb>
    <v>32</v>
  </rv>
  <rv s="1">
    <fb>270663028</fb>
    <v>25</v>
  </rv>
  <rv s="5">
    <v>#VALUE!</v>
    <v>en-IN</v>
    <v>5232ed96-85b1-2edb-12c6-63e6c597a1de</v>
    <v>536870912</v>
    <v>1</v>
    <v>1181</v>
    <v>18</v>
    <v>United States</v>
    <v>20</v>
    <v>21</v>
    <v>Map</v>
    <v>22</v>
    <v>1182</v>
    <v>US</v>
    <v>7632</v>
    <v>7633</v>
    <v>7634</v>
    <v>7635</v>
    <v>7636</v>
    <v>7637</v>
    <v>7638</v>
    <v>7639</v>
    <v>2360</v>
    <v>USD</v>
    <v>The United States of America, commonly known as the United States or America, is a country primarily located in North America. It is a federation of 50 states, a federal capital district, and 326 Indian reservations. Outside the union of states, ...</v>
    <v>7640</v>
    <v>7641</v>
    <v>7642</v>
    <v>7643</v>
    <v>6587</v>
    <v>7644</v>
    <v>7645</v>
    <v>7646</v>
    <v>7647</v>
    <v>7648</v>
    <v>7649</v>
    <v>7654</v>
    <v>7655</v>
    <v>7656</v>
    <v>7657</v>
    <v>1302</v>
    <v>7658</v>
    <v>United States</v>
    <v>The Star-Spangled Banner</v>
    <v>1974</v>
    <v>the United States of America</v>
    <v>7659</v>
    <v>7660</v>
    <v>7661</v>
    <v>1519</v>
    <v>7662</v>
    <v>7663</v>
    <v>1522</v>
    <v>503</v>
    <v>240</v>
    <v>1237</v>
    <v>7664</v>
    <v>7720</v>
    <v>7721</v>
    <v>7722</v>
    <v>5348</v>
    <v>7723</v>
    <v>United States</v>
    <v>7724</v>
    <v>mdp/vdpid/244</v>
  </rv>
  <rv s="1">
    <fb>177</fb>
    <v>25</v>
  </rv>
  <rv s="1">
    <fb>4690</fb>
    <v>25</v>
  </rv>
  <rv s="0">
    <v>536870912</v>
    <v>United States of America</v>
    <v>5232ed96-85b1-2edb-12c6-63e6c597a1de</v>
    <v>en-IN</v>
    <v>Map</v>
  </rv>
  <rv s="1">
    <fb>273390</fb>
    <v>25</v>
  </rv>
  <rv s="1">
    <fb>313718</fb>
    <v>25</v>
  </rv>
  <rv s="2">
    <v>234</v>
    <v>22</v>
    <v>1183</v>
    <v>7</v>
    <v>0</v>
    <v>Image of Washington, D.C.</v>
  </rv>
  <rv s="0">
    <v>805306368</v>
    <v>Muriel Bowser (Mayor)</v>
    <v>ba0efeff-89d3-9653-396a-5cc380b1d241</v>
    <v>en-IN</v>
    <v>Generic</v>
  </rv>
  <rv s="3">
    <v>410</v>
  </rv>
  <rv s="4">
    <v>https://www.bing.com/search?q=washington%2c+d.c.&amp;form=skydnc</v>
    <v>Learn more on Bing</v>
  </rv>
  <rv s="1">
    <fb>1327</fb>
    <v>31</v>
  </rv>
  <rv s="1">
    <fb>70848</fb>
    <v>31</v>
  </rv>
  <rv s="1">
    <fb>475800</fb>
    <v>31</v>
  </rv>
  <rv s="1">
    <fb>2.2200000000000002</fb>
    <v>26</v>
  </rv>
  <rv s="1">
    <fb>689545</fb>
    <v>25</v>
  </rv>
  <rv s="1">
    <fb>6.0000000000000001E-3</fb>
    <v>1189</v>
  </rv>
  <rv s="1">
    <fb>0.54600000000000004</fb>
    <v>24</v>
  </rv>
  <rv s="1">
    <fb>0.89300000000000002</fb>
    <v>24</v>
  </rv>
  <rv s="1">
    <fb>0.68299999999999994</fb>
    <v>24</v>
  </rv>
  <rv s="1">
    <fb>2E-3</fb>
    <v>24</v>
  </rv>
  <rv s="1">
    <fb>0.441</fb>
    <v>24</v>
  </rv>
  <rv s="3">
    <v>411</v>
  </rv>
  <rv s="103">
    <v>#VALUE!</v>
    <v>en-IN</v>
    <v>216726d1-8987-06d3-5eff-823da05c3d3c</v>
    <v>536870912</v>
    <v>1</v>
    <v>1186</v>
    <v>1187</v>
    <v>Washington, D.C.</v>
    <v>20</v>
    <v>21</v>
    <v>Map</v>
    <v>22</v>
    <v>1188</v>
    <v>US-DC</v>
    <v>7726</v>
    <v>7727</v>
    <v>7728</v>
    <v>Washington, D.C., formally the District of Columbia and commonly called Washington or D.C., is the capital city and the federal district of the United States. The city is located on the east bank of the Potomac River, which forms its ...</v>
    <v>7729</v>
    <v>7730</v>
    <v>7731</v>
    <v>7733</v>
    <v>7734</v>
    <v>7735</v>
    <v>7736</v>
    <v>7737</v>
    <v>Washington, D.C.</v>
    <v>7738</v>
    <v>7739</v>
    <v>652</v>
    <v>1236</v>
    <v>7740</v>
    <v>2969</v>
    <v>7741</v>
    <v>4300</v>
    <v>1919</v>
    <v>7742</v>
    <v>504</v>
    <v>7743</v>
    <v>7744</v>
    <v>2104</v>
    <v>2891</v>
    <v>2238</v>
    <v>1980</v>
    <v>7745</v>
    <v>7746</v>
    <v>Washington, D.C.</v>
    <v>mdp/vdpid/9130</v>
  </rv>
  <rv s="1">
    <fb>1213.369839</fb>
    <v>25</v>
  </rv>
  <rv s="2">
    <v>235</v>
    <v>22</v>
    <v>1190</v>
    <v>7</v>
    <v>0</v>
    <v>Image of New York City</v>
  </rv>
  <rv s="1">
    <fb>40.700000000000003</fb>
    <v>37</v>
  </rv>
  <rv s="0">
    <v>805306368</v>
    <v>Eric Adams (Mayor)</v>
    <v>d104f492-36f0-3246-f9f7-c35dae370b2c</v>
    <v>en-IN</v>
    <v>Generic</v>
  </rv>
  <rv s="3">
    <v>412</v>
  </rv>
  <rv s="4">
    <v>https://www.bing.com/search?q=new+york+city&amp;form=skydnc</v>
    <v>Learn more on Bing</v>
  </rv>
  <rv s="1">
    <fb>-74</fb>
    <v>37</v>
  </rv>
  <rv s="1">
    <fb>8804190</fb>
    <v>25</v>
  </rv>
  <rv s="24">
    <v>#VALUE!</v>
    <v>en-IN</v>
    <v>60d5dc2b-c915-460b-b722-c9e3485499ca</v>
    <v>536870912</v>
    <v>1</v>
    <v>1191</v>
    <v>152</v>
    <v>New York City</v>
    <v>20</v>
    <v>21</v>
    <v>Map</v>
    <v>22</v>
    <v>189</v>
    <v>7693</v>
    <v>7748</v>
    <v>7728</v>
    <v>New York, often called New York City or NYC, is the most populous city in the United States. With a 2020 population of 8,804,190 distributed over 300.46 square miles, the city is the most densely populated major city in the United States. NYC is ...</v>
    <v>7749</v>
    <v>7750</v>
    <v>7752</v>
    <v>7753</v>
    <v>7754</v>
    <v>New York City</v>
    <v>7755</v>
    <v>7746</v>
    <v>New York City</v>
    <v>mdp/vdpid/5487505297524129794</v>
  </rv>
  <rv s="2">
    <v>233</v>
    <v>22</v>
    <v>1178</v>
    <v>3</v>
    <v>0</v>
    <v>Image of United States</v>
  </rv>
  <rv s="8">
    <v>en-IN</v>
    <v>av868m</v>
    <v>268435456</v>
    <v>1</v>
    <v>Powered by Refinitiv</v>
    <v>42</v>
    <v>EGP/USD</v>
    <v>43</v>
    <v>62</v>
    <v>Finance</v>
    <v>45</v>
    <v>2.1080000000000002E-2</v>
    <v>1.932E-2</v>
    <v>-2.0000000000000002E-5</v>
    <v>-9.5149999999999998E-4</v>
    <v>USD</v>
    <v>EGP</v>
    <v>2.103E-2</v>
    <v>Currency Pair</v>
    <v>45957.216817129629</v>
    <v>2.104E-2</v>
    <v>Egyptian Pound/US Dollar FX Cross Rate</v>
    <v>2.102E-2</v>
    <v>2.102E-2</v>
    <v>2.1000000000000001E-2</v>
    <v>EGPUSD</v>
    <v>EGP/USD</v>
  </rv>
  <rv s="9">
    <v>7758</v>
  </rv>
  <rv s="0">
    <v>536870912</v>
    <v>Uruguay</v>
    <v>4d1c354d-d080-b633-86bc-0bad862c8cc1</v>
    <v>en-IN</v>
    <v>Map</v>
  </rv>
  <rv s="1">
    <fb>0.82559705230116509</fb>
    <v>24</v>
  </rv>
  <rv s="1">
    <fb>176215</fb>
    <v>25</v>
  </rv>
  <rv s="1">
    <fb>13.856999999999999</fb>
    <v>26</v>
  </rv>
  <rv s="1">
    <fb>598</fb>
    <v>27</v>
  </rv>
  <rv s="0">
    <v>536870912</v>
    <v>Montevideo</v>
    <v>6f057c0a-9767-4c6b-b46f-6095e75df6ce</v>
    <v>en-IN</v>
    <v>Map</v>
  </rv>
  <rv s="1">
    <fb>6765.6149999999998</fb>
    <v>25</v>
  </rv>
  <rv s="1">
    <fb>202.92198338614401</fb>
    <v>28</v>
  </rv>
  <rv s="1">
    <fb>7.8819887087962198E-2</fb>
    <v>24</v>
  </rv>
  <rv s="1">
    <fb>3085.1944193006002</fb>
    <v>25</v>
  </rv>
  <rv s="1">
    <fb>1.9730000000000001</fb>
    <v>26</v>
  </rv>
  <rv s="1">
    <fb>0.106715803350153</fb>
    <v>24</v>
  </rv>
  <rv s="1">
    <fb>46.270307888488801</fb>
    <v>29</v>
  </rv>
  <rv s="1">
    <fb>1.5</fb>
    <v>30</v>
  </rv>
  <rv s="1">
    <fb>56045912952.342003</fb>
    <v>31</v>
  </rv>
  <rv s="1">
    <fb>1.0845944000000001</fb>
    <v>24</v>
  </rv>
  <rv s="1">
    <fb>0.63125770000000003</fb>
    <v>24</v>
  </rv>
  <rv s="2">
    <v>236</v>
    <v>22</v>
    <v>1193</v>
    <v>7</v>
    <v>0</v>
    <v>Image of Uruguay</v>
  </rv>
  <rv s="0">
    <v>805306368</v>
    <v>Luis Lacalle Pou (President)</v>
    <v>45b12faf-c863-9c49-f448-8d6570636f58</v>
    <v>en-IN</v>
    <v>Generic</v>
  </rv>
  <rv s="0">
    <v>805306368</v>
    <v>Beatriz Argimón (Vice president)</v>
    <v>fdad8b43-7954-7971-e1d7-65aea1df14f9</v>
    <v>en-IN</v>
    <v>Generic</v>
  </rv>
  <rv s="3">
    <v>413</v>
  </rv>
  <rv s="4">
    <v>https://www.bing.com/search?q=uruguay&amp;form=skydnc</v>
    <v>Learn more on Bing</v>
  </rv>
  <rv s="1">
    <fb>77.77</fb>
    <v>29</v>
  </rv>
  <rv s="1">
    <fb>283800000</fb>
    <v>31</v>
  </rv>
  <rv s="1">
    <fb>1.66</fb>
    <v>30</v>
  </rv>
  <rv s="3">
    <v>414</v>
  </rv>
  <rv s="1">
    <fb>0.16191438689999998</fb>
    <v>24</v>
  </rv>
  <rv s="1">
    <fb>5.0499000000000001</fb>
    <v>26</v>
  </rv>
  <rv s="1">
    <fb>3422794</fb>
    <v>25</v>
  </rv>
  <rv s="1">
    <fb>0.10400000000000001</fb>
    <v>24</v>
  </rv>
  <rv s="1">
    <fb>0.64021003723144498</fb>
    <v>24</v>
  </rv>
  <rv s="0">
    <v>536870912</v>
    <v>Artigas Department</v>
    <v>fba8474e-01a4-b560-b9db-3632789d7418</v>
    <v>en-IN</v>
    <v>Map</v>
  </rv>
  <rv s="0">
    <v>536870912</v>
    <v>Canelones Department</v>
    <v>47a6cb77-1084-cc26-db7c-3a31f25cad6c</v>
    <v>en-IN</v>
    <v>Map</v>
  </rv>
  <rv s="0">
    <v>536870912</v>
    <v>Cerro Largo Department</v>
    <v>17cbef99-9025-55af-1bf6-693b24e4cbf8</v>
    <v>en-IN</v>
    <v>Map</v>
  </rv>
  <rv s="0">
    <v>536870912</v>
    <v>Colonia Department</v>
    <v>794441ed-35f5-6a38-65fe-1bd820a78487</v>
    <v>en-IN</v>
    <v>Map</v>
  </rv>
  <rv s="0">
    <v>536870912</v>
    <v>Durazno Department</v>
    <v>812de676-d0a2-23e3-f7e6-3e002da3a2ca</v>
    <v>en-IN</v>
    <v>Map</v>
  </rv>
  <rv s="0">
    <v>536870912</v>
    <v>Flores Department</v>
    <v>8744bd18-02b9-d69c-5205-c77980587fa8</v>
    <v>en-IN</v>
    <v>Map</v>
  </rv>
  <rv s="0">
    <v>536870912</v>
    <v>Florida Department</v>
    <v>ea047b14-8780-2d2b-754d-7fb89f334f00</v>
    <v>en-IN</v>
    <v>Map</v>
  </rv>
  <rv s="0">
    <v>536870912</v>
    <v>Lavalleja Department</v>
    <v>10d28e4e-b416-05ae-493b-27e45db3a2a5</v>
    <v>en-IN</v>
    <v>Map</v>
  </rv>
  <rv s="0">
    <v>536870912</v>
    <v>Maldonado Department</v>
    <v>bc35c120-ecdd-02db-b583-d31b4a2752db</v>
    <v>en-IN</v>
    <v>Map</v>
  </rv>
  <rv s="0">
    <v>536870912</v>
    <v>Montevideo Department</v>
    <v>b91bb4e2-7350-50c2-c5ec-7a29179101c8</v>
    <v>en-IN</v>
    <v>Map</v>
  </rv>
  <rv s="0">
    <v>536870912</v>
    <v>Paysandú Department</v>
    <v>62ccb945-3081-60ca-acbc-2879d5666afa</v>
    <v>en-IN</v>
    <v>Map</v>
  </rv>
  <rv s="0">
    <v>536870912</v>
    <v>Río Negro Department</v>
    <v>c51cdc11-8d24-b6c6-218e-1bf15937ed9f</v>
    <v>en-IN</v>
    <v>Map</v>
  </rv>
  <rv s="0">
    <v>536870912</v>
    <v>Rivera Department</v>
    <v>93dab529-8b73-8eaa-840b-3bfd75594642</v>
    <v>en-IN</v>
    <v>Map</v>
  </rv>
  <rv s="0">
    <v>536870912</v>
    <v>Rocha Department</v>
    <v>6ec9f1ef-cd41-1cd6-4b5b-098fdf2c9a42</v>
    <v>en-IN</v>
    <v>Map</v>
  </rv>
  <rv s="0">
    <v>536870912</v>
    <v>Salto Department</v>
    <v>03610b7b-013c-0ee8-410e-862a629b2ea6</v>
    <v>en-IN</v>
    <v>Map</v>
  </rv>
  <rv s="0">
    <v>536870912</v>
    <v>San José Department</v>
    <v>430941cb-a24d-6855-7fd1-c2de5e0eafb0</v>
    <v>en-IN</v>
    <v>Map</v>
  </rv>
  <rv s="0">
    <v>536870912</v>
    <v>Soriano Department</v>
    <v>20c5f360-f062-1dba-7326-b35033e2d45b</v>
    <v>en-IN</v>
    <v>Map</v>
  </rv>
  <rv s="0">
    <v>536870912</v>
    <v>Tacuarembó Department</v>
    <v>3d3ab1e0-e4dd-a712-e9ed-4e8019c73c8b</v>
    <v>en-IN</v>
    <v>Map</v>
  </rv>
  <rv s="0">
    <v>536870912</v>
    <v>Treinta y Tres Department</v>
    <v>ce5de2e0-0829-6413-4cfe-22c8fb1f8bb1</v>
    <v>en-IN</v>
    <v>Map</v>
  </rv>
  <rv s="3">
    <v>415</v>
  </rv>
  <rv s="1">
    <fb>0.20091963021411099</fb>
    <v>24</v>
  </rv>
  <rv s="1">
    <fb>8.7309999465942395E-2</fb>
    <v>32</v>
  </rv>
  <rv s="1">
    <fb>3303394</fb>
    <v>25</v>
  </rv>
  <rv s="19">
    <v>#VALUE!</v>
    <v>en-IN</v>
    <v>4d1c354d-d080-b633-86bc-0bad862c8cc1</v>
    <v>536870912</v>
    <v>1</v>
    <v>1196</v>
    <v>105</v>
    <v>Uruguay</v>
    <v>20</v>
    <v>21</v>
    <v>Map</v>
    <v>22</v>
    <v>1197</v>
    <v>UY</v>
    <v>7761</v>
    <v>7762</v>
    <v>1889</v>
    <v>7763</v>
    <v>7764</v>
    <v>7765</v>
    <v>7766</v>
    <v>7767</v>
    <v>7768</v>
    <v>UYU</v>
    <v>Uruguay, officially the Oriental Republic of Uruguay or the Republic East of the Uruguay, is a country in South America. It shares borders with Argentina to its west and southwest and Brazil to its north and northeast, while bordering the Río de ...</v>
    <v>7769</v>
    <v>7770</v>
    <v>7771</v>
    <v>7772</v>
    <v>7773</v>
    <v>7774</v>
    <v>7775</v>
    <v>7776</v>
    <v>7777</v>
    <v>1446</v>
    <v>7765</v>
    <v>7780</v>
    <v>7781</v>
    <v>7782</v>
    <v>7783</v>
    <v>4698</v>
    <v>7784</v>
    <v>Uruguay</v>
    <v>National Anthem of Uruguay</v>
    <v>7785</v>
    <v>Repúbilca Oriental del Uruguay</v>
    <v>7786</v>
    <v>7787</v>
    <v>7788</v>
    <v>329</v>
    <v>2568</v>
    <v>6971</v>
    <v>238</v>
    <v>239</v>
    <v>7789</v>
    <v>1237</v>
    <v>7790</v>
    <v>7810</v>
    <v>7811</v>
    <v>3232</v>
    <v>7812</v>
    <v>Uruguay</v>
    <v>7813</v>
    <v>mdp/vdpid/246</v>
  </rv>
  <rv s="2">
    <v>237</v>
    <v>22</v>
    <v>1198</v>
    <v>7</v>
    <v>0</v>
    <v>Image of Montevideo</v>
  </rv>
  <rv s="1">
    <fb>-34.866666666666703</fb>
    <v>37</v>
  </rv>
  <rv s="4">
    <v>https://www.bing.com/search?q=montevideo&amp;form=skydnc</v>
    <v>Learn more on Bing</v>
  </rv>
  <rv s="1">
    <fb>-56.1666666666667</fb>
    <v>37</v>
  </rv>
  <rv s="1">
    <fb>1319108</fb>
    <v>25</v>
  </rv>
  <rv s="29">
    <v>#VALUE!</v>
    <v>en-IN</v>
    <v>6f057c0a-9767-4c6b-b46f-6095e75df6ce</v>
    <v>536870912</v>
    <v>1</v>
    <v>1199</v>
    <v>188</v>
    <v>Montevideo</v>
    <v>20</v>
    <v>21</v>
    <v>Map</v>
    <v>22</v>
    <v>36</v>
    <v>7800</v>
    <v>4849</v>
    <v>7760</v>
    <v>Montevideo is the capital and largest city of Uruguay. According to the 2011 census, the city proper has a population of 1,319,108 in an area of 201 square kilometers. Montevideo is situated on the southern coast of the country, on the ...</v>
    <v>7815</v>
    <v>7816</v>
    <v>7817</v>
    <v>7818</v>
    <v>Montevideo</v>
    <v>7819</v>
    <v>Montevideo</v>
    <v>mdp/vdpid/6476264763050426386</v>
  </rv>
  <rv s="2">
    <v>236</v>
    <v>22</v>
    <v>1193</v>
    <v>3</v>
    <v>0</v>
    <v>Image of Uruguay</v>
  </rv>
  <rv s="59">
    <v>en-IN</v>
    <v>avykbh</v>
    <v>268435456</v>
    <v>1</v>
    <v>Powered by Refinitiv</v>
    <v>511</v>
    <v>USD/ARS</v>
    <v>43</v>
    <v>1200</v>
    <v>Finance</v>
    <v>45</v>
    <v>1492</v>
    <v>983</v>
    <v>0</v>
    <v>0</v>
    <v>ARS</v>
    <v>USD</v>
    <v>Currency Pair</v>
    <v>45954.750428240739</v>
    <v>US Dollar/Argentine Peso FX Spot Rate</v>
    <v>1491.5</v>
    <v>1491.5</v>
    <v>USDARS</v>
    <v>USD/ARS</v>
  </rv>
  <rv s="9">
    <v>7822</v>
  </rv>
  <rv s="0">
    <v>536870912</v>
    <v>Uzbekistan</v>
    <v>fbaefa3b-5942-368c-9138-b177b90efb38</v>
    <v>en-IN</v>
    <v>Map</v>
  </rv>
  <rv s="1">
    <fb>0.62929007992477703</fb>
    <v>24</v>
  </rv>
  <rv s="1">
    <fb>448978</fb>
    <v>25</v>
  </rv>
  <rv s="1">
    <fb>68000</fb>
    <v>25</v>
  </rv>
  <rv s="1">
    <fb>23.3</fb>
    <v>26</v>
  </rv>
  <rv s="1">
    <fb>998</fb>
    <v>27</v>
  </rv>
  <rv s="0">
    <v>536870912</v>
    <v>Tashkent</v>
    <v>9a082910-0210-882c-d498-45343d7316df</v>
    <v>en-IN</v>
    <v>Map</v>
  </rv>
  <rv s="1">
    <fb>91810.679000000004</fb>
    <v>25</v>
  </rv>
  <rv s="1">
    <fb>1645.44162925056</fb>
    <v>25</v>
  </rv>
  <rv s="1">
    <fb>2.419</fb>
    <v>26</v>
  </rv>
  <rv s="1">
    <fb>7.5429713899785603E-2</fb>
    <v>24</v>
  </rv>
  <rv s="1">
    <fb>97.738499471809007</fb>
    <v>29</v>
  </rv>
  <rv s="1">
    <fb>1.03</fb>
    <v>30</v>
  </rv>
  <rv s="1">
    <fb>57921286440.349503</fb>
    <v>31</v>
  </rv>
  <rv s="1">
    <fb>1.0423298000000001</fb>
    <v>24</v>
  </rv>
  <rv s="1">
    <fb>0.10076349999999999</fb>
    <v>24</v>
  </rv>
  <rv s="2">
    <v>238</v>
    <v>22</v>
    <v>1202</v>
    <v>7</v>
    <v>0</v>
    <v>Image of Uzbekistan</v>
  </rv>
  <rv s="1">
    <fb>19.100000000000001</fb>
    <v>29</v>
  </rv>
  <rv s="0">
    <v>805306368</v>
    <v>Shavkat Mirziyoyev (President)</v>
    <v>c5895c46-c1eb-feb7-57fb-304e2233b324</v>
    <v>en-IN</v>
    <v>Generic</v>
  </rv>
  <rv s="0">
    <v>805306368</v>
    <v>Abdulla Aripov (Prime minister)</v>
    <v>7f535ca8-4a0d-d432-d298-301940dec034</v>
    <v>en-IN</v>
    <v>Generic</v>
  </rv>
  <rv s="3">
    <v>416</v>
  </rv>
  <rv s="4">
    <v>https://www.bing.com/search?q=uzbekistan&amp;form=skydnc</v>
    <v>Learn more on Bing</v>
  </rv>
  <rv s="1">
    <fb>71.572999999999993</fb>
    <v>29</v>
  </rv>
  <rv s="3">
    <v>417</v>
  </rv>
  <rv s="1">
    <fb>0.42732442009999999</fb>
    <v>24</v>
  </rv>
  <rv s="1">
    <fb>2.3685</fb>
    <v>26</v>
  </rv>
  <rv s="1">
    <fb>35648100</fb>
    <v>25</v>
  </rv>
  <rv s="1">
    <fb>0.28300000000000003</fb>
    <v>24</v>
  </rv>
  <rv s="1">
    <fb>0.434</fb>
    <v>24</v>
  </rv>
  <rv s="1">
    <fb>0.65059997558593807</fb>
    <v>24</v>
  </rv>
  <rv s="0">
    <v>536870912</v>
    <v>Karakalpakstan</v>
    <v>74032845-b5fe-a4aa-b67a-8c6da7831a09</v>
    <v>en-IN</v>
    <v>Map</v>
  </rv>
  <rv s="0">
    <v>536870912</v>
    <v>Andijan Region</v>
    <v>0662f365-28c1-fd4d-9a45-18c6d874b47e</v>
    <v>en-IN</v>
    <v>Map</v>
  </rv>
  <rv s="0">
    <v>536870912</v>
    <v>Bukhara Region</v>
    <v>60d752ad-a68b-3f13-2d20-39bc59fb4576</v>
    <v>en-IN</v>
    <v>Map</v>
  </rv>
  <rv s="0">
    <v>536870912</v>
    <v>Fergana Region</v>
    <v>0de78b83-1d6e-1a10-7ac4-27ab5d66aeab</v>
    <v>en-IN</v>
    <v>Map</v>
  </rv>
  <rv s="0">
    <v>536870912</v>
    <v>Jizzakh Region</v>
    <v>e37d88f2-caf4-58e7-6a43-846282d60e03</v>
    <v>en-IN</v>
    <v>Map</v>
  </rv>
  <rv s="0">
    <v>536870912</v>
    <v>Namangan Region</v>
    <v>1b1e8b72-a5b9-d4f2-81a6-958b035e5f9a</v>
    <v>en-IN</v>
    <v>Map</v>
  </rv>
  <rv s="0">
    <v>536870912</v>
    <v>Navoiy Region</v>
    <v>025059a8-cfea-d967-a8a8-5adf17313efe</v>
    <v>en-IN</v>
    <v>Map</v>
  </rv>
  <rv s="0">
    <v>536870912</v>
    <v>Qashqadaryo Region</v>
    <v>cee568ae-ba49-3c1d-e6c6-fcbc96807e20</v>
    <v>en-IN</v>
    <v>Map</v>
  </rv>
  <rv s="0">
    <v>536870912</v>
    <v>Samarqand Region</v>
    <v>55d0a29b-c35d-5a5b-dc3c-6e8c07ed6993</v>
    <v>en-IN</v>
    <v>Map</v>
  </rv>
  <rv s="0">
    <v>536870912</v>
    <v>Sirdaryo Region</v>
    <v>da57c295-298d-d098-7553-ef3bd9c4d156</v>
    <v>en-IN</v>
    <v>Map</v>
  </rv>
  <rv s="0">
    <v>536870912</v>
    <v>Surxondaryo Region</v>
    <v>de4d3b5b-9633-41e7-8b54-e0053a803788</v>
    <v>en-IN</v>
    <v>Map</v>
  </rv>
  <rv s="0">
    <v>536870912</v>
    <v>Tashkent Region</v>
    <v>6019235b-571e-e048-fc80-195cec8e6cc7</v>
    <v>en-IN</v>
    <v>Map</v>
  </rv>
  <rv s="0">
    <v>536870912</v>
    <v>Khorazm Region</v>
    <v>1a369522-72bb-2b2b-412f-fccf0c7578c3</v>
    <v>en-IN</v>
    <v>Map</v>
  </rv>
  <rv s="3">
    <v>418</v>
  </rv>
  <rv s="1">
    <fb>0.14755695573088201</fb>
    <v>24</v>
  </rv>
  <rv s="1">
    <fb>5.9169998168945304E-2</fb>
    <v>32</v>
  </rv>
  <rv s="1">
    <fb>16935729</fb>
    <v>25</v>
  </rv>
  <rv s="104">
    <v>#VALUE!</v>
    <v>en-IN</v>
    <v>fbaefa3b-5942-368c-9138-b177b90efb38</v>
    <v>536870912</v>
    <v>1</v>
    <v>1205</v>
    <v>1206</v>
    <v>Uzbekistan</v>
    <v>20</v>
    <v>21</v>
    <v>Map</v>
    <v>22</v>
    <v>1207</v>
    <v>UZ</v>
    <v>7825</v>
    <v>7826</v>
    <v>7827</v>
    <v>7828</v>
    <v>7829</v>
    <v>7830</v>
    <v>7831</v>
    <v>UZS</v>
    <v>Uzbekistan, officially the Republic of Uzbekistan, is a doubly landlocked country located in Central Asia. It is surrounded by five landlocked countries: Kazakhstan to the north; Kyrgyzstan to the northeast; Tajikistan to the southeast; ...</v>
    <v>7832</v>
    <v>7833</v>
    <v>7834</v>
    <v>7835</v>
    <v>7836</v>
    <v>7837</v>
    <v>7838</v>
    <v>7839</v>
    <v>7840</v>
    <v>7841</v>
    <v>7830</v>
    <v>7844</v>
    <v>7845</v>
    <v>7846</v>
    <v>1452</v>
    <v>5177</v>
    <v>Uzbekistan</v>
    <v>National Anthem of Uzbekistan</v>
    <v>7847</v>
    <v>République d’Ouzbékistan</v>
    <v>7848</v>
    <v>7849</v>
    <v>7850</v>
    <v>4703</v>
    <v>7851</v>
    <v>7852</v>
    <v>709</v>
    <v>4503</v>
    <v>570</v>
    <v>818</v>
    <v>7853</v>
    <v>7867</v>
    <v>7868</v>
    <v>964</v>
    <v>7869</v>
    <v>Uzbekistan</v>
    <v>7870</v>
    <v>mdp/vdpid/247</v>
  </rv>
  <rv s="1">
    <fb>334.8</fb>
    <v>25</v>
  </rv>
  <rv s="2">
    <v>239</v>
    <v>22</v>
    <v>1208</v>
    <v>7</v>
    <v>0</v>
    <v>Image of Tashkent</v>
  </rv>
  <rv s="4">
    <v>https://www.bing.com/search?q=tashkent&amp;form=skydnc</v>
    <v>Learn more on Bing</v>
  </rv>
  <rv s="1">
    <fb>2956384</fb>
    <v>25</v>
  </rv>
  <rv s="26">
    <v>#VALUE!</v>
    <v>en-IN</v>
    <v>9a082910-0210-882c-d498-45343d7316df</v>
    <v>536870912</v>
    <v>1</v>
    <v>1210</v>
    <v>166</v>
    <v>Tashkent</v>
    <v>20</v>
    <v>21</v>
    <v>Map</v>
    <v>22</v>
    <v>235</v>
    <v>UZ-TK</v>
    <v>7872</v>
    <v>916</v>
    <v>Tashkent or Toshkent, historically known as Chach, is the capital and largest city of Uzbekistan. It is the most populous city in Central Asia, with a population of 3 million. It is located in northeastern Uzbekistan, near the border with Kazakhstan.</v>
    <v>7873</v>
    <v>7874</v>
    <v>Tashkent</v>
    <v>7875</v>
    <v>Tashkent</v>
    <v>mdp/vdpid/7387254585296945153</v>
  </rv>
  <rv s="2">
    <v>238</v>
    <v>22</v>
    <v>1202</v>
    <v>3</v>
    <v>0</v>
    <v>Image of Uzbekistan</v>
  </rv>
  <rv s="59">
    <v>en-IN</v>
    <v>aux61h</v>
    <v>268435456</v>
    <v>1</v>
    <v>Powered by Refinitiv</v>
    <v>511</v>
    <v>ARS/USD</v>
    <v>43</v>
    <v>522</v>
    <v>Finance</v>
    <v>45</v>
    <v>1.0200000000000001E-3</v>
    <v>6.7000000000000002E-4</v>
    <v>0</v>
    <v>0</v>
    <v>USD</v>
    <v>ARS</v>
    <v>Currency Pair</v>
    <v>45954.750428240739</v>
    <v>Argentine Peso/US Dollar FX Cross Rate</v>
    <v>6.7000000000000002E-4</v>
    <v>6.7000000000000002E-4</v>
    <v>ARSUSD</v>
    <v>ARS/USD</v>
  </rv>
  <rv s="9">
    <v>7878</v>
  </rv>
  <rv s="0">
    <v>536870912</v>
    <v>Vanuatu</v>
    <v>21ad700d-e9b7-12b2-2188-7cdf997d77d4</v>
    <v>en-IN</v>
    <v>Map</v>
  </rv>
  <rv s="1">
    <fb>0.15340442986054101</fb>
    <v>24</v>
  </rv>
  <rv s="1">
    <fb>12190</fb>
    <v>25</v>
  </rv>
  <rv s="1">
    <fb>29.594999999999999</fb>
    <v>26</v>
  </rv>
  <rv s="1">
    <fb>678</fb>
    <v>27</v>
  </rv>
  <rv s="0">
    <v>536870912</v>
    <v>Port Vila</v>
    <v>e02447c6-de0b-1aba-f1ab-756dc66a7498</v>
    <v>en-IN</v>
    <v>Map</v>
  </rv>
  <rv s="1">
    <fb>146.68</fb>
    <v>25</v>
  </rv>
  <rv s="1">
    <fb>117.129669269253</fb>
    <v>28</v>
  </rv>
  <rv s="1">
    <fb>2.7625201938610702E-2</fb>
    <v>24</v>
  </rv>
  <rv s="1">
    <fb>3.782</fb>
    <v>26</v>
  </rv>
  <rv s="1">
    <fb>0.36095159967186197</fb>
    <v>24</v>
  </rv>
  <rv s="1">
    <fb>1.31</fb>
    <v>30</v>
  </rv>
  <rv s="1">
    <fb>917058850.81656301</fb>
    <v>31</v>
  </rv>
  <rv s="1">
    <fb>1.0929187</fb>
    <v>24</v>
  </rv>
  <rv s="1">
    <fb>4.7429800000000001E-2</fb>
    <v>24</v>
  </rv>
  <rv s="2">
    <v>240</v>
    <v>22</v>
    <v>1212</v>
    <v>7</v>
    <v>0</v>
    <v>Image of Vanuatu</v>
  </rv>
  <rv s="1">
    <fb>22.3</fb>
    <v>29</v>
  </rv>
  <rv s="0">
    <v>805306368</v>
    <v>Nikenike Vurobaravu (President)</v>
    <v>1d32cb39-9930-9e5b-20b4-3834229285ce</v>
    <v>en-IN</v>
    <v>Generic</v>
  </rv>
  <rv s="0">
    <v>805306368</v>
    <v>Charlot Salwai (Prime minister)</v>
    <v>a762e673-75a6-b486-9a48-f7d5d2e74d85</v>
    <v>en-IN</v>
    <v>Generic</v>
  </rv>
  <rv s="3">
    <v>419</v>
  </rv>
  <rv s="4">
    <v>https://www.bing.com/search?q=vanuatu&amp;form=skydnc</v>
    <v>Learn more on Bing</v>
  </rv>
  <rv s="1">
    <fb>70.322999999999993</fb>
    <v>29</v>
  </rv>
  <rv s="1">
    <fb>1.56</fb>
    <v>30</v>
  </rv>
  <rv s="3">
    <v>420</v>
  </rv>
  <rv s="1">
    <fb>8.9058978699999999E-2</fb>
    <v>24</v>
  </rv>
  <rv s="1">
    <fb>0.1653</fb>
    <v>26</v>
  </rv>
  <rv s="1">
    <fb>326740</fb>
    <v>25</v>
  </rv>
  <rv s="1">
    <fb>0.69874999999999998</fb>
    <v>24</v>
  </rv>
  <rv s="0">
    <v>536870912</v>
    <v>Malampa Province</v>
    <v>727f1927-0553-0228-e4ab-79dfd3090aa4</v>
    <v>en-IN</v>
    <v>Map</v>
  </rv>
  <rv s="0">
    <v>536870912</v>
    <v>Penama Province</v>
    <v>525a89fd-74a7-a854-b195-db77bcac9c21</v>
    <v>en-IN</v>
    <v>Map</v>
  </rv>
  <rv s="0">
    <v>536870912</v>
    <v>Sanma Province</v>
    <v>b0cdaf4e-5c04-559c-50c2-d235e6734508</v>
    <v>en-IN</v>
    <v>Map</v>
  </rv>
  <rv s="0">
    <v>536870912</v>
    <v>Shefa Province</v>
    <v>55225197-c0e3-499b-c24a-eecc3f8c7e15</v>
    <v>en-IN</v>
    <v>Map</v>
  </rv>
  <rv s="0">
    <v>536870912</v>
    <v>Tafea Province</v>
    <v>7b0d7d47-42ee-3c25-416c-255415929430</v>
    <v>en-IN</v>
    <v>Map</v>
  </rv>
  <rv s="0">
    <v>536870912</v>
    <v>Torba Province</v>
    <v>f1909851-1e9d-98aa-fbd4-59d1a1176d81</v>
    <v>en-IN</v>
    <v>Map</v>
  </rv>
  <rv s="3">
    <v>421</v>
  </rv>
  <rv s="1">
    <fb>0.17845239334041502</fb>
    <v>24</v>
  </rv>
  <rv s="1">
    <fb>4.3850002288818406E-2</fb>
    <v>32</v>
  </rv>
  <rv s="1">
    <fb>76152</fb>
    <v>25</v>
  </rv>
  <rv s="82">
    <v>#VALUE!</v>
    <v>en-IN</v>
    <v>21ad700d-e9b7-12b2-2188-7cdf997d77d4</v>
    <v>536870912</v>
    <v>1</v>
    <v>1215</v>
    <v>809</v>
    <v>Vanuatu</v>
    <v>20</v>
    <v>21</v>
    <v>Map</v>
    <v>22</v>
    <v>1216</v>
    <v>VU</v>
    <v>7881</v>
    <v>7882</v>
    <v>7883</v>
    <v>7884</v>
    <v>7885</v>
    <v>7886</v>
    <v>7887</v>
    <v>7888</v>
    <v>VUV</v>
    <v>Vanuatu, officially the Republic of Vanuatu, is an island country in Melanesia, located in the South Pacific Ocean. The archipelago, which is of volcanic origin, is 1,750 km east of northern Australia, 540 km northeast of New Caledonia, east of ...</v>
    <v>7889</v>
    <v>7890</v>
    <v>1004</v>
    <v>7891</v>
    <v>7892</v>
    <v>7893</v>
    <v>7894</v>
    <v>7895</v>
    <v>7896</v>
    <v>7885</v>
    <v>7899</v>
    <v>7900</v>
    <v>7901</v>
    <v>1654</v>
    <v>7902</v>
    <v>Vanuatu</v>
    <v>Yumi, Yumi</v>
    <v>7903</v>
    <v>Ripablik blong Vanuatu</v>
    <v>7904</v>
    <v>7905</v>
    <v>7906</v>
    <v>1167</v>
    <v>5457</v>
    <v>5273</v>
    <v>2891</v>
    <v>143</v>
    <v>39</v>
    <v>2428</v>
    <v>7907</v>
    <v>7914</v>
    <v>7915</v>
    <v>2236</v>
    <v>7916</v>
    <v>Vanuatu</v>
    <v>7917</v>
    <v>mdp/vdpid/174</v>
  </rv>
  <rv s="1">
    <fb>23.6</fb>
    <v>25</v>
  </rv>
  <rv s="2">
    <v>241</v>
    <v>22</v>
    <v>1217</v>
    <v>7</v>
    <v>0</v>
    <v>Image of Port Vila</v>
  </rv>
  <rv s="1">
    <fb>-17.733329999999999</fb>
    <v>37</v>
  </rv>
  <rv s="0">
    <v>805306368</v>
    <v>Erick Puyo Festa (Mayor)</v>
    <v>3a8aaa39-1033-8f5d-dbde-239f910b67cc</v>
    <v>en-IN</v>
    <v>Generic</v>
  </rv>
  <rv s="3">
    <v>422</v>
  </rv>
  <rv s="4">
    <v>https://www.bing.com/search?q=port+vila&amp;form=skydnc</v>
    <v>Learn more on Bing</v>
  </rv>
  <rv s="1">
    <fb>168.316667</fb>
    <v>37</v>
  </rv>
  <rv s="1">
    <fb>49034</fb>
    <v>25</v>
  </rv>
  <rv s="14">
    <v>#VALUE!</v>
    <v>en-IN</v>
    <v>e02447c6-de0b-1aba-f1ab-756dc66a7498</v>
    <v>536870912</v>
    <v>1</v>
    <v>1218</v>
    <v>82</v>
    <v>Port Vila</v>
    <v>20</v>
    <v>21</v>
    <v>Map</v>
    <v>22</v>
    <v>189</v>
    <v>7911</v>
    <v>7919</v>
    <v>7880</v>
    <v>Port Vila, or simply Vila, is the capital and largest city of Vanuatu. It is located on the island of Efate. The population was 49,034 as of the 2020 census. In 2020, the population of Port Vila formed 16.3% of the country's population.</v>
    <v>7920</v>
    <v>7921</v>
    <v>7923</v>
    <v>7924</v>
    <v>7925</v>
    <v>Port Vila</v>
    <v>7926</v>
    <v>Port Vila</v>
    <v>mdp/vdpid/8852638519940612097</v>
  </rv>
  <rv s="2">
    <v>240</v>
    <v>22</v>
    <v>1212</v>
    <v>3</v>
    <v>0</v>
    <v>Image of Vanuatu</v>
  </rv>
  <rv s="59">
    <v>en-IN</v>
    <v>avyma2</v>
    <v>268435456</v>
    <v>1</v>
    <v>Powered by Refinitiv</v>
    <v>511</v>
    <v>USD/COP</v>
    <v>43</v>
    <v>1219</v>
    <v>Finance</v>
    <v>45</v>
    <v>4537</v>
    <v>3764.43</v>
    <v>0</v>
    <v>0</v>
    <v>COP</v>
    <v>USD</v>
    <v>Currency Pair</v>
    <v>45954.874467592592</v>
    <v>US Dollar/Colombian Peso FX Spot Rate</v>
    <v>3872.5</v>
    <v>3872.5</v>
    <v>USDCOP</v>
    <v>USD/COP</v>
  </rv>
  <rv s="9">
    <v>7929</v>
  </rv>
  <rv s="0">
    <v>536870912</v>
    <v>Vatican City</v>
    <v>391b7067-82be-6f93-f1c1-7a92a0c60507</v>
    <v>en-IN</v>
    <v>Map</v>
  </rv>
  <rv s="1">
    <fb>0.49</fb>
    <v>25</v>
  </rv>
  <rv s="2">
    <v>242</v>
    <v>22</v>
    <v>1220</v>
    <v>7</v>
    <v>0</v>
    <v>Image of Vatican City</v>
  </rv>
  <rv s="0">
    <v>805306368</v>
    <v>Pietro Parolin (Secretary of state)</v>
    <v>3ffa3311-7647-ddd2-2764-aff3d7cdbdc7</v>
    <v>en-IN</v>
    <v>Generic</v>
  </rv>
  <rv s="3">
    <v>423</v>
  </rv>
  <rv s="4">
    <v>https://www.bing.com/search?q=vatican+city&amp;form=skydnc</v>
    <v>Learn more on Bing</v>
  </rv>
  <rv s="3">
    <v>424</v>
  </rv>
  <rv s="1">
    <fb>764</fb>
    <v>25</v>
  </rv>
  <rv s="105">
    <v>#VALUE!</v>
    <v>en-IN</v>
    <v>391b7067-82be-6f93-f1c1-7a92a0c60507</v>
    <v>536870912</v>
    <v>1</v>
    <v>1222</v>
    <v>1223</v>
    <v>Vatican City</v>
    <v>20</v>
    <v>21</v>
    <v>Map</v>
    <v>22</v>
    <v>235</v>
    <v>7932</v>
    <v>540</v>
    <v>Vatican City</v>
    <v>EUR</v>
    <v>Vatican City, officially the Vatican City State, is a landlocked independent country, city-state, microstate, and enclave within Rome, Italy. It became independent from Italy in 1929 with the Lateran Treaty, and it is a distinct territory under ...</v>
    <v>7933</v>
    <v>7935</v>
    <v>7936</v>
    <v>Vatican City</v>
    <v>Inno e Marcia Pontificale</v>
    <v>7937</v>
    <v>Status Civitatis Vaticanæ</v>
    <v>7938</v>
    <v>1074</v>
    <v>Vatican City</v>
    <v>mdp/vdpid/253</v>
  </rv>
  <rv s="35">
    <v>12</v>
    <v>GDP</v>
    <v>0</v>
  </rv>
  <rv s="2">
    <v>242</v>
    <v>22</v>
    <v>1220</v>
    <v>3</v>
    <v>0</v>
    <v>Image of Vatican City</v>
  </rv>
  <rv s="59">
    <v>en-IN</v>
    <v>av5fpr</v>
    <v>268435456</v>
    <v>1</v>
    <v>Powered by Refinitiv</v>
    <v>511</v>
    <v>COP/USD</v>
    <v>43</v>
    <v>522</v>
    <v>Finance</v>
    <v>45</v>
    <v>2.654E-4</v>
    <v>2.198E-4</v>
    <v>0</v>
    <v>0</v>
    <v>USD</v>
    <v>COP</v>
    <v>Currency Pair</v>
    <v>45954.874467592592</v>
    <v>Colombian Peso/US Dollar FX Cross Rate</v>
    <v>2.5789999999999998E-4</v>
    <v>2.5789999999999998E-4</v>
    <v>COPUSD</v>
    <v>COP/USD</v>
  </rv>
  <rv s="9">
    <v>7942</v>
  </rv>
  <rv s="0">
    <v>536870912</v>
    <v>Venezuela</v>
    <v>6dd1d7bd-393f-a467-12fa-e71f98cc00b9</v>
    <v>en-IN</v>
    <v>Map</v>
  </rv>
  <rv s="1">
    <fb>0.24488407686639099</fb>
    <v>24</v>
  </rv>
  <rv s="1">
    <fb>912050</fb>
    <v>25</v>
  </rv>
  <rv s="1">
    <fb>343000</fb>
    <v>25</v>
  </rv>
  <rv s="1">
    <fb>17.881</fb>
    <v>26</v>
  </rv>
  <rv s="1">
    <fb>58</fb>
    <v>27</v>
  </rv>
  <rv s="0">
    <v>536870912</v>
    <v>Caracas</v>
    <v>37b7d7c3-c045-e782-f35d-01ee5d1cb58a</v>
    <v>en-IN</v>
    <v>Map</v>
  </rv>
  <rv s="1">
    <fb>164175.25700000001</fb>
    <v>25</v>
  </rv>
  <rv s="1">
    <fb>2740.2739846709501</fb>
    <v>28</v>
  </rv>
  <rv s="1">
    <fb>2.5494853478181501</fb>
    <v>24</v>
  </rv>
  <rv s="1">
    <fb>2718.9427745604298</fb>
    <v>25</v>
  </rv>
  <rv s="1">
    <fb>2.2719999999999998</fb>
    <v>26</v>
  </rv>
  <rv s="1">
    <fb>0.52739188892352995</fb>
    <v>24</v>
  </rv>
  <rv s="1">
    <fb>88.377973216128495</fb>
    <v>29</v>
  </rv>
  <rv s="1">
    <fb>8.0000000000000007E-5</fb>
    <v>30</v>
  </rv>
  <rv s="1">
    <fb>482359318767.703</fb>
    <v>31</v>
  </rv>
  <rv s="1">
    <fb>0.97150340000000002</fb>
    <v>24</v>
  </rv>
  <rv s="1">
    <fb>0.79300560000000009</fb>
    <v>24</v>
  </rv>
  <rv s="2">
    <v>243</v>
    <v>22</v>
    <v>1225</v>
    <v>7</v>
    <v>0</v>
    <v>Image of Venezuela</v>
  </rv>
  <rv s="1">
    <fb>21.4</fb>
    <v>29</v>
  </rv>
  <rv s="0">
    <v>805306368</v>
    <v>Nicolás Maduro (President)</v>
    <v>62dd568b-6165-618b-d9a8-240b52e23c2f</v>
    <v>en-IN</v>
    <v>Generic</v>
  </rv>
  <rv s="0">
    <v>805306368</v>
    <v>Delcy Rodríguez (Vice president)</v>
    <v>3014211c-495f-e0e6-c992-adcbda263b50</v>
    <v>en-IN</v>
    <v>Generic</v>
  </rv>
  <rv s="3">
    <v>425</v>
  </rv>
  <rv s="4">
    <v>https://www.bing.com/search?q=venezuela&amp;form=skydnc</v>
    <v>Learn more on Bing</v>
  </rv>
  <rv s="1">
    <fb>72.128</fb>
    <v>29</v>
  </rv>
  <rv s="1">
    <fb>3979600000</fb>
    <v>31</v>
  </rv>
  <rv s="1">
    <fb>125</fb>
    <v>29</v>
  </rv>
  <rv s="3">
    <v>426</v>
  </rv>
  <rv s="1">
    <fb>0.45821973509999997</fb>
    <v>24</v>
  </rv>
  <rv s="1">
    <fb>1.9239999999999999</fb>
    <v>26</v>
  </rv>
  <rv s="1">
    <fb>28301696</fb>
    <v>25</v>
  </rv>
  <rv s="1">
    <fb>0.34100000000000003</fb>
    <v>24</v>
  </rv>
  <rv s="1">
    <fb>0.50700000000000001</fb>
    <v>24</v>
  </rv>
  <rv s="1">
    <fb>5.0000000000000001E-3</fb>
    <v>24</v>
  </rv>
  <rv s="1">
    <fb>0.59729999542236301</fb>
    <v>24</v>
  </rv>
  <rv s="0">
    <v>536870912</v>
    <v>Amazonas</v>
    <v>d12613b2-1769-fd3d-c816-bcf4892760c3</v>
    <v>en-IN</v>
    <v>Map</v>
  </rv>
  <rv s="0">
    <v>536870912</v>
    <v>Anzoátegui</v>
    <v>8b43f71e-5058-e865-1fb6-e3cba21044b1</v>
    <v>en-IN</v>
    <v>Map</v>
  </rv>
  <rv s="0">
    <v>536870912</v>
    <v>Apure</v>
    <v>9e1a67ac-4ea1-77bf-fa76-5f58931e81f8</v>
    <v>en-IN</v>
    <v>Map</v>
  </rv>
  <rv s="0">
    <v>536870912</v>
    <v>Aragua</v>
    <v>83a3ec29-14b4-40cd-dc2d-86791c9d5180</v>
    <v>en-IN</v>
    <v>Map</v>
  </rv>
  <rv s="0">
    <v>536870912</v>
    <v>Barinas State</v>
    <v>24fe6763-a2f0-d630-66c3-08b9a841c6a1</v>
    <v>en-IN</v>
    <v>Map</v>
  </rv>
  <rv s="0">
    <v>536870912</v>
    <v>Bolívar</v>
    <v>28ee01f1-3481-9fbb-480a-171c08837ce7</v>
    <v>en-IN</v>
    <v>Map</v>
  </rv>
  <rv s="0">
    <v>536870912</v>
    <v>Carabobo</v>
    <v>0c400799-a7d1-9188-76c7-a03eb7bf96e6</v>
    <v>en-IN</v>
    <v>Map</v>
  </rv>
  <rv s="0">
    <v>536870912</v>
    <v>Cojedes</v>
    <v>215558ac-dbeb-54e0-6265-2f177bc16686</v>
    <v>en-IN</v>
    <v>Map</v>
  </rv>
  <rv s="0">
    <v>536870912</v>
    <v>Delta Amacuro</v>
    <v>a721c377-8d7b-63cb-48ce-8ca1cd475256</v>
    <v>en-IN</v>
    <v>Map</v>
  </rv>
  <rv s="0">
    <v>536870912</v>
    <v>Falcón</v>
    <v>1f741430-789f-b870-4ec3-f3825be02dfd</v>
    <v>en-IN</v>
    <v>Map</v>
  </rv>
  <rv s="0">
    <v>536870912</v>
    <v>Guárico</v>
    <v>f4010586-9f13-d10f-ad74-c388243ab99f</v>
    <v>en-IN</v>
    <v>Map</v>
  </rv>
  <rv s="0">
    <v>536870912</v>
    <v>Lara</v>
    <v>28bc93f2-4f7d-957c-6576-a3bdc7b84923</v>
    <v>en-IN</v>
    <v>Map</v>
  </rv>
  <rv s="0">
    <v>536870912</v>
    <v>Mérida</v>
    <v>a4989c58-06e5-45a4-b8f4-502581f7c935</v>
    <v>en-IN</v>
    <v>Map</v>
  </rv>
  <rv s="0">
    <v>536870912</v>
    <v>Miranda</v>
    <v>c203d749-ff23-1654-7423-de62cda7879d</v>
    <v>en-IN</v>
    <v>Map</v>
  </rv>
  <rv s="0">
    <v>536870912</v>
    <v>Monagas</v>
    <v>99d16d3b-4480-6e2e-3af6-b19380240865</v>
    <v>en-IN</v>
    <v>Map</v>
  </rv>
  <rv s="0">
    <v>536870912</v>
    <v>Nueva Esparta</v>
    <v>61c93a6f-fa24-e914-9131-ff9cb21de321</v>
    <v>en-IN</v>
    <v>Map</v>
  </rv>
  <rv s="0">
    <v>536870912</v>
    <v>Portuguesa</v>
    <v>f1c90efa-241a-1208-9ea6-ec628dcaabf6</v>
    <v>en-IN</v>
    <v>Map</v>
  </rv>
  <rv s="0">
    <v>536870912</v>
    <v>Sucre</v>
    <v>a8d1a122-aba3-9b31-a5c1-1c2d5301513e</v>
    <v>en-IN</v>
    <v>Map</v>
  </rv>
  <rv s="0">
    <v>536870912</v>
    <v>Táchira</v>
    <v>72391449-1011-80da-d60b-1493d591b575</v>
    <v>en-IN</v>
    <v>Map</v>
  </rv>
  <rv s="0">
    <v>536870912</v>
    <v>Trujillo</v>
    <v>d68dd921-4861-e8a8-eaee-d5cf8cbfb3b8</v>
    <v>en-IN</v>
    <v>Map</v>
  </rv>
  <rv s="0">
    <v>536870912</v>
    <v>Vargas state</v>
    <v>83b14d4b-fd80-6876-e6e3-6606024eaa2a</v>
    <v>en-IN</v>
    <v>Map</v>
  </rv>
  <rv s="0">
    <v>536870912</v>
    <v>Yaracuy</v>
    <v>0ce1d139-cd0d-fdbf-9574-076a3d792483</v>
    <v>en-IN</v>
    <v>Map</v>
  </rv>
  <rv s="0">
    <v>536870912</v>
    <v>Zulia</v>
    <v>b746a809-b508-f853-1aa2-8eb307076ab8</v>
    <v>en-IN</v>
    <v>Map</v>
  </rv>
  <rv s="0">
    <v>536870912</v>
    <v>Capital District</v>
    <v>5142924b-c000-9b6b-e280-614ac90f2102</v>
    <v>en-IN</v>
    <v>Map</v>
  </rv>
  <rv s="0">
    <v>536870912</v>
    <v>Federal Dependencies of Venezuela</v>
    <v>4ca38740-fb38-50ad-0c45-8a599048aa45</v>
    <v>en-IN</v>
    <v>Map</v>
  </rv>
  <rv s="3">
    <v>427</v>
  </rv>
  <rv s="1">
    <fb>0.73299999999999998</fb>
    <v>24</v>
  </rv>
  <rv s="1">
    <fb>8.800999641418461E-2</fb>
    <v>32</v>
  </rv>
  <rv s="1">
    <fb>25162368</fb>
    <v>25</v>
  </rv>
  <rv s="73">
    <v>#VALUE!</v>
    <v>en-IN</v>
    <v>6dd1d7bd-393f-a467-12fa-e71f98cc00b9</v>
    <v>536870912</v>
    <v>1</v>
    <v>1228</v>
    <v>672</v>
    <v>Venezuela</v>
    <v>20</v>
    <v>21</v>
    <v>Map</v>
    <v>22</v>
    <v>1229</v>
    <v>VE</v>
    <v>7945</v>
    <v>7946</v>
    <v>7947</v>
    <v>7948</v>
    <v>7949</v>
    <v>7950</v>
    <v>7951</v>
    <v>7952</v>
    <v>7953</v>
    <v>VED</v>
    <v>Venezuela, officially the Bolivarian Republic of Venezuela, is a country on the northern coast of South America, consisting of a continental landmass and many islands and islets in the Caribbean Sea. Venezuela comprises an area of 916,445 km², ...</v>
    <v>7954</v>
    <v>7955</v>
    <v>7956</v>
    <v>7957</v>
    <v>7958</v>
    <v>7959</v>
    <v>7960</v>
    <v>7961</v>
    <v>7962</v>
    <v>7963</v>
    <v>7950</v>
    <v>7966</v>
    <v>7967</v>
    <v>7968</v>
    <v>7969</v>
    <v>7970</v>
    <v>7319</v>
    <v>Venezuela</v>
    <v>Gloria al Bravo Pueblo</v>
    <v>7971</v>
    <v>República Bolivariana de Venezuela</v>
    <v>7972</v>
    <v>7973</v>
    <v>7974</v>
    <v>1588</v>
    <v>7975</v>
    <v>7976</v>
    <v>7977</v>
    <v>1234</v>
    <v>651</v>
    <v>6157</v>
    <v>7978</v>
    <v>8004</v>
    <v>8005</v>
    <v>8006</v>
    <v>Venezuela</v>
    <v>8007</v>
    <v>mdp/vdpid/249</v>
  </rv>
  <rv s="0">
    <v>536870912</v>
    <v>Libertador Municipality, Caracas</v>
    <v>7b60c7b9-af2d-288d-f558-7249ec2ff0f3</v>
    <v>en-IN</v>
    <v>Map</v>
  </rv>
  <rv s="1">
    <fb>776</fb>
    <v>25</v>
  </rv>
  <rv s="2">
    <v>244</v>
    <v>22</v>
    <v>1230</v>
    <v>7</v>
    <v>0</v>
    <v>Image of Caracas</v>
  </rv>
  <rv s="1">
    <fb>10.5</fb>
    <v>37</v>
  </rv>
  <rv s="4">
    <v>https://www.bing.com/search?q=caracas&amp;form=skydnc</v>
    <v>Learn more on Bing</v>
  </rv>
  <rv s="1">
    <fb>-66.933333333332996</fb>
    <v>37</v>
  </rv>
  <rv s="1">
    <fb>2245744</fb>
    <v>25</v>
  </rv>
  <rv s="93">
    <v>#VALUE!</v>
    <v>en-IN</v>
    <v>37b7d7c3-c045-e782-f35d-01ee5d1cb58a</v>
    <v>536870912</v>
    <v>1</v>
    <v>1231</v>
    <v>992</v>
    <v>Caracas</v>
    <v>20</v>
    <v>21</v>
    <v>Map</v>
    <v>22</v>
    <v>651</v>
    <v>8002</v>
    <v>8009</v>
    <v>8010</v>
    <v>7944</v>
    <v>Caracas, officially Santiago de León de Caracas, abbreviated as CCS, is the capital and largest city of Venezuela, and the center of the Metropolitan Region of Caracas. Caracas is located along the Guaire River in the northern part of the ...</v>
    <v>8011</v>
    <v>8012</v>
    <v>8013</v>
    <v>8014</v>
    <v>Caracas</v>
    <v>8015</v>
    <v>Caracas</v>
    <v>mdp/vdpid/5602559528194277386</v>
  </rv>
  <rv s="2">
    <v>243</v>
    <v>22</v>
    <v>1225</v>
    <v>3</v>
    <v>0</v>
    <v>Image of Venezuela</v>
  </rv>
  <rv s="59">
    <v>en-IN</v>
    <v>avyrnm</v>
    <v>268435456</v>
    <v>1</v>
    <v>Powered by Refinitiv</v>
    <v>511</v>
    <v>USD/PEN</v>
    <v>43</v>
    <v>1232</v>
    <v>Finance</v>
    <v>45</v>
    <v>3.81</v>
    <v>3.3607</v>
    <v>2.0000000000000001E-4</v>
    <v>5.9129999999999998E-5</v>
    <v>PEN</v>
    <v>USD</v>
    <v>Currency Pair</v>
    <v>45954.875104166669</v>
    <v>US Dollar/Peruvian Sol FX Spot Rate</v>
    <v>3.3826000000000001</v>
    <v>3.3828</v>
    <v>USDPEN</v>
    <v>USD/PEN</v>
  </rv>
  <rv s="9">
    <v>8018</v>
  </rv>
  <rv s="0">
    <v>536870912</v>
    <v>Vietnam</v>
    <v>9eb3adfc-79da-211b-6de2-580a522f56a5</v>
    <v>en-IN</v>
    <v>Map</v>
  </rv>
  <rv s="1">
    <fb>0.39275002418808697</fb>
    <v>24</v>
  </rv>
  <rv s="1">
    <fb>331690</fb>
    <v>25</v>
  </rv>
  <rv s="1">
    <fb>522000</fb>
    <v>25</v>
  </rv>
  <rv s="1">
    <fb>16.745000000000001</fb>
    <v>26</v>
  </rv>
  <rv s="1">
    <fb>84</fb>
    <v>27</v>
  </rv>
  <rv s="0">
    <v>536870912</v>
    <v>Hanoi</v>
    <v>0ac97487-debb-537a-b806-132c4e5513e6</v>
    <v>en-IN</v>
    <v>Map</v>
  </rv>
  <rv s="1">
    <fb>192667.84700000001</fb>
    <v>25</v>
  </rv>
  <rv s="1">
    <fb>163.516947912918</fb>
    <v>28</v>
  </rv>
  <rv s="1">
    <fb>2.7958236745224602E-2</fb>
    <v>24</v>
  </rv>
  <rv s="1">
    <fb>1423.68834535005</fb>
    <v>25</v>
  </rv>
  <rv s="1">
    <fb>2.0489999999999999</fb>
    <v>26</v>
  </rv>
  <rv s="1">
    <fb>0.48060115457799901</fb>
    <v>24</v>
  </rv>
  <rv s="1">
    <fb>69.821836554711396</fb>
    <v>29</v>
  </rv>
  <rv s="1">
    <fb>261921244843.172</fb>
    <v>31</v>
  </rv>
  <rv s="1">
    <fb>1.1059481</fb>
    <v>24</v>
  </rv>
  <rv s="1">
    <fb>0.28544969999999997</fb>
    <v>24</v>
  </rv>
  <rv s="2">
    <v>245</v>
    <v>22</v>
    <v>1234</v>
    <v>7</v>
    <v>0</v>
    <v>Image of Vietnam</v>
  </rv>
  <rv s="1">
    <fb>16.5</fb>
    <v>29</v>
  </rv>
  <rv s="0">
    <v>536870912</v>
    <v>Ho Chi Minh City</v>
    <v>56b344bd-92d9-cb0b-00c2-5408a7bf99cf</v>
    <v>en-IN</v>
    <v>Map</v>
  </rv>
  <rv s="0">
    <v>805306368</v>
    <v>Võ Văn Thưởng (President)</v>
    <v>1846d2ec-98fe-7dce-c0b2-1c443788de96</v>
    <v>en-IN</v>
    <v>Generic</v>
  </rv>
  <rv s="0">
    <v>805306368</v>
    <v>Phạm Minh Chính (Prime minister)</v>
    <v>a0729853-39d1-be4b-d795-e2b316447d77</v>
    <v>en-IN</v>
    <v>Generic</v>
  </rv>
  <rv s="3">
    <v>428</v>
  </rv>
  <rv s="4">
    <v>https://www.bing.com/search?q=vietnam&amp;form=skydnc</v>
    <v>Learn more on Bing</v>
  </rv>
  <rv s="1">
    <fb>75.316999999999993</fb>
    <v>29</v>
  </rv>
  <rv s="1">
    <fb>149817280000</fb>
    <v>31</v>
  </rv>
  <rv s="3">
    <v>429</v>
  </rv>
  <rv s="1">
    <fb>0.43479386130000003</fb>
    <v>24</v>
  </rv>
  <rv s="1">
    <fb>0.81989999999999996</fb>
    <v>26</v>
  </rv>
  <rv s="1">
    <fb>98186856</fb>
    <v>25</v>
  </rv>
  <rv s="1">
    <fb>0.42899999999999999</fb>
    <v>24</v>
  </rv>
  <rv s="1">
    <fb>0.77446998596191408</fb>
    <v>24</v>
  </rv>
  <rv s="0">
    <v>536870912</v>
    <v>Bắc Ninh province</v>
    <v>f32cb7e6-e8de-e987-fdc3-d349e9f4e82e</v>
    <v>en-IN</v>
    <v>Map</v>
  </rv>
  <rv s="0">
    <v>536870912</v>
    <v>Hà Nam province</v>
    <v>487be835-d973-fb64-dcea-78dcd420f020</v>
    <v>en-IN</v>
    <v>Map</v>
  </rv>
  <rv s="0">
    <v>536870912</v>
    <v>Hải Dương province</v>
    <v>8acb8c46-8b5a-33bf-53cf-c27780d39c94</v>
    <v>en-IN</v>
    <v>Map</v>
  </rv>
  <rv s="0">
    <v>536870912</v>
    <v>Hưng Yên province</v>
    <v>28bec015-649c-78a7-80bf-5842f8e42a12</v>
    <v>en-IN</v>
    <v>Map</v>
  </rv>
  <rv s="0">
    <v>536870912</v>
    <v>Nam Định province</v>
    <v>bfef2284-e95b-f092-469d-6a00de173018</v>
    <v>en-IN</v>
    <v>Map</v>
  </rv>
  <rv s="0">
    <v>536870912</v>
    <v>Ninh Bình province</v>
    <v>62b119cc-af6e-600e-8f0c-8333a24d940a</v>
    <v>en-IN</v>
    <v>Map</v>
  </rv>
  <rv s="0">
    <v>536870912</v>
    <v>Thái Bình province</v>
    <v>5fb489c4-f4d9-5813-f4f1-3548876f62fa</v>
    <v>en-IN</v>
    <v>Map</v>
  </rv>
  <rv s="0">
    <v>536870912</v>
    <v>Vĩnh Phúc province</v>
    <v>e2d0495a-c25b-d038-7185-9f8e7afa2730</v>
    <v>en-IN</v>
    <v>Map</v>
  </rv>
  <rv s="0">
    <v>536870912</v>
    <v>Haiphong</v>
    <v>6edab830-6882-62ad-88e9-7904a37fc990</v>
    <v>en-IN</v>
    <v>Map</v>
  </rv>
  <rv s="0">
    <v>536870912</v>
    <v>Hà Tĩnh province</v>
    <v>3dcdefa5-fb5d-3347-2dd3-55319a5b0acb</v>
    <v>en-IN</v>
    <v>Map</v>
  </rv>
  <rv s="0">
    <v>536870912</v>
    <v>Nghệ An province</v>
    <v>4e40491b-6f31-6a9b-5d9c-53a76d07c546</v>
    <v>en-IN</v>
    <v>Map</v>
  </rv>
  <rv s="0">
    <v>536870912</v>
    <v>Quảng Bình province</v>
    <v>3aa9562a-bfb9-0f3c-9f71-2b9e41c31533</v>
    <v>en-IN</v>
    <v>Map</v>
  </rv>
  <rv s="0">
    <v>536870912</v>
    <v>Quảng Trị province</v>
    <v>c613de3e-0fd4-e7d3-ca25-23a39acae6a0</v>
    <v>en-IN</v>
    <v>Map</v>
  </rv>
  <rv s="0">
    <v>536870912</v>
    <v>Thanh Hóa province</v>
    <v>e85d3d3b-de2c-8d0a-e9b3-e0142c67be30</v>
    <v>en-IN</v>
    <v>Map</v>
  </rv>
  <rv s="0">
    <v>536870912</v>
    <v>Thừa Thiên Huế province</v>
    <v>f7b07e05-ef1d-43f3-01a3-e6cd0b4f3a13</v>
    <v>en-IN</v>
    <v>Map</v>
  </rv>
  <rv s="0">
    <v>536870912</v>
    <v>Bắc Giang province</v>
    <v>565a6be2-c2ca-e29d-89a9-6161effa941e</v>
    <v>en-IN</v>
    <v>Map</v>
  </rv>
  <rv s="0">
    <v>536870912</v>
    <v>Bắc Kạn province</v>
    <v>287b832d-31a9-3b71-8642-c20e8f2e69a8</v>
    <v>en-IN</v>
    <v>Map</v>
  </rv>
  <rv s="0">
    <v>536870912</v>
    <v>Cao Bằng province</v>
    <v>4acb1135-b911-f6ea-8d38-a940f8dc11a1</v>
    <v>en-IN</v>
    <v>Map</v>
  </rv>
  <rv s="0">
    <v>536870912</v>
    <v>Hà Giang province</v>
    <v>1861cc26-7c4c-05a9-c9f3-f449c61f7d25</v>
    <v>en-IN</v>
    <v>Map</v>
  </rv>
  <rv s="0">
    <v>536870912</v>
    <v>Lạng Sơn province</v>
    <v>914134e7-0862-f123-9791-cd6e04f173b3</v>
    <v>en-IN</v>
    <v>Map</v>
  </rv>
  <rv s="0">
    <v>536870912</v>
    <v>Lào Cai province</v>
    <v>e398ec8c-3d0a-088f-1c27-343b87fc142f</v>
    <v>en-IN</v>
    <v>Map</v>
  </rv>
  <rv s="0">
    <v>536870912</v>
    <v>Phú Thọ province</v>
    <v>831c7c39-85f2-3548-d178-4223f9d133ad</v>
    <v>en-IN</v>
    <v>Map</v>
  </rv>
  <rv s="0">
    <v>536870912</v>
    <v>Quảng Ninh province</v>
    <v>6052e50c-808a-4d40-1aaa-48b5a1866b12</v>
    <v>en-IN</v>
    <v>Map</v>
  </rv>
  <rv s="0">
    <v>536870912</v>
    <v>Thái Nguyên province</v>
    <v>60f9ea3e-dc6b-64b9-5230-ae1470a1809d</v>
    <v>en-IN</v>
    <v>Map</v>
  </rv>
  <rv s="0">
    <v>536870912</v>
    <v>Tuyên Quang province</v>
    <v>c88ac0af-3851-b70b-971a-c7c81048d029</v>
    <v>en-IN</v>
    <v>Map</v>
  </rv>
  <rv s="0">
    <v>536870912</v>
    <v>Yên Bái province</v>
    <v>a82e4115-c1a0-2d48-cb6b-ebe836d9f43a</v>
    <v>en-IN</v>
    <v>Map</v>
  </rv>
  <rv s="0">
    <v>536870912</v>
    <v>Điện Biên province</v>
    <v>91b9e8ee-eb7b-c834-6445-5d05e91c47a5</v>
    <v>en-IN</v>
    <v>Map</v>
  </rv>
  <rv s="0">
    <v>536870912</v>
    <v>Hòa Bình province</v>
    <v>03e2ae54-8c3a-35e0-5faa-8ef8f701b67e</v>
    <v>en-IN</v>
    <v>Map</v>
  </rv>
  <rv s="0">
    <v>536870912</v>
    <v>Lai Châu province</v>
    <v>da6a5867-3d61-027b-af64-9f61fa7cbb04</v>
    <v>en-IN</v>
    <v>Map</v>
  </rv>
  <rv s="0">
    <v>536870912</v>
    <v>Sơn La province</v>
    <v>5738642d-4eb4-eb73-fa47-24aa6c579186</v>
    <v>en-IN</v>
    <v>Map</v>
  </rv>
  <rv s="0">
    <v>536870912</v>
    <v>Đắk Lắk province</v>
    <v>911a9538-ad13-0c7f-cbab-a572c6a754ba</v>
    <v>en-IN</v>
    <v>Map</v>
  </rv>
  <rv s="0">
    <v>536870912</v>
    <v>Đăk Nông province</v>
    <v>9c454915-10c0-3f6c-882b-8d824df8a64c</v>
    <v>en-IN</v>
    <v>Map</v>
  </rv>
  <rv s="0">
    <v>536870912</v>
    <v>Gia Lai province</v>
    <v>1cb0f121-66e9-ca97-81f1-6e75deb8f21b</v>
    <v>en-IN</v>
    <v>Map</v>
  </rv>
  <rv s="0">
    <v>536870912</v>
    <v>Kon Tum province</v>
    <v>93b7804d-46a2-159f-7821-f977368c6893</v>
    <v>en-IN</v>
    <v>Map</v>
  </rv>
  <rv s="0">
    <v>536870912</v>
    <v>Lâm Đồng province</v>
    <v>7a96af21-4aad-f7fe-bc18-33530300b18a</v>
    <v>en-IN</v>
    <v>Map</v>
  </rv>
  <rv s="0">
    <v>536870912</v>
    <v>Bình Định province</v>
    <v>a469a9d4-44af-45e8-d780-dce0ef044a48</v>
    <v>en-IN</v>
    <v>Map</v>
  </rv>
  <rv s="0">
    <v>536870912</v>
    <v>Khánh Hòa province</v>
    <v>5598b0f8-eaa1-ada1-ce8e-7e1b98529633</v>
    <v>en-IN</v>
    <v>Map</v>
  </rv>
  <rv s="0">
    <v>536870912</v>
    <v>Phu Yen</v>
    <v>c67cc648-ba1e-562c-d5f7-940d92dfd8ca</v>
    <v>en-IN</v>
    <v>Map</v>
  </rv>
  <rv s="0">
    <v>536870912</v>
    <v>Quảng Nam province</v>
    <v>305b9189-4e80-e15c-3b1f-387a1b5008b5</v>
    <v>en-IN</v>
    <v>Map</v>
  </rv>
  <rv s="0">
    <v>536870912</v>
    <v>Quảng Ngãi province</v>
    <v>f5034736-04f4-30be-a40e-ab8e3b3a6d79</v>
    <v>en-IN</v>
    <v>Map</v>
  </rv>
  <rv s="0">
    <v>536870912</v>
    <v>Da Nang</v>
    <v>f8246024-fd05-5f2e-4a14-6b19c96b8962</v>
    <v>en-IN</v>
    <v>Map</v>
  </rv>
  <rv s="0">
    <v>536870912</v>
    <v>Bà Rịa-Vũng Tàu</v>
    <v>20d39cc1-6931-f04a-dcd1-2d5b0ddf6f3c</v>
    <v>en-IN</v>
    <v>Map</v>
  </rv>
  <rv s="0">
    <v>536870912</v>
    <v>Bình Dương province</v>
    <v>d89db6cd-8257-6ac5-a341-88304536f6da</v>
    <v>en-IN</v>
    <v>Map</v>
  </rv>
  <rv s="0">
    <v>536870912</v>
    <v>Bình Phước province</v>
    <v>1002326f-c5db-da9d-6186-3a1e66b26354</v>
    <v>en-IN</v>
    <v>Map</v>
  </rv>
  <rv s="0">
    <v>536870912</v>
    <v>Bình Thuận province</v>
    <v>a087acd2-ef54-268e-82ba-720ee03f0137</v>
    <v>en-IN</v>
    <v>Map</v>
  </rv>
  <rv s="0">
    <v>536870912</v>
    <v>Đồng Nai province</v>
    <v>cdfef3d2-dda8-9c2e-6adf-7ad8a9b3fbd8</v>
    <v>en-IN</v>
    <v>Map</v>
  </rv>
  <rv s="0">
    <v>536870912</v>
    <v>Ninh Thuận province</v>
    <v>abd21cf9-1465-f7a6-7529-9341fa746c6e</v>
    <v>en-IN</v>
    <v>Map</v>
  </rv>
  <rv s="0">
    <v>536870912</v>
    <v>Tây Ninh province</v>
    <v>f9446c01-964f-f16e-f11f-ac62c3fe2c30</v>
    <v>en-IN</v>
    <v>Map</v>
  </rv>
  <rv s="0">
    <v>536870912</v>
    <v>An Giang province</v>
    <v>25c3e5c8-1034-857f-0ebc-d16255f30da8</v>
    <v>en-IN</v>
    <v>Map</v>
  </rv>
  <rv s="0">
    <v>536870912</v>
    <v>Bạc Liêu province</v>
    <v>0f6fdb10-aa8f-ce35-6b17-ba9671510900</v>
    <v>en-IN</v>
    <v>Map</v>
  </rv>
  <rv s="0">
    <v>536870912</v>
    <v>Cà Mau province</v>
    <v>96b2988a-eab5-1716-03a6-ffc1ee638013</v>
    <v>en-IN</v>
    <v>Map</v>
  </rv>
  <rv s="0">
    <v>536870912</v>
    <v>Đồng Tháp province</v>
    <v>8808ccd8-3c62-17d7-bb5b-70dc40b07b15</v>
    <v>en-IN</v>
    <v>Map</v>
  </rv>
  <rv s="0">
    <v>536870912</v>
    <v>Hậu Giang province</v>
    <v>6ae2fe3f-17f6-a5e2-f889-40d201c226e9</v>
    <v>en-IN</v>
    <v>Map</v>
  </rv>
  <rv s="0">
    <v>536870912</v>
    <v>Kiên Giang province</v>
    <v>6008b700-0c21-4707-4129-29936df67d64</v>
    <v>en-IN</v>
    <v>Map</v>
  </rv>
  <rv s="0">
    <v>536870912</v>
    <v>Long An province</v>
    <v>4ca9f569-2145-ea37-5507-74d6c9988505</v>
    <v>en-IN</v>
    <v>Map</v>
  </rv>
  <rv s="0">
    <v>536870912</v>
    <v>Sóc Trăng province</v>
    <v>1d7122d8-d2ba-3531-6999-45f2aede18a4</v>
    <v>en-IN</v>
    <v>Map</v>
  </rv>
  <rv s="0">
    <v>536870912</v>
    <v>Tiền Giang province</v>
    <v>4f78c3f8-c5ce-9ae8-ca22-9912d3d16eca</v>
    <v>en-IN</v>
    <v>Map</v>
  </rv>
  <rv s="0">
    <v>536870912</v>
    <v>Trà Vinh province</v>
    <v>45b804fe-012c-42e6-bc9f-95f5b8eae928</v>
    <v>en-IN</v>
    <v>Map</v>
  </rv>
  <rv s="0">
    <v>536870912</v>
    <v>Vĩnh Long province</v>
    <v>f3c039e0-a221-404d-c8bf-4d87246216df</v>
    <v>en-IN</v>
    <v>Map</v>
  </rv>
  <rv s="0">
    <v>536870912</v>
    <v>Cần Thơ</v>
    <v>c6aad310-0349-6338-8c66-5a69d2c4914f</v>
    <v>en-IN</v>
    <v>Map</v>
  </rv>
  <rv s="3">
    <v>430</v>
  </rv>
  <rv s="1">
    <fb>0.190698671023491</fb>
    <v>24</v>
  </rv>
  <rv s="1">
    <fb>2.01300001144409E-2</fb>
    <v>32</v>
  </rv>
  <rv s="1">
    <fb>35332140</fb>
    <v>25</v>
  </rv>
  <rv s="19">
    <v>#VALUE!</v>
    <v>en-IN</v>
    <v>9eb3adfc-79da-211b-6de2-580a522f56a5</v>
    <v>536870912</v>
    <v>1</v>
    <v>1237</v>
    <v>105</v>
    <v>Vietnam</v>
    <v>20</v>
    <v>21</v>
    <v>Map</v>
    <v>22</v>
    <v>1238</v>
    <v>VN</v>
    <v>8021</v>
    <v>8022</v>
    <v>8023</v>
    <v>8024</v>
    <v>8025</v>
    <v>8026</v>
    <v>8027</v>
    <v>8028</v>
    <v>8029</v>
    <v>VND</v>
    <v>Vietnam, officially the Socialist Republic of Vietnam, is a country at the eastern edge of mainland Southeast Asia, with an area of 331,212 square kilometres and a population of over 100 million, making it the world's fifteenth-most populous ...</v>
    <v>8030</v>
    <v>8031</v>
    <v>8032</v>
    <v>8033</v>
    <v>1569</v>
    <v>8034</v>
    <v>8035</v>
    <v>8036</v>
    <v>8037</v>
    <v>8038</v>
    <v>8039</v>
    <v>8042</v>
    <v>8043</v>
    <v>8044</v>
    <v>8045</v>
    <v>5034</v>
    <v>2468</v>
    <v>Vietnam</v>
    <v>Tiến Quân Ca</v>
    <v>8046</v>
    <v>Cộng hòa Xã hội Chủ nghĩa Việt Nam</v>
    <v>8047</v>
    <v>8048</v>
    <v>8049</v>
    <v>1588</v>
    <v>813</v>
    <v>8050</v>
    <v>7325</v>
    <v>143</v>
    <v>1851</v>
    <v>415</v>
    <v>8051</v>
    <v>8112</v>
    <v>8113</v>
    <v>3282</v>
    <v>8114</v>
    <v>Vietnam</v>
    <v>8115</v>
    <v>mdp/vdpid/251</v>
  </rv>
  <rv s="1">
    <fb>3346.26</fb>
    <v>25</v>
  </rv>
  <rv s="0">
    <v>536870912</v>
    <v>Ba Đình district</v>
    <v>90131ad0-e8ae-c52d-57bb-abd763a4b0de</v>
    <v>en-IN</v>
    <v>Map</v>
  </rv>
  <rv s="2">
    <v>246</v>
    <v>22</v>
    <v>1239</v>
    <v>7</v>
    <v>0</v>
    <v>Image of Hanoi</v>
  </rv>
  <rv s="4">
    <v>https://www.bing.com/search?q=hanoi&amp;form=skydnc</v>
    <v>Learn more on Bing</v>
  </rv>
  <rv s="1">
    <fb>8330800</fb>
    <v>25</v>
  </rv>
  <rv s="3">
    <v>431</v>
  </rv>
  <rv s="106">
    <v>#VALUE!</v>
    <v>en-IN</v>
    <v>0ac97487-debb-537a-b806-132c4e5513e6</v>
    <v>536870912</v>
    <v>1</v>
    <v>1241</v>
    <v>1242</v>
    <v>Hanoi</v>
    <v>20</v>
    <v>21</v>
    <v>Map</v>
    <v>22</v>
    <v>362</v>
    <v>VN-HN</v>
    <v>8117</v>
    <v>8118</v>
    <v>8020</v>
    <v>Hanoi, also called the Hanoi Capital, is the capital and second-most populous city of Vietnam. It covers an area of 3,359.82 km², and consists of 12 urban districts, one district-leveled town and 17 rural districts. It is located within the Red ...</v>
    <v>8119</v>
    <v>8120</v>
    <v>Hanoi</v>
    <v>8046</v>
    <v>8121</v>
    <v>8122</v>
    <v>Hanoi</v>
    <v>mdp/vdpid/-7974924153</v>
  </rv>
  <rv s="1">
    <fb>2096.56</fb>
    <v>25</v>
  </rv>
  <rv s="0">
    <v>536870912</v>
    <v>District 1, Ho Chi Minh City</v>
    <v>419b1ffd-d5b1-f4be-5509-d4fd0524ce62</v>
    <v>en-IN</v>
    <v>Map</v>
  </rv>
  <rv s="0">
    <v>536870912</v>
    <v>Republic of Vietnam</v>
    <v>0645022c-201e-9d07-c423-6eb42d0a86d6</v>
    <v>en-IN</v>
    <v>Map</v>
  </rv>
  <rv s="2">
    <v>247</v>
    <v>22</v>
    <v>1243</v>
    <v>7</v>
    <v>0</v>
    <v>Image of Ho Chi Minh City</v>
  </rv>
  <rv s="4">
    <v>https://www.bing.com/search?q=ho+chi+minh+city&amp;form=skydnc</v>
    <v>Learn more on Bing</v>
  </rv>
  <rv s="1">
    <fb>10380000</fb>
    <v>25</v>
  </rv>
  <rv s="107">
    <v>#VALUE!</v>
    <v>en-IN</v>
    <v>56b344bd-92d9-cb0b-00c2-5408a7bf99cf</v>
    <v>536870912</v>
    <v>1</v>
    <v>1245</v>
    <v>1246</v>
    <v>Ho Chi Minh City</v>
    <v>20</v>
    <v>21</v>
    <v>Map</v>
    <v>22</v>
    <v>72</v>
    <v>VN-SG</v>
    <v>8124</v>
    <v>8125</v>
    <v>8126</v>
    <v>Ho Chi Minh City, also commonly known as Saigon, is the most populous city in Vietnam, with a population of around 9.3 million in 2023. Situated in the Southeast region of Vietnam, the city surrounds the Saigon River and covers about 2,061 km².</v>
    <v>8127</v>
    <v>8128</v>
    <v>Ho Chi Minh City</v>
    <v>8129</v>
    <v>8122</v>
    <v>Ho Chi Minh City</v>
    <v>mdp/vdpid/-7974924178</v>
  </rv>
  <rv s="2">
    <v>245</v>
    <v>22</v>
    <v>1234</v>
    <v>3</v>
    <v>0</v>
    <v>Image of Vietnam</v>
  </rv>
  <rv s="59">
    <v>en-IN</v>
    <v>avpg52</v>
    <v>268435456</v>
    <v>1</v>
    <v>Powered by Refinitiv</v>
    <v>511</v>
    <v>PEN/USD</v>
    <v>43</v>
    <v>522</v>
    <v>Finance</v>
    <v>45</v>
    <v>0.29720000000000002</v>
    <v>0.2621</v>
    <v>0</v>
    <v>0</v>
    <v>USD</v>
    <v>PEN</v>
    <v>Currency Pair</v>
    <v>45954.875104166669</v>
    <v>Peruvian Sol/US Dollar FX Cross Rate</v>
    <v>0.29530000000000001</v>
    <v>0.29530000000000001</v>
    <v>PENUSD</v>
    <v>PEN/USD</v>
  </rv>
  <rv s="9">
    <v>8132</v>
  </rv>
  <rv s="0">
    <v>536870912</v>
    <v>Yemen</v>
    <v>8d8f36f1-f292-3a92-a6b9-2c3b83e3ffba</v>
    <v>en-IN</v>
    <v>Map</v>
  </rv>
  <rv s="1">
    <fb>0.44597230903270996</fb>
    <v>24</v>
  </rv>
  <rv s="1">
    <fb>555000</fb>
    <v>25</v>
  </rv>
  <rv s="1">
    <fb>40000</fb>
    <v>25</v>
  </rv>
  <rv s="1">
    <fb>30.452999999999999</fb>
    <v>26</v>
  </rv>
  <rv s="1">
    <fb>967</fb>
    <v>27</v>
  </rv>
  <rv s="0">
    <v>536870912</v>
    <v>Sanaa</v>
    <v>56f46305-0da3-cf73-a8cb-9985e8dca0be</v>
    <v>en-IN</v>
    <v>Map</v>
  </rv>
  <rv s="1">
    <fb>10608.630999999999</fb>
    <v>25</v>
  </rv>
  <rv s="1">
    <fb>157.58334053767501</fb>
    <v>28</v>
  </rv>
  <rv s="1">
    <fb>8.1047258362394792E-2</fb>
    <v>24</v>
  </rv>
  <rv s="1">
    <fb>219.79992243494601</fb>
    <v>25</v>
  </rv>
  <rv s="1">
    <fb>3.7919999999999998</fb>
    <v>26</v>
  </rv>
  <rv s="1">
    <fb>1.0398318086254901E-2</fb>
    <v>24</v>
  </rv>
  <rv s="1">
    <fb>98.488502741308295</fb>
    <v>29</v>
  </rv>
  <rv s="1">
    <fb>26914402223.782799</fb>
    <v>31</v>
  </rv>
  <rv s="1">
    <fb>0.93637479999999995</fb>
    <v>24</v>
  </rv>
  <rv s="1">
    <fb>0.1015192</fb>
    <v>24</v>
  </rv>
  <rv s="2">
    <v>248</v>
    <v>22</v>
    <v>1248</v>
    <v>7</v>
    <v>0</v>
    <v>Image of Yemen</v>
  </rv>
  <rv s="1">
    <fb>42.9</fb>
    <v>29</v>
  </rv>
  <rv s="0">
    <v>805306368</v>
    <v>Maeen Abdulmalik Saeed (Prime minister)</v>
    <v>3a1dccc6-a7a3-ba7a-46e2-b8466bac4646</v>
    <v>en-IN</v>
    <v>Generic</v>
  </rv>
  <rv s="3">
    <v>432</v>
  </rv>
  <rv s="4">
    <v>https://www.bing.com/search?q=yemen&amp;form=skydnc</v>
    <v>Learn more on Bing</v>
  </rv>
  <rv s="1">
    <fb>66.096000000000004</fb>
    <v>29</v>
  </rv>
  <rv s="1">
    <fb>164</fb>
    <v>29</v>
  </rv>
  <rv s="1">
    <fb>0.80957237960000006</fb>
    <v>24</v>
  </rv>
  <rv s="1">
    <fb>0.31040000000000001</fb>
    <v>26</v>
  </rv>
  <rv s="1">
    <fb>33696614</fb>
    <v>25</v>
  </rv>
  <rv s="0">
    <v>536870912</v>
    <v>'Adan Governorate</v>
    <v>eb50c1a3-efd7-4783-80e8-c87bef8feab4</v>
    <v>en-IN</v>
    <v>Map</v>
  </rv>
  <rv s="0">
    <v>536870912</v>
    <v>'Amran Governorate</v>
    <v>444bbf4c-044c-856e-419d-a399f325ce9b</v>
    <v>en-IN</v>
    <v>Map</v>
  </rv>
  <rv s="0">
    <v>536870912</v>
    <v>Abyan Governorate</v>
    <v>807f60a7-1105-4311-925d-b51fc5bfd502</v>
    <v>en-IN</v>
    <v>Map</v>
  </rv>
  <rv s="0">
    <v>536870912</v>
    <v>Dhale Governorate</v>
    <v>8f330532-4719-a00a-c381-965e99123f05</v>
    <v>en-IN</v>
    <v>Map</v>
  </rv>
  <rv s="0">
    <v>536870912</v>
    <v>Al Bayda Governorate</v>
    <v>ba6cac62-32a1-cfae-3f4a-7840cd45b9c7</v>
    <v>en-IN</v>
    <v>Map</v>
  </rv>
  <rv s="0">
    <v>536870912</v>
    <v>Al Hudaydah Governorate</v>
    <v>5e8ad357-8bfa-1a01-96bb-78ef87ff9428</v>
    <v>en-IN</v>
    <v>Map</v>
  </rv>
  <rv s="0">
    <v>536870912</v>
    <v>Al Jawf Governorate</v>
    <v>640f28d8-6aea-c10f-ef57-32833685338e</v>
    <v>en-IN</v>
    <v>Map</v>
  </rv>
  <rv s="0">
    <v>536870912</v>
    <v>Al Mahrah Governorate</v>
    <v>b3a7fb9f-2cda-45ea-b7d4-38ec75cea515</v>
    <v>en-IN</v>
    <v>Map</v>
  </rv>
  <rv s="0">
    <v>536870912</v>
    <v>Al Mahwit Governorate</v>
    <v>657040b2-99af-4ad7-9fb7-6e70c2e2ce96</v>
    <v>en-IN</v>
    <v>Map</v>
  </rv>
  <rv s="0">
    <v>536870912</v>
    <v>Dhamar Governorate</v>
    <v>156f4d23-ef1f-56f1-cf12-f3f0f3a28bc3</v>
    <v>en-IN</v>
    <v>Map</v>
  </rv>
  <rv s="0">
    <v>536870912</v>
    <v>Hadhramaut Governorate</v>
    <v>36085ad6-c026-a02d-2fef-2cb63495f86a</v>
    <v>en-IN</v>
    <v>Map</v>
  </rv>
  <rv s="0">
    <v>536870912</v>
    <v>Hajjah Governorate</v>
    <v>2f982afb-75be-f024-a89c-4f435a7f4bc2</v>
    <v>en-IN</v>
    <v>Map</v>
  </rv>
  <rv s="0">
    <v>536870912</v>
    <v>Ibb Governorate</v>
    <v>9498bb6c-618a-53e1-2ce0-34e2a95676a2</v>
    <v>en-IN</v>
    <v>Map</v>
  </rv>
  <rv s="0">
    <v>536870912</v>
    <v>Lahij Governorate</v>
    <v>a2a3856c-1e2e-57e3-18b9-d4ce416535c9</v>
    <v>en-IN</v>
    <v>Map</v>
  </rv>
  <rv s="0">
    <v>536870912</v>
    <v>Ma'rib Governorate</v>
    <v>a74db4fb-7b9e-9cfb-c363-ff67438aa533</v>
    <v>en-IN</v>
    <v>Map</v>
  </rv>
  <rv s="0">
    <v>536870912</v>
    <v>Raymah Governorate</v>
    <v>f40c5b8c-4e9e-49c3-9166-fbcd66fb22b5</v>
    <v>en-IN</v>
    <v>Map</v>
  </rv>
  <rv s="0">
    <v>536870912</v>
    <v>Saada Governorate</v>
    <v>f16542f3-5ea0-8735-1916-12c210ee9229</v>
    <v>en-IN</v>
    <v>Map</v>
  </rv>
  <rv s="0">
    <v>536870912</v>
    <v>Shabwah Governorate</v>
    <v>7b57d3b2-5008-605a-324d-86ad1fcd5137</v>
    <v>en-IN</v>
    <v>Map</v>
  </rv>
  <rv s="0">
    <v>536870912</v>
    <v>Ta'izz Governorate</v>
    <v>84db9bc1-b7e9-bfe3-ec7c-db9a3ba92b32</v>
    <v>en-IN</v>
    <v>Map</v>
  </rv>
  <rv s="0">
    <v>536870912</v>
    <v>Socotra Governorate</v>
    <v>ab37d4a6-bf21-4cce-b242-4de744e30409</v>
    <v>en-IN</v>
    <v>Map</v>
  </rv>
  <rv s="3">
    <v>433</v>
  </rv>
  <rv s="1">
    <fb>0.26600000000000001</fb>
    <v>24</v>
  </rv>
  <rv s="1">
    <fb>0.12909999847412101</fb>
    <v>32</v>
  </rv>
  <rv s="1">
    <fb>10869523</fb>
    <v>25</v>
  </rv>
  <rv s="108">
    <v>#VALUE!</v>
    <v>en-IN</v>
    <v>8d8f36f1-f292-3a92-a6b9-2c3b83e3ffba</v>
    <v>536870912</v>
    <v>1</v>
    <v>1251</v>
    <v>1252</v>
    <v>Yemen</v>
    <v>20</v>
    <v>21</v>
    <v>Map</v>
    <v>22</v>
    <v>1253</v>
    <v>YE</v>
    <v>8135</v>
    <v>8136</v>
    <v>8137</v>
    <v>8138</v>
    <v>8139</v>
    <v>8140</v>
    <v>8141</v>
    <v>8142</v>
    <v>8143</v>
    <v>YER</v>
    <v>Yemen, officially the Republic of Yemen, is a country in West Asia. It is located in the southern end of the Arabian Peninsula, and borders Saudi Arabia to the north and Oman to the northeast. It shares maritime borders with Eritrea, Djibouti ...</v>
    <v>8144</v>
    <v>8145</v>
    <v>8146</v>
    <v>8147</v>
    <v>5880</v>
    <v>8148</v>
    <v>8149</v>
    <v>8150</v>
    <v>8151</v>
    <v>8152</v>
    <v>8140</v>
    <v>8154</v>
    <v>8155</v>
    <v>8156</v>
    <v>8157</v>
    <v>Yemen</v>
    <v>National anthem of Yemen</v>
    <v>808</v>
    <v>الجمهورية اليمنية</v>
    <v>8158</v>
    <v>8159</v>
    <v>8160</v>
    <v>4089</v>
    <v>5457</v>
    <v>277</v>
    <v>2359</v>
    <v>5971</v>
    <v>1236</v>
    <v>1237</v>
    <v>2235</v>
    <v>8181</v>
    <v>8182</v>
    <v>8183</v>
    <v>Yemen</v>
    <v>8184</v>
    <v>mdp/vdpid/261</v>
  </rv>
  <rv s="1">
    <fb>3450</fb>
    <v>25</v>
  </rv>
  <rv s="2">
    <v>249</v>
    <v>22</v>
    <v>1254</v>
    <v>7</v>
    <v>0</v>
    <v>Image of Sanaa</v>
  </rv>
  <rv s="4">
    <v>https://www.bing.com/search?q=sana%27a&amp;form=skydnc</v>
    <v>Learn more on Bing</v>
  </rv>
  <rv s="1">
    <fb>2957000</fb>
    <v>25</v>
  </rv>
  <rv s="109">
    <v>#VALUE!</v>
    <v>en-IN</v>
    <v>56f46305-0da3-cf73-a8cb-9985e8dca0be</v>
    <v>536870912</v>
    <v>1</v>
    <v>1255</v>
    <v>1256</v>
    <v>Sanaa</v>
    <v>20</v>
    <v>21</v>
    <v>Map</v>
    <v>22</v>
    <v>153</v>
    <v>8186</v>
    <v>8134</v>
    <v>Sanaa, also spelled Sana'a and Sana, is the capital and largest city in Yemen and the centre of Sanaa Governorate. The city is not part of the Governorate, but forms the separate administrative district of ʾAmānat al-ʿĀṣimah. According to the ...</v>
    <v>8187</v>
    <v>8188</v>
    <v>Sanaa</v>
    <v>8189</v>
    <v>Sanaa</v>
    <v>mdp/vdpid/7330606504686387201</v>
  </rv>
  <rv s="2">
    <v>248</v>
    <v>22</v>
    <v>1248</v>
    <v>3</v>
    <v>0</v>
    <v>Image of Yemen</v>
  </rv>
  <rv s="8">
    <v>en-IN</v>
    <v>avymim</v>
    <v>268435456</v>
    <v>1</v>
    <v>Powered by Refinitiv</v>
    <v>42</v>
    <v>USD/CRC</v>
    <v>43</v>
    <v>1257</v>
    <v>Finance</v>
    <v>45</v>
    <v>514</v>
    <v>495</v>
    <v>0</v>
    <v>0</v>
    <v>CRC</v>
    <v>USD</v>
    <v>500.01</v>
    <v>Currency Pair</v>
    <v>45957.21769675926</v>
    <v>504.06</v>
    <v>US Dollar/Costa Rica Colon FX Spot Rate</v>
    <v>497.43</v>
    <v>497.43</v>
    <v>497.43</v>
    <v>USDCRC</v>
    <v>USD/CRC</v>
  </rv>
  <rv s="9">
    <v>8192</v>
  </rv>
  <rv s="8">
    <v>en-IN</v>
    <v>av6ck2</v>
    <v>268435456</v>
    <v>1</v>
    <v>Powered by Refinitiv</v>
    <v>42</v>
    <v>CRC/USD</v>
    <v>43</v>
    <v>62</v>
    <v>Finance</v>
    <v>45</v>
    <v>2E-3</v>
    <v>1.92E-3</v>
    <v>0</v>
    <v>0</v>
    <v>USD</v>
    <v>CRC</v>
    <v>1.9840000000000001E-3</v>
    <v>Currency Pair</v>
    <v>45957.21769675926</v>
    <v>2E-3</v>
    <v>Costa Rica Colon/US Dollar FX Cross Rate</v>
    <v>1.98E-3</v>
    <v>1.98E-3</v>
    <v>1.98E-3</v>
    <v>CRCUSD</v>
    <v>CRC/USD</v>
  </rv>
  <rv s="9">
    <v>8194</v>
  </rv>
  <rv s="8">
    <v>en-IN</v>
    <v>avyqzr</v>
    <v>268435456</v>
    <v>1</v>
    <v>Powered by Refinitiv</v>
    <v>42</v>
    <v>USD/NIO</v>
    <v>43</v>
    <v>1258</v>
    <v>Finance</v>
    <v>45</v>
    <v>36.630000000000003</v>
    <v>36.450000000000003</v>
    <v>0</v>
    <v>0</v>
    <v>NIO</v>
    <v>USD</v>
    <v>36.619999999999997</v>
    <v>Currency Pair</v>
    <v>45957.217789351853</v>
    <v>37</v>
    <v>US Dollar/Nicaragua Cordoba FX Spot Rate</v>
    <v>36.6</v>
    <v>36.6</v>
    <v>36.6</v>
    <v>USDNIO</v>
    <v>USD/NIO</v>
  </rv>
  <rv s="9">
    <v>8196</v>
  </rv>
  <rv s="8">
    <v>en-IN</v>
    <v>avn18m</v>
    <v>268435456</v>
    <v>1</v>
    <v>Powered by Refinitiv</v>
    <v>42</v>
    <v>NIO/USD</v>
    <v>43</v>
    <v>62</v>
    <v>Finance</v>
    <v>45</v>
    <v>2.7310000000000001E-2</v>
    <v>2.6749999999999999E-2</v>
    <v>0</v>
    <v>0</v>
    <v>USD</v>
    <v>NIO</v>
    <v>2.7029999999999998E-2</v>
    <v>Currency Pair</v>
    <v>45957.217789351853</v>
    <v>2.7310000000000001E-2</v>
    <v>Nicaragua Cordoba/US Dollar FX Cross Rate</v>
    <v>2.7029999999999998E-2</v>
    <v>2.7029999999999998E-2</v>
    <v>2.7029999999999998E-2</v>
    <v>NIOUSD</v>
    <v>NIO/USD</v>
  </rv>
  <rv s="9">
    <v>8198</v>
  </rv>
  <rv s="8">
    <v>en-IN</v>
    <v>avymww</v>
    <v>268435456</v>
    <v>1</v>
    <v>Powered by Refinitiv</v>
    <v>42</v>
    <v>USD/DOP</v>
    <v>43</v>
    <v>1259</v>
    <v>Finance</v>
    <v>45</v>
    <v>63.88</v>
    <v>58.4</v>
    <v>-7.0000000000000007E-2</v>
    <v>-1.096E-3</v>
    <v>DOP</v>
    <v>USD</v>
    <v>63.88</v>
    <v>Currency Pair</v>
    <v>45957.209131944444</v>
    <v>64.23</v>
    <v>US Dollar/Dominican Peso FX Spot Rate</v>
    <v>63.88</v>
    <v>63.88</v>
    <v>63.81</v>
    <v>USDDOP</v>
    <v>USD/DOP</v>
  </rv>
  <rv s="9">
    <v>8200</v>
  </rv>
  <rv s="8">
    <v>en-IN</v>
    <v>av7um7</v>
    <v>268435456</v>
    <v>1</v>
    <v>Powered by Refinitiv</v>
    <v>42</v>
    <v>DOP/USD</v>
    <v>43</v>
    <v>62</v>
    <v>Finance</v>
    <v>45</v>
    <v>1.6969999999999999E-2</v>
    <v>1.555E-2</v>
    <v>1.0000000000000001E-5</v>
    <v>6.4269999999999996E-4</v>
    <v>USD</v>
    <v>DOP</v>
    <v>1.5570000000000001E-2</v>
    <v>Currency Pair</v>
    <v>45957.209131944444</v>
    <v>1.5650000000000001E-2</v>
    <v>Dominican Peso/US Dollar FX Cross Rate</v>
    <v>1.5559999999999999E-2</v>
    <v>1.5559999999999999E-2</v>
    <v>1.5570000000000001E-2</v>
    <v>DOPUSD</v>
    <v>DOP/USD</v>
  </rv>
  <rv s="9">
    <v>8202</v>
  </rv>
  <rv s="8">
    <v>en-IN</v>
    <v>avynf2</v>
    <v>268435456</v>
    <v>1</v>
    <v>Powered by Refinitiv</v>
    <v>42</v>
    <v>USD/GMD</v>
    <v>43</v>
    <v>1260</v>
    <v>Finance</v>
    <v>45</v>
    <v>73.45</v>
    <v>69</v>
    <v>0</v>
    <v>0</v>
    <v>GMD</v>
    <v>USD</v>
    <v>72.45</v>
    <v>Currency Pair</v>
    <v>45957.145671296297</v>
    <v>74.45</v>
    <v>US Dollar/Gambian Dalasi FX Spot Rate</v>
    <v>72.45</v>
    <v>72.45</v>
    <v>72.45</v>
    <v>USDGMD</v>
    <v>USD/GMD</v>
  </rv>
  <rv s="9">
    <v>8204</v>
  </rv>
  <rv s="8">
    <v>en-IN</v>
    <v>av9oar</v>
    <v>268435456</v>
    <v>1</v>
    <v>Powered by Refinitiv</v>
    <v>42</v>
    <v>GMD/USD</v>
    <v>43</v>
    <v>62</v>
    <v>Finance</v>
    <v>45</v>
    <v>1.41E-2</v>
    <v>1.34E-2</v>
    <v>0</v>
    <v>0</v>
    <v>USD</v>
    <v>GMD</v>
    <v>1.34E-2</v>
    <v>Currency Pair</v>
    <v>45957.145671296297</v>
    <v>1.38E-2</v>
    <v>Gambian Dalasi/US Dollar FX Cross Rate</v>
    <v>1.34E-2</v>
    <v>1.34E-2</v>
    <v>1.34E-2</v>
    <v>GMDUSD</v>
    <v>GMD/USD</v>
  </rv>
  <rv s="9">
    <v>8206</v>
  </rv>
  <rv s="59">
    <v>en-IN</v>
    <v>avysmw</v>
    <v>268435456</v>
    <v>1</v>
    <v>Powered by Refinitiv</v>
    <v>511</v>
    <v>USD/SLL</v>
    <v>43</v>
    <v>993</v>
    <v>Finance</v>
    <v>45</v>
    <v>22933</v>
    <v>17911</v>
    <v>0</v>
    <v>0</v>
    <v>SLL</v>
    <v>USD</v>
    <v>Currency Pair</v>
    <v>45289.910775462966</v>
    <v>US Dollar/Sierra Leone Leone FX Spot Rate</v>
    <v>22683</v>
    <v>22683</v>
    <v>USDSLL</v>
    <v>USD/SLL</v>
  </rv>
  <rv s="9">
    <v>8208</v>
  </rv>
  <rv s="110">
    <v>en-IN</v>
    <v>avt3h7</v>
    <v>268435456</v>
    <v>1</v>
    <v>Powered by Refinitiv</v>
    <v>1261</v>
    <v>SLL/USD</v>
    <v>43</v>
    <v>1262</v>
    <v>Finance</v>
    <v>45</v>
    <v>5.5000000000000002E-5</v>
    <v>4.3000000000000002E-5</v>
    <v>-9.9999999999999995E-8</v>
    <v>USD</v>
    <v>SLL</v>
    <v>Currency Pair</v>
    <v>45289.984537037039</v>
    <v>Sierra Leone Leone/US Dollar FX Cross Rate</v>
    <v>4.3800000000000001E-5</v>
    <v>4.3699999999999998E-5</v>
    <v>SLLUSD</v>
    <v>SLL/USD</v>
  </rv>
  <rv s="9">
    <v>8210</v>
  </rv>
  <rv s="35">
    <v>12</v>
    <v>Change (%)</v>
    <v>0</v>
  </rv>
  <rv s="8">
    <v>en-IN</v>
    <v>bpz1gh</v>
    <v>268435456</v>
    <v>1</v>
    <v>Powered by Refinitiv</v>
    <v>42</v>
    <v>USD/SDG</v>
    <v>43</v>
    <v>1260</v>
    <v>Finance</v>
    <v>45</v>
    <v>598.88019999999995</v>
    <v>598.4502</v>
    <v>0</v>
    <v>0</v>
    <v>SDG</v>
    <v>USD</v>
    <v>598.4502</v>
    <v>Currency Pair</v>
    <v>45957.145636574074</v>
    <v>601.7912</v>
    <v>US Dollar/Sudanese Pound FX Spot Rate</v>
    <v>598.4502</v>
    <v>598.4502</v>
    <v>598.4502</v>
    <v>USDSDG</v>
    <v>USD/SDG</v>
  </rv>
  <rv s="9">
    <v>8213</v>
  </rv>
  <rv s="8">
    <v>en-IN</v>
    <v>brjc4c</v>
    <v>268435456</v>
    <v>1</v>
    <v>Powered by Refinitiv</v>
    <v>42</v>
    <v>SDG/USD</v>
    <v>43</v>
    <v>62</v>
    <v>Finance</v>
    <v>45</v>
    <v>1.66E-3</v>
    <v>1.66E-3</v>
    <v>0</v>
    <v>0</v>
    <v>USD</v>
    <v>SDG</v>
    <v>1.66E-3</v>
    <v>Currency Pair</v>
    <v>45957.145636574074</v>
    <v>1.67E-3</v>
    <v>Sudanese Pound/US Dollar FX Cross Rate</v>
    <v>1.66E-3</v>
    <v>1.66E-3</v>
    <v>1.66E-3</v>
    <v>SDGUSD</v>
    <v>SDG/USD</v>
  </rv>
  <rv s="9">
    <v>8215</v>
  </rv>
</rvData>
</file>

<file path=xl/richData/rdrichvaluestructure.xml><?xml version="1.0" encoding="utf-8"?>
<rvStructures xmlns="http://schemas.microsoft.com/office/spreadsheetml/2017/richdata" count="1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Population" t="r"/>
    <k n="Time zone(s)"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High"/>
    <k n="Instrument type" t="s"/>
    <k n="Last trade time"/>
    <k n="Low"/>
    <k n="Name" t="s"/>
    <k n="Open"/>
    <k n="Previous close"/>
    <k n="Price"/>
    <k n="Ticker symbol" t="s"/>
    <k n="UniqueName" t="s"/>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Population"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Price (Extended hours)"/>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Industry" t="s"/>
    <k n="Instrument type" t="s"/>
    <k n="Last trade time"/>
    <k n="LearnMoreOnLink" t="r"/>
    <k n="Market cap"/>
    <k n="Name" t="s"/>
    <k n="Official name" t="s"/>
    <k n="P/E"/>
    <k n="Previous close"/>
    <k n="Price"/>
    <k n="Shares outstanding"/>
    <k n="Ticker symbol" t="s"/>
    <k n="UniqueName" t="s"/>
    <k n="Volume"/>
    <k n="Volume average"/>
    <k n="Year incorporated"/>
  </s>
  <s t="_error">
    <k n="errorType" t="i"/>
    <k n="field" t="s"/>
    <k n="subType" t="i"/>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Largest city" t="r"/>
    <k n="Leader(s)" t="r"/>
    <k n="LearnMoreOnLink" t="r"/>
    <k n="Life expectancy" t="r"/>
    <k n="Name" t="s"/>
    <k n="National anthem" t="s"/>
    <k n="Official language" t="r"/>
    <k n="Official name" t="s"/>
    <k n="Population" t="r"/>
    <k n="Subdivisions"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Admin Division 2 (County/district/other)" t="r"/>
    <k n="Country/region" t="r"/>
    <k n="Description" t="s"/>
    <k n="Image" t="r"/>
    <k n="Latitude" t="r"/>
    <k n="LearnMoreOnLink" t="r"/>
    <k n="Longitude" t="r"/>
    <k n="Name" t="s"/>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irth rate" t="r"/>
    <k n="Calling code" t="r"/>
    <k n="Capital/Major City" t="r"/>
    <k n="Currency code" t="s"/>
    <k n="Description" t="s"/>
    <k n="Gasoline price" t="r"/>
    <k n="GDP" t="r"/>
    <k n="Image" t="r"/>
    <k n="Infant mortality" t="r"/>
    <k n="Largest city" t="r"/>
    <k n="Leader(s)" t="r"/>
    <k n="LearnMoreOnLink" t="r"/>
    <k n="Minimum wage" t="r"/>
    <k n="Name" t="s"/>
    <k n="National anthem" t="s"/>
    <k n="Official language" t="r"/>
    <k n="Official name" t="s"/>
    <k n="Out of pocket health expenditure (%)" t="r"/>
    <k n="Physicians per thousand" t="r"/>
    <k n="Population" t="r"/>
    <k n="Time zone(s)" t="r"/>
    <k n="UniqueName" t="s"/>
    <k n="Urban population" t="r"/>
    <k n="VDPID/VSID" t="s"/>
  </s>
  <s t="_linkedentitycore">
    <k n="%EntityCulture" t="s"/>
    <k n="%EntityId" t="s"/>
    <k n="%EntityServiceId"/>
    <k n="%IsRefreshable" t="b"/>
    <k n="%OutdatedReason" t="i"/>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ime zone(s)" t="r"/>
    <k n="Total tax rate" t="r"/>
    <k n="Unemployment rate" t="r"/>
    <k n="UniqueName" t="s"/>
    <k n="Urban population" t="r"/>
    <k n="VDPID/VSID" t="s"/>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lling code" t="r"/>
    <k n="Capital/Major City" t="r"/>
    <k n="Currency code" t="s"/>
    <k n="Description" t="s"/>
    <k n="GDP" t="r"/>
    <k n="Image" t="r"/>
    <k n="Largest city" t="r"/>
    <k n="Leader(s)" t="r"/>
    <k n="LearnMoreOnLink" t="r"/>
    <k n="Name" t="s"/>
    <k n="National anthem" t="s"/>
    <k n="Official language" t="r"/>
    <k n="Official name" t="s"/>
    <k n="Population" t="r"/>
    <k n="Subdivision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Name" t="s"/>
    <k n="National anthem" t="s"/>
    <k n="Official language" t="r"/>
    <k n="Official name" t="s"/>
    <k n="Out of pocket health expenditure (%)" t="r"/>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inimum wage" t="r"/>
    <k n="Name" t="s"/>
    <k n="National anthem" t="s"/>
    <k n="Official language" t="r"/>
    <k n="Official name" t="s"/>
    <k n="Out of pocket health expenditure (%)" t="r"/>
    <k n="Physicians per thousand" t="r"/>
    <k n="Population"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rnMoreOnLink" t="r"/>
    <k n="Longitude" t="r"/>
    <k n="Name" t="s"/>
    <k n="UniqueName" t="s"/>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PI" t="r"/>
    <k n="CPI Change (%)" t="r"/>
    <k n="Currency code" t="s"/>
    <k n="Description" t="s"/>
    <k n="Fertility rate" t="r"/>
    <k n="Forested area (%)" t="r"/>
    <k n="GDP" t="r"/>
    <k n="Gross primary education enrollment (%)" t="r"/>
    <k n="Gross tertiary education enrollment (%)" t="r"/>
    <k n="Image" t="r"/>
    <k n="Infant mortality" t="r"/>
    <k n="Largest city" t="r"/>
    <k n="LearnMoreOnLink" t="r"/>
    <k n="Life expectancy" t="r"/>
    <k n="Name" t="s"/>
    <k n="National anthem" t="s"/>
    <k n="Official language" t="r"/>
    <k n="Official name" t="s"/>
    <k n="Out of pocket health expenditure (%)" t="r"/>
    <k n="Physicians per thousand" t="r"/>
    <k n="Population" t="r"/>
    <k n="Subdivisions" t="r"/>
    <k n="Tax revenue (%)" t="r"/>
    <k n="Time zone(s)"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Subdivisions" t="r"/>
    <k n="Tax revenue (%)" t="r"/>
    <k n="Total tax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Labor force participation (%)"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Physicians per thousand" t="r"/>
    <k n="Population" t="r"/>
    <k n="Population: Labor force participation (%)" t="r"/>
    <k n="Subdivisions" t="r"/>
    <k n="Tax revenue (%)"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Official language"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Armed forces size" t="r"/>
    <k n="Birth rate" t="r"/>
    <k n="Calling code" t="r"/>
    <k n="Capital/Major City" t="r"/>
    <k n="Carbon dioxide emissions" t="r"/>
    <k n="CPI" t="r"/>
    <k n="CPI Change (%)" t="r"/>
    <k n="Currency code" t="s"/>
    <k n="Description" t="s"/>
    <k n="Electric power consumption" t="r"/>
    <k n="Fertility rate" t="r"/>
    <k n="Fossil fuel energy consumption" t="r"/>
    <k n="Gasoline price" t="r"/>
    <k n="GDP" t="r"/>
    <k n="Gross prim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r"/>
    <k n="Currency code" t="s"/>
    <k n="Description" t="s"/>
    <k n="GDP" t="r"/>
    <k n="Image" t="r"/>
    <k n="Largest city" t="r"/>
    <k n="Leader(s)" t="r"/>
    <k n="LearnMoreOnLink" t="r"/>
    <k n="Minimum wage" t="r"/>
    <k n="Name" t="s"/>
    <k n="National anthem" t="s"/>
    <k n="Official language" t="r"/>
    <k n="Official name" t="s"/>
    <k n="Population" t="r"/>
    <k n="Subdivisions"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s"/>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Birth rate" t="r"/>
    <k n="Calling code" t="r"/>
    <k n="Capital/Major City" t="r"/>
    <k n="Carbon dioxide emissions" t="r"/>
    <k n="CPI" t="r"/>
    <k n="CPI Change (%)" t="r"/>
    <k n="Currency code" t="s"/>
    <k n="Description" t="s"/>
    <k n="Fertility rate" t="r"/>
    <k n="Forested area (%)" t="r"/>
    <k n="Fossil fuel energy consumption"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Calling code" t="r"/>
    <k n="Capital/Major City" t="r"/>
    <k n="Carbon dioxide emissions" t="r"/>
    <k n="Currency code" t="s"/>
    <k n="Description" t="s"/>
    <k n="Forested area (%)" t="r"/>
    <k n="GDP" t="r"/>
    <k n="Gross primary education enrollment (%)" t="r"/>
    <k n="Image" t="r"/>
    <k n="Infant mortality" t="r"/>
    <k n="Largest city" t="r"/>
    <k n="Leader(s)" t="r"/>
    <k n="LearnMoreOnLink"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argest city"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pital/Major City" t="s"/>
    <k n="Country/region" t="r"/>
    <k n="Description" t="s"/>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ountry/region" t="r"/>
    <k n="Description" t="s"/>
    <k n="Households" t="r"/>
    <k n="Housing units" t="r"/>
    <k n="Image" t="r"/>
    <k n="Leader(s)" t="r"/>
    <k n="LearnMoreOnLink" t="r"/>
    <k n="Median gross rent" t="r"/>
    <k n="Median household income" t="r"/>
    <k n="Median value, owner-occupied housing units" t="r"/>
    <k n="Name" t="s"/>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alling code" t="r"/>
    <k n="Capital/Major City" t="s"/>
    <k n="Currency code" t="s"/>
    <k n="Description" t="s"/>
    <k n="Image" t="r"/>
    <k n="Leader(s)" t="r"/>
    <k n="LearnMoreOnLink" t="r"/>
    <k n="Name" t="s"/>
    <k n="National anthem" t="s"/>
    <k n="Official language" t="r"/>
    <k n="Official 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earnMoreOnLink" t="r"/>
    <k n="Name" t="s"/>
    <k n="Population" t="r"/>
    <k n="UniqueName" t="s"/>
    <k n="VDPID/VSID" t="s"/>
  </s>
  <s t="_linkedentitycore">
    <k n="%EntityCulture" t="s"/>
    <k n="%EntityId" t="s"/>
    <k n="%EntityServiceId"/>
    <k n="%IsRefreshable" t="b"/>
    <k n="%ProviderInfo" t="s"/>
    <k n="_Display" t="spb"/>
    <k n="_DisplayString" t="s"/>
    <k n="_Flags" t="spb"/>
    <k n="_Format" t="spb"/>
    <k n="_Icon" t="s"/>
    <k n="_SubLabel" t="spb"/>
    <k n="52 week high"/>
    <k n="52 week low"/>
    <k n="Change"/>
    <k n="Currency" t="s"/>
    <k n="From currency" t="s"/>
    <k n="Instrument type" t="s"/>
    <k n="Last trade time"/>
    <k n="Name" t="s"/>
    <k n="Previous close"/>
    <k n="Price"/>
    <k n="Ticker symbol" t="s"/>
    <k n="UniqueName" t="s"/>
  </s>
</rvStructures>
</file>

<file path=xl/richData/rdsupportingpropertybag.xml><?xml version="1.0" encoding="utf-8"?>
<supportingPropertyBags xmlns="http://schemas.microsoft.com/office/spreadsheetml/2017/richdata2">
  <spbArrays count="100">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Latitude</v>
      <v t="s">Longitude</v>
      <v t="s">Time zone(s)</v>
      <v t="s">_Flags</v>
      <v t="s">VDPID/VSID</v>
      <v t="s">UniqueName</v>
      <v t="s">_DisplayString</v>
      <v t="s">LearnMoreOnLink</v>
      <v t="s">Image</v>
      <v t="s">Description</v>
    </a>
    <a count="27">
      <v t="s">%EntityServiceId</v>
      <v t="s">_Format</v>
      <v t="s">%IsRefreshable</v>
      <v t="s">%EntityCulture</v>
      <v t="s">%EntityId</v>
      <v t="s">_Icon</v>
      <v t="s">_Display</v>
      <v t="s">Name</v>
      <v t="s">Price</v>
      <v t="s">_SubLabel</v>
      <v t="s">Last trade time</v>
      <v t="s">Ticker symbol</v>
      <v t="s">Change</v>
      <v t="s">Change (%)</v>
      <v t="s">Currency</v>
      <v t="s">From currency</v>
      <v t="s">Previous close</v>
      <v t="s">Open</v>
      <v t="s">High</v>
      <v t="s">Low</v>
      <v t="s">52 week high</v>
      <v t="s">52 week low</v>
      <v t="s">Instrument type</v>
      <v t="s">_Flags</v>
      <v t="s">UniqueName</v>
      <v t="s">_DisplayString</v>
      <v t="s">%ProviderInfo</v>
    </a>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6">
      <v t="s">%EntityServiceId</v>
      <v t="s">%IsRefreshable</v>
      <v t="s">%EntityCulture</v>
      <v t="s">%EntityId</v>
      <v t="s">_Icon</v>
      <v t="s">_Provider</v>
      <v t="s">_Attribution</v>
      <v t="s">_Display</v>
      <v t="s">Name</v>
      <v t="s">_Format</v>
      <v t="s">Leader(s)</v>
      <v t="s">Country/region</v>
      <v t="s">_SubLabel</v>
      <v t="s">Population</v>
      <v t="s">Area</v>
      <v t="s">Abbreviation</v>
      <v t="s">Households</v>
      <v t="s">Persons per household</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Official language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Abbreviation</v>
      <v t="s">_Flags</v>
      <v t="s">VDPID/VSID</v>
      <v t="s">UniqueName</v>
      <v t="s">_DisplayString</v>
      <v t="s">LearnMoreOnLink</v>
      <v t="s">Image</v>
      <v t="s">Description</v>
    </a>
    <a count="44">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Out of pocket health expenditure (%)</v>
      <v t="s">Physicians per thousand</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31">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Calling code</v>
      <v t="s">_Flags</v>
      <v t="s">VDPID/VSID</v>
      <v t="s">UniqueName</v>
      <v t="s">_DisplayString</v>
      <v t="s">LearnMoreOnLink</v>
      <v t="s">Image</v>
      <v t="s">Description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Population</v>
      <v t="s">Area</v>
      <v t="s">Latitude</v>
      <v t="s">Longitude</v>
      <v t="s">_Flags</v>
      <v t="s">VDPID/VSID</v>
      <v t="s">UniqueName</v>
      <v t="s">_DisplayString</v>
      <v t="s">LearnMoreOnLink</v>
      <v t="s">Description</v>
    </a>
    <a count="4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Urban population</v>
      <v t="s">Agricultural land (%)</v>
      <v t="s">Forested area (%)</v>
      <v t="s">Carbon dioxide emissions</v>
      <v t="s">Gasoline price</v>
      <v t="s">Total tax rate</v>
      <v t="s">Gross primary education enrollment (%)</v>
      <v t="s">Gross tertiary education enrollment (%)</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Official language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Leader(s)</v>
      <v t="s">Country/region</v>
      <v t="s">_SubLabel</v>
      <v t="s">Population</v>
      <v t="s">Area</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Gasoline price</v>
      <v t="s">Minimum wage</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0">
      <v t="s">%EntityServiceId</v>
      <v t="s">%IsRefreshable</v>
      <v t="s">%EntityCulture</v>
      <v t="s">%EntityId</v>
      <v t="s">_Icon</v>
      <v t="s">_Provider</v>
      <v t="s">_Attribution</v>
      <v t="s">_Display</v>
      <v t="s">Name</v>
      <v t="s">_Format</v>
      <v t="s">Admin Division 2 (County/district/other)</v>
      <v t="s">Country/region</v>
      <v t="s">Latitude</v>
      <v t="s">Longitude</v>
      <v t="s">_Flags</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Households</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Latitude</v>
      <v t="s">Longitude</v>
      <v t="s">_Flags</v>
      <v t="s">VDPID/VSID</v>
      <v t="s">UniqueName</v>
      <v t="s">_DisplayString</v>
      <v t="s">LearnMoreOnLink</v>
      <v t="s">Image</v>
      <v t="s">Description</v>
    </a>
    <a count="3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Birth rate</v>
      <v t="s">Infant mortality</v>
      <v t="s">Urban population</v>
      <v t="s">Gasoline price</v>
      <v t="s">Minimum wage</v>
      <v t="s">Out of pocket health expenditure (%)</v>
      <v t="s">Physicians per thousand</v>
      <v t="s">Time zone(s)</v>
      <v t="s">Calling code</v>
      <v t="s">_Flags</v>
      <v t="s">VDPID/VSID</v>
      <v t="s">UniqueName</v>
      <v t="s">_DisplayString</v>
      <v t="s">LearnMoreOnLink</v>
      <v t="s">Image</v>
      <v t="s">Description</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v t="s">%OutdatedReason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a count="3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Capital/Major City</v>
      <v t="s">Country/region</v>
      <v t="s">_SubLabel</v>
      <v t="s">Population</v>
      <v t="s">Area</v>
      <v t="s">Abbreviation</v>
      <v t="s">_Flags</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UniqueName</v>
      <v t="s">_DisplayString</v>
      <v t="s">LearnMoreOnLink</v>
      <v t="s">Image</v>
      <v t="s">Description</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Labor force participation (%)</v>
      <v t="s">Unemployment rate</v>
      <v t="s">Gross primary education enrollment (%)</v>
      <v t="s">Gross tertiary education enrollment (%)</v>
      <v t="s">Physicians per thousand</v>
      <v t="s">Armed forces size</v>
      <v t="s">Calling code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Out of pocket health expenditure (%)</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Leader(s)</v>
      <v t="s">Country/region</v>
      <v t="s">_SubLabel</v>
      <v t="s">Population</v>
      <v t="s">Area</v>
      <v t="s">Abbreviation</v>
      <v t="s">Time zone(s)</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4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Carbon dioxide emissions</v>
      <v t="s">Fossil fuel energy consumption</v>
      <v t="s">CPI</v>
      <v t="s">CPI Change (%)</v>
      <v t="s">Minimum wage</v>
      <v t="s">Tax revenue (%)</v>
      <v t="s">Total tax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Country/region</v>
      <v t="s">_SubLabel</v>
      <v t="s">Area</v>
      <v t="s">Latitude</v>
      <v t="s">Longitude</v>
      <v t="s">_Flags</v>
      <v t="s">VDPID/VSID</v>
      <v t="s">UniqueName</v>
      <v t="s">_DisplayString</v>
      <v t="s">LearnMoreOnLink</v>
      <v t="s">Image</v>
      <v t="s">Description</v>
    </a>
    <a count="6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61">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5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Official language</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Time zone(s)</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52">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Labor force participation (%)</v>
      <v t="s">Minimum wage</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46">
      <v t="s">%EntityServiceId</v>
      <v t="s">%IsRefreshable</v>
      <v t="s">%EntityCulture</v>
      <v t="s">%EntityId</v>
      <v t="s">_Icon</v>
      <v t="s">_Provider</v>
      <v t="s">_Attribution</v>
      <v t="s">_Display</v>
      <v t="s">Name</v>
      <v t="s">_Format</v>
      <v t="s">Capital/Major City</v>
      <v t="s">_SubLabel</v>
      <v t="s">Population</v>
      <v t="s">Area</v>
      <v t="s">Abbreviation</v>
      <v t="s">GDP</v>
      <v t="s">Currency code</v>
      <v t="s">Largest city</v>
      <v t="s">National anthem</v>
      <v t="s">Official language</v>
      <v t="s">Official name</v>
      <v t="s">Subdivisions</v>
      <v t="s">Life expectancy</v>
      <v t="s">Birth rate</v>
      <v t="s">Fertility rate</v>
      <v t="s">Infant mortality</v>
      <v t="s">Urban population</v>
      <v t="s">Agricultural land (%)</v>
      <v t="s">Forested area (%)</v>
      <v t="s">CPI</v>
      <v t="s">CPI Change (%)</v>
      <v t="s">Tax revenue (%)</v>
      <v t="s">Total tax rate</v>
      <v t="s">Gross primary education enrollment (%)</v>
      <v t="s">Gross tertiary education enrollment (%)</v>
      <v t="s">Out of pocket health expenditure (%)</v>
      <v t="s">Physicians per thousand</v>
      <v t="s">Time zone(s)</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Official language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9">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Minimum wage</v>
      <v t="s">Tax revenue (%)</v>
      <v t="s">Total tax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5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5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Out of pocket health expenditure (%)</v>
      <v t="s">Physicians per thousand</v>
      <v t="s">Calling code</v>
      <v t="s">_Flags</v>
      <v t="s">VDPID/VSID</v>
      <v t="s">UniqueName</v>
      <v t="s">_DisplayString</v>
      <v t="s">LearnMoreOnLink</v>
      <v t="s">Image</v>
      <v t="s">Description</v>
    </a>
    <a count="48">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Population: Labor force participation (%)</v>
      <v t="s">Tax revenue (%)</v>
      <v t="s">Unemployment rate</v>
      <v t="s">Gross primary education enrollment (%)</v>
      <v t="s">Gross tertiary education enrollment (%)</v>
      <v t="s">Physicians per thousand</v>
      <v t="s">Armed forces size</v>
      <v t="s">Calling code</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_Flags</v>
      <v t="s">VDPID/VSID</v>
      <v t="s">UniqueName</v>
      <v t="s">_DisplayString</v>
      <v t="s">LearnMoreOnLink</v>
      <v t="s">Image</v>
      <v t="s">Description</v>
    </a>
    <a count="56">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Out of pocket health expenditure (%)</v>
      <v t="s">Armed forces size</v>
      <v t="s">Calling code</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Labor force participation (%)</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2 (County/district/other)</v>
      <v t="s">Admin Division 1 (State/province/other)</v>
      <v t="s">Country/region</v>
      <v t="s">_SubLabel</v>
      <v t="s">Population</v>
      <v t="s">Area</v>
      <v t="s">Latitude</v>
      <v t="s">Longitude</v>
      <v t="s">_Flags</v>
      <v t="s">VDPID/VSID</v>
      <v t="s">UniqueName</v>
      <v t="s">_DisplayString</v>
      <v t="s">LearnMoreOnLink</v>
      <v t="s">Image</v>
      <v t="s">Description</v>
    </a>
    <a count="32">
      <v t="s">%EntityServiceId</v>
      <v t="s">%IsRefreshable</v>
      <v t="s">%EntityCulture</v>
      <v t="s">%EntityId</v>
      <v t="s">_Icon</v>
      <v t="s">_Provider</v>
      <v t="s">_Attribution</v>
      <v t="s">_Display</v>
      <v t="s">Name</v>
      <v t="s">_Format</v>
      <v t="s">Capital/Major City</v>
      <v t="s">Leader(s)</v>
      <v t="s">_SubLabel</v>
      <v t="s">Population</v>
      <v t="s">Area</v>
      <v t="s">GDP</v>
      <v t="s">Currency code</v>
      <v t="s">Largest city</v>
      <v t="s">National anthem</v>
      <v t="s">Official language</v>
      <v t="s">Official name</v>
      <v t="s">Subdivisions</v>
      <v t="s">Minimum wage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Capital/Major City</v>
      <v t="s">Country/region</v>
      <v t="s">_SubLabel</v>
      <v t="s">Population</v>
      <v t="s">Area</v>
      <v t="s">Abbreviation</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Life expectancy</v>
      <v t="s">Birth rate</v>
      <v t="s">Fertility rate</v>
      <v t="s">Infant mortality</v>
      <v t="s">Maternal mortality ratio</v>
      <v t="s">Urban population</v>
      <v t="s">Agricultural land (%)</v>
      <v t="s">Forested area (%)</v>
      <v t="s">Carbon dioxide emissions</v>
      <v t="s">Fossil fuel energy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Gross primary education enrollment (%)</v>
      <v t="s">Gross tertiary education enrollment (%)</v>
      <v t="s">Out of pocket health expenditure (%)</v>
      <v t="s">Physicians per thousand</v>
      <v t="s">Calling code</v>
      <v t="s">_Flags</v>
      <v t="s">VDPID/VSID</v>
      <v t="s">UniqueName</v>
      <v t="s">_DisplayString</v>
      <v t="s">LearnMoreOnLink</v>
      <v t="s">Image</v>
      <v t="s">Description</v>
    </a>
    <a count="57">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45">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Infant mortality</v>
      <v t="s">Urban population</v>
      <v t="s">Agricultural land (%)</v>
      <v t="s">Forested area (%)</v>
      <v t="s">Carbon dioxide emissions</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Gross primary education enrollment (%)</v>
      <v t="s">Out of pocket health expenditure (%)</v>
      <v t="s">Physicians per thousand</v>
      <v t="s">Calling code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Country/region</v>
      <v t="s">_SubLabel</v>
      <v t="s">Population</v>
      <v t="s">Area</v>
      <v t="s">Abbreviation</v>
      <v t="s">Largest city</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Leader(s)</v>
      <v t="s">Country/region</v>
      <v t="s">_SubLabel</v>
      <v t="s">Population</v>
      <v t="s">Area</v>
      <v t="s">Official language</v>
      <v t="s">Time zone(s)</v>
      <v t="s">_Flags</v>
      <v t="s">VDPID/VSID</v>
      <v t="s">UniqueName</v>
      <v t="s">_DisplayString</v>
      <v t="s">LearnMoreOnLink</v>
      <v t="s">Image</v>
      <v t="s">Description</v>
    </a>
    <a count="47">
      <v t="s">%EntityServiceId</v>
      <v t="s">%IsRefreshable</v>
      <v t="s">%EntityCulture</v>
      <v t="s">%EntityId</v>
      <v t="s">_Icon</v>
      <v t="s">_Provider</v>
      <v t="s">_Attribution</v>
      <v t="s">_Display</v>
      <v t="s">Name</v>
      <v t="s">_Format</v>
      <v t="s">Leader(s)</v>
      <v t="s">Country/region</v>
      <v t="s">_SubLabel</v>
      <v t="s">Population</v>
      <v t="s">Area</v>
      <v t="s">Abbreviation</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_SubLabel</v>
      <v t="s">Population</v>
      <v t="s">Area</v>
      <v t="s">Currency code</v>
      <v t="s">National anthem</v>
      <v t="s">Official language</v>
      <v t="s">Official name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Capital/Major City</v>
      <v t="s">Country/region</v>
      <v t="s">_SubLabel</v>
      <v t="s">Population</v>
      <v t="s">Area</v>
      <v t="s">Abbreviation</v>
      <v t="s">Official language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Country/region</v>
      <v t="s">_SubLabel</v>
      <v t="s">Population</v>
      <v t="s">Area</v>
      <v t="s">Abbreviation</v>
      <v t="s">Time zone(s)</v>
      <v t="s">_Flags</v>
      <v t="s">VDPID/VSID</v>
      <v t="s">UniqueName</v>
      <v t="s">_DisplayString</v>
      <v t="s">LearnMoreOnLink</v>
      <v t="s">Image</v>
      <v t="s">Description</v>
    </a>
    <a count="60">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Total tax rate</v>
      <v t="s">Unemployment rate</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1">
      <v t="s">%EntityServiceId</v>
      <v t="s">%IsRefreshable</v>
      <v t="s">%EntityCulture</v>
      <v t="s">%EntityId</v>
      <v t="s">_Icon</v>
      <v t="s">_Provider</v>
      <v t="s">_Attribution</v>
      <v t="s">_Display</v>
      <v t="s">Name</v>
      <v t="s">_Format</v>
      <v t="s">Country/region</v>
      <v t="s">_SubLabel</v>
      <v t="s">Population</v>
      <v t="s">Area</v>
      <v t="s">_Flags</v>
      <v t="s">VDPID/VSID</v>
      <v t="s">UniqueName</v>
      <v t="s">_DisplayString</v>
      <v t="s">LearnMoreOnLink</v>
      <v t="s">Image</v>
      <v t="s">Description</v>
    </a>
    <a count="23">
      <v t="s">%EntityServiceId</v>
      <v t="s">_Format</v>
      <v t="s">%IsRefreshable</v>
      <v t="s">%EntityCulture</v>
      <v t="s">%EntityId</v>
      <v t="s">_Icon</v>
      <v t="s">_Display</v>
      <v t="s">Name</v>
      <v t="s">Price</v>
      <v t="s">_SubLabel</v>
      <v t="s">Last trade time</v>
      <v t="s">Ticker symbol</v>
      <v t="s">Change</v>
      <v t="s">Currency</v>
      <v t="s">From currency</v>
      <v t="s">Previous close</v>
      <v t="s">52 week high</v>
      <v t="s">52 week low</v>
      <v t="s">Instrument type</v>
      <v t="s">_Flags</v>
      <v t="s">UniqueName</v>
      <v t="s">_DisplayString</v>
      <v t="s">%ProviderInfo</v>
    </a>
  </spbArrays>
  <spbData count="1263">
    <spb s="0">
      <v xml:space="preserve">data.worldbank.org	</v>
      <v xml:space="preserve">	</v>
      <v xml:space="preserve">http://data.worldbank.org/indicator/FP.CPI.TOTL	</v>
      <v xml:space="preserve">	</v>
    </spb>
    <spb s="0">
      <v xml:space="preserve">Wikipedia	travel.state.gov	</v>
      <v xml:space="preserve">CC-BY-SA		</v>
      <v xml:space="preserve">http://en.wikipedia.org/wiki/India	https://travel.state.gov/content/travel/en/international-travel/International-Travel-Country-Information-Pages/India.html	</v>
      <v xml:space="preserve">http://creativecommons.org/licenses/by-sa/3.0/		</v>
    </spb>
    <spb s="0">
      <v xml:space="preserve">Wikipedia	</v>
      <v xml:space="preserve">CC BY-SA 3.0	</v>
      <v xml:space="preserve">https://en.wikipedia.org/wiki/India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http://en.wikipedia.org/wiki/India	</v>
      <v xml:space="preserve">http://creativecommons.org/licenses/by-sa/3.0/	</v>
    </spb>
    <spb s="0">
      <v xml:space="preserve">Cia	</v>
      <v xml:space="preserve">	</v>
      <v xml:space="preserve">https://www.cia.gov/library/publications/the-world-factbook/geos/in.html?Transportation	</v>
      <v xml:space="preserve">	</v>
    </spb>
    <spb s="0">
      <v xml:space="preserve">data.worldbank.org	</v>
      <v xml:space="preserve">	</v>
      <v xml:space="preserve">http://data.worldbank.org/indicator/SP.DYN.TFRT.IN	</v>
      <v xml:space="preserve">	</v>
    </spb>
    <spb s="0">
      <v xml:space="preserve">Wikipedia	Cia	travel.state.gov	</v>
      <v xml:space="preserve">CC-BY-SA			</v>
      <v xml:space="preserve">http://en.wikipedia.org/wiki/India	https://www.cia.gov/library/publications/the-world-factbook/geos/in.html?Transportation	https://travel.state.gov/content/travel/en/international-travel/International-Travel-Country-Information-Pages/India.html	</v>
      <v xml:space="preserve">http://creativecommons.org/licenses/by-sa/3.0/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
      <v>0</v>
      <v>1</v>
      <v>2</v>
      <v>2</v>
      <v>3</v>
      <v>2</v>
      <v>2</v>
      <v>2</v>
      <v>4</v>
      <v>2</v>
      <v>2</v>
      <v>4</v>
      <v>2</v>
      <v>2</v>
      <v>5</v>
      <v>6</v>
      <v>7</v>
      <v>5</v>
      <v>8</v>
      <v>2</v>
      <v>5</v>
      <v>9</v>
      <v>10</v>
      <v>11</v>
      <v>5</v>
      <v>5</v>
      <v>2</v>
      <v>5</v>
      <v>12</v>
      <v>13</v>
      <v>14</v>
      <v>15</v>
      <v>5</v>
      <v>7</v>
      <v>5</v>
      <v>5</v>
      <v>5</v>
      <v>5</v>
      <v>5</v>
      <v>5</v>
      <v>5</v>
      <v>5</v>
      <v>5</v>
      <v>5</v>
      <v>16</v>
    </spb>
    <spb s="2">
      <v>0</v>
      <v>Name</v>
      <v>LearnMoreOnLink</v>
    </spb>
    <spb s="3">
      <v>0</v>
      <v>0</v>
      <v>0</v>
    </spb>
    <spb s="4">
      <v>19</v>
      <v>19</v>
      <v>19</v>
    </spb>
    <spb s="5">
      <v>1</v>
      <v>2</v>
    </spb>
    <spb s="6">
      <v>https://www.bing.com</v>
      <v>https://www.bing.com/th?id=Ga%5Cbing_yt.png&amp;w=100&amp;h=40&amp;c=0&amp;pid=0.1</v>
      <v>Powered by Bing</v>
    </spb>
    <spb s="7">
      <v>2019</v>
      <v>2017</v>
      <v>square km</v>
      <v>per thousand (2018)</v>
      <v>2022</v>
      <v>2019</v>
      <v>2018</v>
      <v>per liter (2016)</v>
      <v>2019</v>
      <v>years (2018)</v>
      <v>2017</v>
      <v>per thousand (2018)</v>
      <v>2019</v>
      <v>2017</v>
      <v>2016</v>
      <v>2019</v>
      <v>2016</v>
      <v>2018</v>
      <v>kilotons per year (2016)</v>
      <v>deaths per 100,000 (2017)</v>
      <v>kWh (2014)</v>
      <v>2014</v>
      <v>2019</v>
      <v>2011</v>
      <v>2011</v>
      <v>2011</v>
      <v>2011</v>
      <v>2011</v>
      <v>2015</v>
      <v>2011</v>
      <v>2011</v>
      <v>2017</v>
      <v>2018</v>
      <v>2019</v>
    </spb>
    <spb s="8">
      <v>3</v>
    </spb>
    <spb s="8">
      <v>4</v>
    </spb>
    <spb s="8">
      <v>5</v>
    </spb>
    <spb s="8">
      <v>6</v>
    </spb>
    <spb s="8">
      <v>7</v>
    </spb>
    <spb s="8">
      <v>8</v>
    </spb>
    <spb s="8">
      <v>9</v>
    </spb>
    <spb s="8">
      <v>10</v>
    </spb>
    <spb s="8">
      <v>11</v>
    </spb>
    <spb s="0">
      <v xml:space="preserve">Wikipedia	</v>
      <v xml:space="preserve">CC BY-SA 3.0	</v>
      <v xml:space="preserve">https://en.wikipedia.org/wiki/New_Delhi	</v>
      <v xml:space="preserve">https://creativecommons.org/licenses/by-sa/3.0	</v>
    </spb>
    <spb s="9">
      <v>33</v>
      <v>33</v>
      <v>33</v>
      <v>33</v>
      <v>33</v>
      <v>33</v>
      <v>33</v>
      <v>33</v>
    </spb>
    <spb s="2">
      <v>1</v>
      <v>Name</v>
      <v>LearnMoreOnLink</v>
    </spb>
    <spb s="10">
      <v>square km</v>
      <v>2011</v>
    </spb>
    <spb s="8">
      <v>12</v>
    </spb>
    <spb s="0">
      <v xml:space="preserve">Wikipedia	</v>
      <v xml:space="preserve">CC BY-SA 3.0	</v>
      <v xml:space="preserve">https://en.wikipedia.org/wiki/Mumbai	</v>
      <v xml:space="preserve">https://creativecommons.org/licenses/by-sa/3.0	</v>
    </spb>
    <spb s="9">
      <v>38</v>
      <v>38</v>
      <v>38</v>
      <v>38</v>
      <v>38</v>
      <v>38</v>
      <v>38</v>
      <v>38</v>
    </spb>
    <spb s="2">
      <v>2</v>
      <v>Name</v>
      <v>LearnMoreOnLink</v>
    </spb>
    <spb s="10">
      <v>square km</v>
      <v>2018</v>
    </spb>
    <spb s="11">
      <v>3</v>
      <v>Name</v>
    </spb>
    <spb s="12">
      <v>19</v>
      <v>19</v>
    </spb>
    <spb s="13">
      <v>13</v>
      <v>13</v>
      <v>1</v>
      <v>13</v>
      <v>13</v>
      <v>13</v>
      <v>11</v>
      <v>13</v>
      <v>13</v>
      <v>13</v>
      <v>14</v>
      <v>5</v>
    </spb>
    <spb s="14">
      <v>GMT</v>
    </spb>
    <spb s="2">
      <v>4</v>
      <v>Name</v>
      <v>LearnMoreOnLink</v>
    </spb>
    <spb s="15">
      <v>19</v>
      <v>19</v>
      <v>19</v>
      <v>19</v>
    </spb>
    <spb s="16">
      <v>9</v>
      <v>7</v>
      <v>7</v>
      <v>9</v>
      <v>1</v>
      <v>9</v>
      <v>9</v>
      <v>9</v>
      <v>4</v>
      <v>4</v>
      <v>11</v>
      <v>10</v>
      <v>9</v>
      <v>9</v>
      <v>9</v>
      <v>4</v>
      <v>14</v>
      <v>6</v>
      <v>5</v>
      <v>4</v>
      <v>9</v>
      <v>9</v>
      <v>11</v>
    </spb>
    <spb s="17">
      <v>at close</v>
      <v>from previous close</v>
      <v>from previous close</v>
      <v>Source: Nasdaq</v>
      <v>GMT</v>
      <v>Delayed 15 minutes</v>
      <v>from close</v>
      <v>from close</v>
    </spb>
    <spb s="0">
      <v xml:space="preserve">Wikipedia	Cia	travel.state.gov	</v>
      <v xml:space="preserve">CC-BY-SA			</v>
      <v xml:space="preserve">http://en.wikipedia.org/wiki/Indonesia	https://www.cia.gov/library/publications/the-world-factbook/geos/id.html?Transportation	https://travel.state.gov/content/travel/en/international-travel/International-Travel-Country-Information-Pages/Indonesia.html	</v>
      <v xml:space="preserve">http://creativecommons.org/licenses/by-sa/3.0/			</v>
    </spb>
    <spb s="0">
      <v xml:space="preserve">Wikipedia	</v>
      <v xml:space="preserve">CC BY-SA 3.0	</v>
      <v xml:space="preserve">https://en.wikipedia.org/wiki/Indonesia	</v>
      <v xml:space="preserve">https://creativecommons.org/licenses/by-sa/3.0	</v>
    </spb>
    <spb s="0">
      <v xml:space="preserve">Wikipedia	</v>
      <v xml:space="preserve">CC-BY-SA	</v>
      <v xml:space="preserve">http://en.wikipedia.org/wiki/Indonesia	</v>
      <v xml:space="preserve">http://creativecommons.org/licenses/by-sa/3.0/	</v>
    </spb>
    <spb s="0">
      <v xml:space="preserve">Cia	</v>
      <v xml:space="preserve">	</v>
      <v xml:space="preserve">https://www.cia.gov/library/publications/the-world-factbook/geos/id.html?Transportation	</v>
      <v xml:space="preserve">	</v>
    </spb>
    <spb s="1">
      <v>0</v>
      <v>50</v>
      <v>51</v>
      <v>51</v>
      <v>3</v>
      <v>51</v>
      <v>51</v>
      <v>51</v>
      <v>52</v>
      <v>51</v>
      <v>51</v>
      <v>52</v>
      <v>51</v>
      <v>51</v>
      <v>53</v>
      <v>6</v>
      <v>50</v>
      <v>53</v>
      <v>8</v>
      <v>51</v>
      <v>53</v>
      <v>9</v>
      <v>10</v>
      <v>11</v>
      <v>53</v>
      <v>53</v>
      <v>51</v>
      <v>53</v>
      <v>12</v>
      <v>13</v>
      <v>14</v>
      <v>15</v>
      <v>53</v>
      <v>50</v>
      <v>53</v>
      <v>53</v>
      <v>53</v>
      <v>53</v>
      <v>53</v>
      <v>53</v>
      <v>53</v>
      <v>53</v>
      <v>53</v>
      <v>53</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2018</v>
      <v>2019</v>
    </spb>
    <spb s="0">
      <v xml:space="preserve">Wikipedia	</v>
      <v xml:space="preserve">CC BY-SA 3.0	</v>
      <v xml:space="preserve">https://en.wikipedia.org/wiki/Jakarta	</v>
      <v xml:space="preserve">https://creativecommons.org/licenses/by-sa/3.0	</v>
    </spb>
    <spb s="0">
      <v xml:space="preserve">sp2010.bps.go.id	</v>
      <v xml:space="preserve">	</v>
      <v xml:space="preserve">https://sp2010.bps.go.id/index.php/site/tabel?tid=336&amp;wid=0000000000&amp;lang=en	</v>
      <v xml:space="preserve">	</v>
    </spb>
    <spb s="0">
      <v xml:space="preserve">Wikipedia	</v>
      <v xml:space="preserve">CC-BY-SA	</v>
      <v xml:space="preserve">http://en.wikipedia.org/wiki/Jakarta	</v>
      <v xml:space="preserve">http://creativecommons.org/licenses/by-sa/3.0/	</v>
    </spb>
    <spb s="18">
      <v>56</v>
      <v>56</v>
      <v>57</v>
      <v>56</v>
      <v>56</v>
      <v>56</v>
      <v>58</v>
      <v>56</v>
      <v>57</v>
    </spb>
    <spb s="2">
      <v>5</v>
      <v>Name</v>
      <v>LearnMoreOnLink</v>
    </spb>
    <spb s="19">
      <v>square km</v>
      <v>2010</v>
      <v>2020</v>
      <v>2010</v>
    </spb>
    <spb s="13">
      <v>9</v>
      <v>9</v>
      <v>1</v>
      <v>9</v>
      <v>9</v>
      <v>9</v>
      <v>11</v>
      <v>9</v>
      <v>9</v>
      <v>9</v>
      <v>14</v>
      <v>5</v>
    </spb>
    <spb s="0">
      <v xml:space="preserve">Wikipedia	Cia	travel.state.gov	</v>
      <v xml:space="preserve">CC-BY-SA			</v>
      <v xml:space="preserve">http://en.wikipedia.org/wiki/Iran	https://www.cia.gov/library/publications/the-world-factbook/geos/ir.html?Transportation	https://travel.state.gov/content/travel/en/international-travel/International-Travel-Country-Information-Pages/Iran.html	</v>
      <v xml:space="preserve">http://creativecommons.org/licenses/by-sa/3.0/			</v>
    </spb>
    <spb s="0">
      <v xml:space="preserve">Wikipedia	</v>
      <v xml:space="preserve">CC BY-SA 3.0	</v>
      <v xml:space="preserve">https://en.wikipedia.org/wiki/Iran	</v>
      <v xml:space="preserve">https://creativecommons.org/licenses/by-sa/3.0	</v>
    </spb>
    <spb s="0">
      <v xml:space="preserve">Wikipedia	</v>
      <v xml:space="preserve">CC-BY-SA	</v>
      <v xml:space="preserve">http://en.wikipedia.org/wiki/Iran	</v>
      <v xml:space="preserve">http://creativecommons.org/licenses/by-sa/3.0/	</v>
    </spb>
    <spb s="0">
      <v xml:space="preserve">Cia	</v>
      <v xml:space="preserve">	</v>
      <v xml:space="preserve">https://www.cia.gov/library/publications/the-world-factbook/geos/ir.html?Transportation	</v>
      <v xml:space="preserve">	</v>
    </spb>
    <spb s="1">
      <v>0</v>
      <v>63</v>
      <v>64</v>
      <v>64</v>
      <v>3</v>
      <v>64</v>
      <v>64</v>
      <v>64</v>
      <v>65</v>
      <v>64</v>
      <v>64</v>
      <v>65</v>
      <v>64</v>
      <v>64</v>
      <v>66</v>
      <v>6</v>
      <v>63</v>
      <v>66</v>
      <v>8</v>
      <v>64</v>
      <v>66</v>
      <v>9</v>
      <v>10</v>
      <v>11</v>
      <v>66</v>
      <v>66</v>
      <v>64</v>
      <v>66</v>
      <v>12</v>
      <v>13</v>
      <v>14</v>
      <v>15</v>
      <v>66</v>
      <v>63</v>
      <v>66</v>
      <v>66</v>
      <v>66</v>
      <v>66</v>
      <v>66</v>
      <v>66</v>
      <v>66</v>
      <v>66</v>
      <v>66</v>
      <v>66</v>
      <v>16</v>
    </spb>
    <spb s="7">
      <v>2019</v>
      <v>2017</v>
      <v>square km</v>
      <v>per thousand (2018)</v>
      <v>2022</v>
      <v>2019</v>
      <v>2018</v>
      <v>per liter (2016)</v>
      <v>2019</v>
      <v>years (2018)</v>
      <v>2009</v>
      <v>per thousand (2018)</v>
      <v>2019</v>
      <v>2017</v>
      <v>2016</v>
      <v>2019</v>
      <v>2016</v>
      <v>2018</v>
      <v>kilotons per year (2016)</v>
      <v>deaths per 100,000 (2017)</v>
      <v>kWh (2014)</v>
      <v>2014</v>
      <v>2019</v>
      <v>2017</v>
      <v>2017</v>
      <v>2017</v>
      <v>2017</v>
      <v>2017</v>
      <v>2015</v>
      <v>2017</v>
      <v>2017</v>
      <v>2017</v>
      <v>2017</v>
      <v>2019</v>
    </spb>
    <spb s="0">
      <v xml:space="preserve">Wikipedia	</v>
      <v xml:space="preserve">CC BY-SA 3.0	</v>
      <v xml:space="preserve">https://en.wikipedia.org/wiki/Tehran	</v>
      <v xml:space="preserve">https://creativecommons.org/licenses/by-sa/3.0	</v>
    </spb>
    <spb s="9">
      <v>69</v>
      <v>69</v>
      <v>69</v>
      <v>69</v>
      <v>69</v>
      <v>69</v>
      <v>69</v>
      <v>69</v>
    </spb>
    <spb s="2">
      <v>6</v>
      <v>Name</v>
      <v>LearnMoreOnLink</v>
    </spb>
    <spb s="10">
      <v>square km</v>
      <v>2016</v>
    </spb>
    <spb s="0">
      <v xml:space="preserve">Wikipedia	Cia	travel.state.gov	</v>
      <v xml:space="preserve">CC-BY-SA			</v>
      <v xml:space="preserve">http://en.wikipedia.org/wiki/Iraq	https://www.cia.gov/library/publications/the-world-factbook/geos/iz.html?Transportation	https://travel.state.gov/content/travel/en/international-travel/International-Travel-Country-Information-Pages/Iraq.html	</v>
      <v xml:space="preserve">http://creativecommons.org/licenses/by-sa/3.0/			</v>
    </spb>
    <spb s="0">
      <v xml:space="preserve">Wikipedia	</v>
      <v xml:space="preserve">CC BY-SA 3.0	</v>
      <v xml:space="preserve">https://en.wikipedia.org/wiki/Iraq	</v>
      <v xml:space="preserve">https://creativecommons.org/licenses/by-sa/3.0	</v>
    </spb>
    <spb s="0">
      <v xml:space="preserve">Wikipedia	</v>
      <v xml:space="preserve">CC-BY-SA	</v>
      <v xml:space="preserve">http://en.wikipedia.org/wiki/Iraq	</v>
      <v xml:space="preserve">http://creativecommons.org/licenses/by-sa/3.0/	</v>
    </spb>
    <spb s="0">
      <v xml:space="preserve">Cia	</v>
      <v xml:space="preserve">	</v>
      <v xml:space="preserve">https://www.cia.gov/library/publications/the-world-factbook/geos/iz.html?Transportation	</v>
      <v xml:space="preserve">	</v>
    </spb>
    <spb s="20">
      <v>0</v>
      <v>73</v>
      <v>74</v>
      <v>74</v>
      <v>3</v>
      <v>74</v>
      <v>74</v>
      <v>74</v>
      <v>75</v>
      <v>74</v>
      <v>74</v>
      <v>75</v>
      <v>74</v>
      <v>74</v>
      <v>76</v>
      <v>6</v>
      <v>73</v>
      <v>76</v>
      <v>8</v>
      <v>74</v>
      <v>76</v>
      <v>9</v>
      <v>10</v>
      <v>11</v>
      <v>76</v>
      <v>76</v>
      <v>74</v>
      <v>76</v>
      <v>12</v>
      <v>13</v>
      <v>14</v>
      <v>15</v>
      <v>76</v>
      <v>76</v>
      <v>76</v>
      <v>76</v>
      <v>76</v>
      <v>76</v>
      <v>76</v>
      <v>76</v>
      <v>76</v>
      <v>76</v>
      <v>76</v>
      <v>16</v>
    </spb>
    <spb s="2">
      <v>7</v>
      <v>Name</v>
      <v>LearnMoreOnLink</v>
    </spb>
    <spb s="21">
      <v>2018</v>
      <v>2019</v>
      <v>square km</v>
      <v>per thousand (2018)</v>
      <v>2022</v>
      <v>2018</v>
      <v>2018</v>
      <v>per liter (2016)</v>
      <v>2019</v>
      <v>years (2018)</v>
      <v>2016</v>
      <v>per thousand (2018)</v>
      <v>2019</v>
      <v>2017</v>
      <v>2016</v>
      <v>2019</v>
      <v>2016</v>
      <v>2018</v>
      <v>kilotons per year (2016)</v>
      <v>deaths per 100,000 (2017)</v>
      <v>kWh (2014)</v>
      <v>2014</v>
      <v>2012</v>
      <v>2012</v>
      <v>2012</v>
      <v>2012</v>
      <v>2012</v>
      <v>2015</v>
      <v>2012</v>
      <v>2012</v>
      <v>2007</v>
      <v>2005</v>
      <v>2019</v>
    </spb>
    <spb s="0">
      <v xml:space="preserve">Wikipedia	</v>
      <v xml:space="preserve">CC BY-SA 3.0	</v>
      <v xml:space="preserve">https://en.wikipedia.org/wiki/Baghdad	</v>
      <v xml:space="preserve">https://creativecommons.org/licenses/by-sa/3.0	</v>
    </spb>
    <spb s="22">
      <v>80</v>
      <v>80</v>
      <v>80</v>
      <v>80</v>
      <v>80</v>
      <v>80</v>
      <v>80</v>
      <v>80</v>
      <v>80</v>
    </spb>
    <spb s="2">
      <v>8</v>
      <v>Name</v>
      <v>LearnMoreOnLink</v>
    </spb>
    <spb s="13">
      <v>15</v>
      <v>15</v>
      <v>1</v>
      <v>15</v>
      <v>15</v>
      <v>15</v>
      <v>11</v>
      <v>15</v>
      <v>15</v>
      <v>15</v>
      <v>14</v>
      <v>5</v>
    </spb>
    <spb s="0">
      <v xml:space="preserve">Wikipedia	Cia	</v>
      <v xml:space="preserve">CC-BY-SA		</v>
      <v xml:space="preserve">http://en.wikipedia.org/wiki/Republic_of_Ireland	https://www.cia.gov/library/publications/the-world-factbook/geos/ei.html?Transportation	</v>
      <v xml:space="preserve">http://creativecommons.org/licenses/by-sa/3.0/		</v>
    </spb>
    <spb s="0">
      <v xml:space="preserve">Wikipedia	</v>
      <v xml:space="preserve">CC BY-SA 3.0	</v>
      <v xml:space="preserve">https://en.wikipedia.org/wiki/Republic_of_Ireland	</v>
      <v xml:space="preserve">https://creativecommons.org/licenses/by-sa/3.0	</v>
    </spb>
    <spb s="0">
      <v xml:space="preserve">Wikipedia	</v>
      <v xml:space="preserve">CC-BY-SA	</v>
      <v xml:space="preserve">http://en.wikipedia.org/wiki/Republic_of_Ireland	</v>
      <v xml:space="preserve">http://creativecommons.org/licenses/by-sa/3.0/	</v>
    </spb>
    <spb s="0">
      <v xml:space="preserve">Cia	</v>
      <v xml:space="preserve">	</v>
      <v xml:space="preserve">https://www.cia.gov/library/publications/the-world-factbook/geos/ei.html?Transportation	</v>
      <v xml:space="preserve">	</v>
    </spb>
    <spb s="23">
      <v>0</v>
      <v>84</v>
      <v>85</v>
      <v>85</v>
      <v>3</v>
      <v>85</v>
      <v>85</v>
      <v>85</v>
      <v>85</v>
      <v>85</v>
      <v>86</v>
      <v>85</v>
      <v>85</v>
      <v>87</v>
      <v>6</v>
      <v>84</v>
      <v>87</v>
      <v>8</v>
      <v>85</v>
      <v>87</v>
      <v>9</v>
      <v>10</v>
      <v>11</v>
      <v>87</v>
      <v>87</v>
      <v>85</v>
      <v>87</v>
      <v>12</v>
      <v>13</v>
      <v>14</v>
      <v>15</v>
      <v>87</v>
      <v>84</v>
      <v>87</v>
      <v>87</v>
      <v>87</v>
      <v>87</v>
      <v>87</v>
      <v>87</v>
      <v>87</v>
      <v>87</v>
      <v>87</v>
      <v>87</v>
      <v>16</v>
    </spb>
    <spb s="2">
      <v>9</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2018</v>
      <v>2016</v>
      <v>2016</v>
      <v>2016</v>
      <v>2016</v>
      <v>2016</v>
      <v>2015</v>
      <v>2016</v>
      <v>2016</v>
      <v>2017</v>
      <v>2017</v>
      <v>2019</v>
    </spb>
    <spb s="0">
      <v xml:space="preserve">Wikipedia	</v>
      <v xml:space="preserve">CC-BY-SA	</v>
      <v xml:space="preserve">http://en.wikipedia.org/wiki/Dublin	</v>
      <v xml:space="preserve">http://creativecommons.org/licenses/by-sa/3.0/	</v>
    </spb>
    <spb s="0">
      <v xml:space="preserve">Wikipedia	</v>
      <v xml:space="preserve">CC BY-SA 3.0	</v>
      <v xml:space="preserve">https://en.wikipedia.org/wiki/Dublin	</v>
      <v xml:space="preserve">https://creativecommons.org/licenses/by-sa/3.0	</v>
    </spb>
    <spb s="9">
      <v>91</v>
      <v>92</v>
      <v>92</v>
      <v>92</v>
      <v>92</v>
      <v>92</v>
      <v>92</v>
      <v>92</v>
    </spb>
    <spb s="10">
      <v>square km</v>
      <v>2022</v>
    </spb>
    <spb s="2">
      <v>10</v>
      <v>Name</v>
      <v>LearnMoreOnLink</v>
    </spb>
    <spb s="24">
      <v>0</v>
      <v>0</v>
    </spb>
    <spb s="25">
      <v>96</v>
      <v>19</v>
      <v>19</v>
      <v>19</v>
      <v>19</v>
    </spb>
    <spb s="26">
      <v>9</v>
      <v>7</v>
      <v>7</v>
      <v>9</v>
      <v>1</v>
      <v>9</v>
      <v>2</v>
      <v>9</v>
      <v>9</v>
      <v>4</v>
      <v>4</v>
      <v>11</v>
      <v>10</v>
      <v>9</v>
      <v>9</v>
      <v>9</v>
      <v>4</v>
      <v>14</v>
      <v>6</v>
      <v>5</v>
      <v>4</v>
      <v>9</v>
      <v>9</v>
      <v>11</v>
    </spb>
    <spb s="27">
      <v>Powered by Refinitiv</v>
    </spb>
    <spb s="0">
      <v xml:space="preserve">Wikipedia	Cia	</v>
      <v xml:space="preserve">CC-BY-SA		</v>
      <v xml:space="preserve">http://en.wikipedia.org/wiki/Israel	https://www.cia.gov/library/publications/the-world-factbook/geos/is.html?Transportation	</v>
      <v xml:space="preserve">http://creativecommons.org/licenses/by-sa/3.0/		</v>
    </spb>
    <spb s="0">
      <v xml:space="preserve">Wikipedia	</v>
      <v xml:space="preserve">CC BY-SA 3.0	</v>
      <v xml:space="preserve">https://en.wikipedia.org/wiki/Israel	</v>
      <v xml:space="preserve">https://creativecommons.org/licenses/by-sa/3.0	</v>
    </spb>
    <spb s="0">
      <v xml:space="preserve">Wikipedia	</v>
      <v xml:space="preserve">CC-BY-SA	</v>
      <v xml:space="preserve">http://en.wikipedia.org/wiki/Israel	</v>
      <v xml:space="preserve">http://creativecommons.org/licenses/by-sa/3.0/	</v>
    </spb>
    <spb s="0">
      <v xml:space="preserve">Cia	</v>
      <v xml:space="preserve">	</v>
      <v xml:space="preserve">https://www.cia.gov/library/publications/the-world-factbook/geos/is.html?Transportation	</v>
      <v xml:space="preserve">	</v>
    </spb>
    <spb s="1">
      <v>0</v>
      <v>100</v>
      <v>101</v>
      <v>101</v>
      <v>3</v>
      <v>101</v>
      <v>101</v>
      <v>101</v>
      <v>102</v>
      <v>101</v>
      <v>101</v>
      <v>102</v>
      <v>101</v>
      <v>101</v>
      <v>103</v>
      <v>6</v>
      <v>100</v>
      <v>103</v>
      <v>8</v>
      <v>101</v>
      <v>103</v>
      <v>9</v>
      <v>10</v>
      <v>11</v>
      <v>103</v>
      <v>103</v>
      <v>101</v>
      <v>103</v>
      <v>12</v>
      <v>13</v>
      <v>14</v>
      <v>15</v>
      <v>103</v>
      <v>100</v>
      <v>103</v>
      <v>103</v>
      <v>103</v>
      <v>103</v>
      <v>103</v>
      <v>103</v>
      <v>103</v>
      <v>103</v>
      <v>103</v>
      <v>103</v>
      <v>16</v>
    </spb>
    <spb s="2">
      <v>11</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2019</v>
      <v>2016</v>
      <v>2016</v>
      <v>2016</v>
      <v>2016</v>
      <v>2016</v>
      <v>2015</v>
      <v>2016</v>
      <v>2016</v>
      <v>2017</v>
      <v>2017</v>
      <v>2019</v>
    </spb>
    <spb s="0">
      <v xml:space="preserve">Wikipedia	</v>
      <v xml:space="preserve">CC BY-SA 3.0	</v>
      <v xml:space="preserve">https://en.wikipedia.org/wiki/Jerusalem	</v>
      <v xml:space="preserve">https://creativecommons.org/licenses/by-sa/3.0	</v>
    </spb>
    <spb s="22">
      <v>107</v>
      <v>107</v>
      <v>107</v>
      <v>107</v>
      <v>107</v>
      <v>107</v>
      <v>107</v>
      <v>107</v>
      <v>107</v>
    </spb>
    <spb s="10">
      <v>square km</v>
      <v>2019</v>
    </spb>
    <spb s="13">
      <v>16</v>
      <v>16</v>
      <v>1</v>
      <v>16</v>
      <v>16</v>
      <v>16</v>
      <v>11</v>
      <v>16</v>
      <v>16</v>
      <v>16</v>
      <v>14</v>
      <v>5</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8">
      <v>0</v>
      <v>111</v>
      <v>112</v>
      <v>112</v>
      <v>3</v>
      <v>112</v>
      <v>112</v>
      <v>112</v>
      <v>113</v>
      <v>112</v>
      <v>112</v>
      <v>112</v>
      <v>112</v>
      <v>114</v>
      <v>6</v>
      <v>111</v>
      <v>114</v>
      <v>8</v>
      <v>112</v>
      <v>114</v>
      <v>9</v>
      <v>10</v>
      <v>11</v>
      <v>114</v>
      <v>114</v>
      <v>112</v>
      <v>114</v>
      <v>12</v>
      <v>13</v>
      <v>14</v>
      <v>15</v>
      <v>114</v>
      <v>111</v>
      <v>114</v>
      <v>114</v>
      <v>114</v>
      <v>114</v>
      <v>114</v>
      <v>114</v>
      <v>114</v>
      <v>114</v>
      <v>114</v>
      <v>114</v>
      <v>16</v>
    </spb>
    <spb s="2">
      <v>12</v>
      <v>Name</v>
      <v>LearnMoreOnLink</v>
    </spb>
    <spb s="7">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v>
      <v xml:space="preserve">CC BY-SA 3.0	</v>
      <v xml:space="preserve">https://en.wikipedia.org/wiki/Rome	</v>
      <v xml:space="preserve">https://creativecommons.org/licenses/by-sa/3.0	</v>
    </spb>
    <spb s="29">
      <v>118</v>
      <v>118</v>
      <v>118</v>
      <v>118</v>
      <v>118</v>
      <v>118</v>
      <v>118</v>
      <v>118</v>
      <v>118</v>
      <v>118</v>
    </spb>
    <spb s="2">
      <v>13</v>
      <v>Name</v>
      <v>LearnMoreOnLink</v>
    </spb>
    <spb s="13">
      <v>17</v>
      <v>17</v>
      <v>1</v>
      <v>17</v>
      <v>17</v>
      <v>17</v>
      <v>11</v>
      <v>17</v>
      <v>17</v>
      <v>17</v>
      <v>14</v>
      <v>5</v>
    </spb>
    <spb s="0">
      <v xml:space="preserve">Wikipedia	Cia	travel.state.gov	</v>
      <v xml:space="preserve">CC-BY-SA			</v>
      <v xml:space="preserve">http://en.wikipedia.org/wiki/Jamaica	https://www.cia.gov/library/publications/the-world-factbook/geos/jm.html?Transportation	https://travel.state.gov/content/travel/en/international-travel/International-Travel-Country-Information-Pages/Jamaica.html	</v>
      <v xml:space="preserve">http://creativecommons.org/licenses/by-sa/3.0/			</v>
    </spb>
    <spb s="0">
      <v xml:space="preserve">Wikipedia	</v>
      <v xml:space="preserve">CC BY-SA 3.0	</v>
      <v xml:space="preserve">https://en.wikipedia.org/wiki/Jamaica	</v>
      <v xml:space="preserve">https://creativecommons.org/licenses/by-sa/3.0	</v>
    </spb>
    <spb s="0">
      <v xml:space="preserve">Wikipedia	</v>
      <v xml:space="preserve">CC-BY-SA	</v>
      <v xml:space="preserve">http://en.wikipedia.org/wiki/Jamaica	</v>
      <v xml:space="preserve">http://creativecommons.org/licenses/by-sa/3.0/	</v>
    </spb>
    <spb s="0">
      <v xml:space="preserve">Cia	</v>
      <v xml:space="preserve">	</v>
      <v xml:space="preserve">https://www.cia.gov/library/publications/the-world-factbook/geos/jm.html?Transportation	</v>
      <v xml:space="preserve">	</v>
    </spb>
    <spb s="1">
      <v>0</v>
      <v>122</v>
      <v>123</v>
      <v>123</v>
      <v>3</v>
      <v>123</v>
      <v>123</v>
      <v>123</v>
      <v>124</v>
      <v>123</v>
      <v>123</v>
      <v>124</v>
      <v>123</v>
      <v>123</v>
      <v>125</v>
      <v>6</v>
      <v>122</v>
      <v>125</v>
      <v>8</v>
      <v>123</v>
      <v>125</v>
      <v>9</v>
      <v>10</v>
      <v>11</v>
      <v>125</v>
      <v>125</v>
      <v>123</v>
      <v>125</v>
      <v>12</v>
      <v>13</v>
      <v>14</v>
      <v>15</v>
      <v>125</v>
      <v>122</v>
      <v>125</v>
      <v>125</v>
      <v>125</v>
      <v>125</v>
      <v>125</v>
      <v>125</v>
      <v>125</v>
      <v>125</v>
      <v>125</v>
      <v>125</v>
      <v>16</v>
    </spb>
    <spb s="7">
      <v>2019</v>
      <v>2019</v>
      <v>square km</v>
      <v>per thousand (2018)</v>
      <v>2022</v>
      <v>2019</v>
      <v>2018</v>
      <v>per liter (2016)</v>
      <v>2019</v>
      <v>years (2018)</v>
      <v>2018</v>
      <v>per thousand (2018)</v>
      <v>2019</v>
      <v>2017</v>
      <v>2016</v>
      <v>2019</v>
      <v>2016</v>
      <v>2017</v>
      <v>kilotons per year (2016)</v>
      <v>deaths per 100,000 (2017)</v>
      <v>kWh (2014)</v>
      <v>2014</v>
      <v>2019</v>
      <v>2004</v>
      <v>2004</v>
      <v>2004</v>
      <v>2004</v>
      <v>2004</v>
      <v>2015</v>
      <v>2004</v>
      <v>2004</v>
      <v>2018</v>
      <v>2015</v>
      <v>2019</v>
    </spb>
    <spb s="0">
      <v xml:space="preserve">Wikipedia	</v>
      <v xml:space="preserve">CC-BY-SA	</v>
      <v xml:space="preserve">http://en.wikipedia.org/wiki/Kingston,_Jamaica	</v>
      <v xml:space="preserve">http://creativecommons.org/licenses/by-sa/3.0/	</v>
    </spb>
    <spb s="0">
      <v xml:space="preserve">Wikipedia	</v>
      <v xml:space="preserve">CC BY-SA 3.0	</v>
      <v xml:space="preserve">https://en.wikipedia.org/wiki/Kingston,_Jamaica	</v>
      <v xml:space="preserve">https://creativecommons.org/licenses/by-sa/3.0	</v>
    </spb>
    <spb s="9">
      <v>128</v>
      <v>129</v>
      <v>129</v>
      <v>129</v>
      <v>129</v>
      <v>129</v>
      <v>129</v>
      <v>129</v>
    </spb>
    <spb s="2">
      <v>14</v>
      <v>Name</v>
      <v>LearnMoreOnLink</v>
    </spb>
    <spb s="10">
      <v>square km</v>
      <v>2009</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
      <v>0</v>
      <v>133</v>
      <v>134</v>
      <v>134</v>
      <v>3</v>
      <v>134</v>
      <v>134</v>
      <v>134</v>
      <v>135</v>
      <v>134</v>
      <v>134</v>
      <v>135</v>
      <v>134</v>
      <v>134</v>
      <v>136</v>
      <v>6</v>
      <v>133</v>
      <v>136</v>
      <v>8</v>
      <v>134</v>
      <v>136</v>
      <v>9</v>
      <v>10</v>
      <v>11</v>
      <v>136</v>
      <v>136</v>
      <v>134</v>
      <v>136</v>
      <v>12</v>
      <v>13</v>
      <v>14</v>
      <v>15</v>
      <v>136</v>
      <v>133</v>
      <v>136</v>
      <v>136</v>
      <v>136</v>
      <v>136</v>
      <v>136</v>
      <v>136</v>
      <v>136</v>
      <v>136</v>
      <v>136</v>
      <v>136</v>
      <v>16</v>
    </spb>
    <spb s="7">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30">
      <v>139</v>
      <v>139</v>
      <v>139</v>
      <v>139</v>
      <v>139</v>
      <v>140</v>
      <v>139</v>
      <v>139</v>
      <v>139</v>
    </spb>
    <spb s="2">
      <v>15</v>
      <v>Name</v>
      <v>LearnMoreOnLink</v>
    </spb>
    <spb s="13">
      <v>18</v>
      <v>18</v>
      <v>1</v>
      <v>18</v>
      <v>18</v>
      <v>18</v>
      <v>11</v>
      <v>18</v>
      <v>18</v>
      <v>18</v>
      <v>14</v>
      <v>5</v>
    </spb>
    <spb s="0">
      <v xml:space="preserve">Wikipedia	Cia	travel.state.gov	</v>
      <v xml:space="preserve">CC-BY-SA			</v>
      <v xml:space="preserve">http://en.wikipedia.org/wiki/Jordan	https://www.cia.gov/library/publications/the-world-factbook/geos/jo.html?Transportation	https://travel.state.gov/content/travel/en/international-travel/International-Travel-Country-Information-Pages/Jordan.html	</v>
      <v xml:space="preserve">http://creativecommons.org/licenses/by-sa/3.0/			</v>
    </spb>
    <spb s="0">
      <v xml:space="preserve">Wikipedia	</v>
      <v xml:space="preserve">CC BY-SA 3.0	</v>
      <v xml:space="preserve">https://en.wikipedia.org/wiki/Jordan	</v>
      <v xml:space="preserve">https://creativecommons.org/licenses/by-sa/3.0	</v>
    </spb>
    <spb s="0">
      <v xml:space="preserve">Wikipedia	</v>
      <v xml:space="preserve">CC-BY-SA	</v>
      <v xml:space="preserve">http://en.wikipedia.org/wiki/Jordan	</v>
      <v xml:space="preserve">http://creativecommons.org/licenses/by-sa/3.0/	</v>
    </spb>
    <spb s="0">
      <v xml:space="preserve">Cia	</v>
      <v xml:space="preserve">	</v>
      <v xml:space="preserve">https://www.cia.gov/library/publications/the-world-factbook/geos/jo.html?Transportation	</v>
      <v xml:space="preserve">	</v>
    </spb>
    <spb s="1">
      <v>0</v>
      <v>144</v>
      <v>145</v>
      <v>145</v>
      <v>3</v>
      <v>145</v>
      <v>145</v>
      <v>145</v>
      <v>146</v>
      <v>145</v>
      <v>145</v>
      <v>146</v>
      <v>145</v>
      <v>145</v>
      <v>147</v>
      <v>6</v>
      <v>144</v>
      <v>147</v>
      <v>8</v>
      <v>145</v>
      <v>147</v>
      <v>9</v>
      <v>10</v>
      <v>11</v>
      <v>147</v>
      <v>147</v>
      <v>145</v>
      <v>147</v>
      <v>12</v>
      <v>13</v>
      <v>14</v>
      <v>15</v>
      <v>147</v>
      <v>144</v>
      <v>147</v>
      <v>147</v>
      <v>147</v>
      <v>147</v>
      <v>147</v>
      <v>147</v>
      <v>147</v>
      <v>147</v>
      <v>147</v>
      <v>147</v>
      <v>16</v>
    </spb>
    <spb s="7">
      <v>2019</v>
      <v>2019</v>
      <v>square km</v>
      <v>per thousand (2018)</v>
      <v>2022</v>
      <v>2019</v>
      <v>2018</v>
      <v>per liter (2016)</v>
      <v>2019</v>
      <v>years (2018)</v>
      <v>2018</v>
      <v>per thousand (2018)</v>
      <v>2019</v>
      <v>2017</v>
      <v>2016</v>
      <v>2019</v>
      <v>2016</v>
      <v>2017</v>
      <v>kilotons per year (2016)</v>
      <v>deaths per 100,000 (2017)</v>
      <v>kWh (2014)</v>
      <v>2014</v>
      <v>2019</v>
      <v>2010</v>
      <v>2010</v>
      <v>2010</v>
      <v>2010</v>
      <v>2010</v>
      <v>2015</v>
      <v>2010</v>
      <v>2010</v>
      <v>2018</v>
      <v>2018</v>
      <v>2019</v>
    </spb>
    <spb s="0">
      <v xml:space="preserve">Wikipedia	</v>
      <v xml:space="preserve">CC BY-SA 3.0	</v>
      <v xml:space="preserve">https://en.wikipedia.org/wiki/Amman	</v>
      <v xml:space="preserve">https://creativecommons.org/licenses/by-sa/3.0	</v>
    </spb>
    <spb s="22">
      <v>150</v>
      <v>150</v>
      <v>150</v>
      <v>150</v>
      <v>150</v>
      <v>150</v>
      <v>150</v>
      <v>150</v>
      <v>150</v>
    </spb>
    <spb s="2">
      <v>16</v>
      <v>Name</v>
      <v>LearnMoreOnLink</v>
    </spb>
    <spb s="10">
      <v>square km</v>
      <v>2015</v>
    </spb>
    <spb s="0">
      <v xml:space="preserve">Wikipedia	Cia	travel.state.gov	</v>
      <v xml:space="preserve">CC-BY-SA			</v>
      <v xml:space="preserve">http://en.wikipedia.org/wiki/Kazakhstan	https://www.cia.gov/library/publications/the-world-factbook/geos/kz.html?Transportation	https://travel.state.gov/content/travel/en/international-travel/International-Travel-Country-Information-Pages/Kazakhstan.html	</v>
      <v xml:space="preserve">http://creativecommons.org/licenses/by-sa/3.0/			</v>
    </spb>
    <spb s="0">
      <v xml:space="preserve">Wikipedia	</v>
      <v xml:space="preserve">CC BY-SA 3.0	</v>
      <v xml:space="preserve">https://en.wikipedia.org/wiki/Kazakhstan	</v>
      <v xml:space="preserve">https://creativecommons.org/licenses/by-sa/3.0	</v>
    </spb>
    <spb s="0">
      <v xml:space="preserve">Wikipedia	</v>
      <v xml:space="preserve">CC-BY-SA	</v>
      <v xml:space="preserve">http://en.wikipedia.org/wiki/Kazakhstan	</v>
      <v xml:space="preserve">http://creativecommons.org/licenses/by-sa/3.0/	</v>
    </spb>
    <spb s="0">
      <v xml:space="preserve">Cia	</v>
      <v xml:space="preserve">	</v>
      <v xml:space="preserve">https://www.cia.gov/library/publications/the-world-factbook/geos/kz.html?Transportation	</v>
      <v xml:space="preserve">	</v>
    </spb>
    <spb s="1">
      <v>0</v>
      <v>154</v>
      <v>155</v>
      <v>155</v>
      <v>3</v>
      <v>155</v>
      <v>155</v>
      <v>155</v>
      <v>156</v>
      <v>155</v>
      <v>155</v>
      <v>156</v>
      <v>155</v>
      <v>155</v>
      <v>157</v>
      <v>6</v>
      <v>154</v>
      <v>157</v>
      <v>8</v>
      <v>155</v>
      <v>157</v>
      <v>9</v>
      <v>10</v>
      <v>11</v>
      <v>157</v>
      <v>157</v>
      <v>155</v>
      <v>157</v>
      <v>12</v>
      <v>13</v>
      <v>14</v>
      <v>15</v>
      <v>157</v>
      <v>154</v>
      <v>157</v>
      <v>157</v>
      <v>157</v>
      <v>157</v>
      <v>157</v>
      <v>157</v>
      <v>157</v>
      <v>157</v>
      <v>157</v>
      <v>157</v>
      <v>16</v>
    </spb>
    <spb s="7">
      <v>2019</v>
      <v>2019</v>
      <v>square km</v>
      <v>per thousand (2018)</v>
      <v>2022</v>
      <v>2019</v>
      <v>2018</v>
      <v>per liter (2016)</v>
      <v>2019</v>
      <v>years (2018)</v>
      <v>2018</v>
      <v>per thousand (2018)</v>
      <v>2019</v>
      <v>2017</v>
      <v>2016</v>
      <v>2019</v>
      <v>2016</v>
      <v>2014</v>
      <v>kilotons per year (2016)</v>
      <v>deaths per 100,000 (2017)</v>
      <v>kWh (2014)</v>
      <v>2014</v>
      <v>2019</v>
      <v>2017</v>
      <v>2017</v>
      <v>2017</v>
      <v>2017</v>
      <v>2017</v>
      <v>2015</v>
      <v>2017</v>
      <v>2017</v>
      <v>2019</v>
      <v>2019</v>
      <v>2019</v>
    </spb>
    <spb s="0">
      <v xml:space="preserve">Wikipedia	</v>
      <v xml:space="preserve">CC BY-SA 3.0	</v>
      <v xml:space="preserve">https://en.wikipedia.org/wiki/Astana	</v>
      <v xml:space="preserve">https://creativecommons.org/licenses/by-sa/3.0	</v>
    </spb>
    <spb s="31">
      <v>160</v>
      <v>160</v>
      <v>160</v>
      <v>160</v>
      <v>160</v>
      <v>160</v>
    </spb>
    <spb s="2">
      <v>17</v>
      <v>Name</v>
      <v>LearnMoreOnLink</v>
    </spb>
    <spb s="0">
      <v xml:space="preserve">Wikipedia	</v>
      <v xml:space="preserve">CC BY-SA 3.0	</v>
      <v xml:space="preserve">https://en.wikipedia.org/wiki/Almaty	</v>
      <v xml:space="preserve">https://creativecommons.org/licenses/by-sa/3.0	</v>
    </spb>
    <spb s="0">
      <v xml:space="preserve">Wikipedia	</v>
      <v xml:space="preserve">CC-BY-SA	</v>
      <v xml:space="preserve">http://en.wikipedia.org/wiki/Almaty	</v>
      <v xml:space="preserve">http://creativecommons.org/licenses/by-sa/3.0/	</v>
    </spb>
    <spb s="32">
      <v>163</v>
      <v>163</v>
      <v>163</v>
      <v>163</v>
      <v>163</v>
      <v>164</v>
      <v>163</v>
    </spb>
    <spb s="2">
      <v>18</v>
      <v>Name</v>
      <v>LearnMoreOnLink</v>
    </spb>
    <spb s="2">
      <v>19</v>
      <v>Name</v>
      <v>LearnMoreOnLink</v>
    </spb>
    <spb s="33">
      <v>9</v>
      <v>7</v>
      <v>9</v>
      <v>1</v>
      <v>9</v>
      <v>9</v>
      <v>9</v>
      <v>4</v>
      <v>4</v>
      <v>11</v>
      <v>10</v>
      <v>9</v>
      <v>9</v>
      <v>9</v>
      <v>4</v>
      <v>14</v>
      <v>6</v>
      <v>5</v>
      <v>4</v>
      <v>9</v>
      <v>9</v>
      <v>11</v>
    </spb>
    <spb s="0">
      <v xml:space="preserve">Wikipedia	Cia	travel.state.gov	</v>
      <v xml:space="preserve">CC-BY-SA			</v>
      <v xml:space="preserve">http://en.wikipedia.org/wiki/Kenya	https://www.cia.gov/library/publications/the-world-factbook/geos/ke.html?Transportation	https://travel.state.gov/content/travel/en/international-travel/International-Travel-Country-Information-Pages/Kenya.html	</v>
      <v xml:space="preserve">http://creativecommons.org/licenses/by-sa/3.0/			</v>
    </spb>
    <spb s="0">
      <v xml:space="preserve">Wikipedia	</v>
      <v xml:space="preserve">CC BY-SA 3.0	</v>
      <v xml:space="preserve">https://en.wikipedia.org/wiki/Kenya	</v>
      <v xml:space="preserve">https://creativecommons.org/licenses/by-sa/3.0	</v>
    </spb>
    <spb s="0">
      <v xml:space="preserve">Wikipedia	</v>
      <v xml:space="preserve">CC-BY-SA	</v>
      <v xml:space="preserve">http://en.wikipedia.org/wiki/Kenya	</v>
      <v xml:space="preserve">http://creativecommons.org/licenses/by-sa/3.0/	</v>
    </spb>
    <spb s="0">
      <v xml:space="preserve">Cia	</v>
      <v xml:space="preserve">	</v>
      <v xml:space="preserve">https://www.cia.gov/library/publications/the-world-factbook/geos/ke.html?Transportation	</v>
      <v xml:space="preserve">	</v>
    </spb>
    <spb s="1">
      <v>0</v>
      <v>169</v>
      <v>170</v>
      <v>170</v>
      <v>3</v>
      <v>170</v>
      <v>170</v>
      <v>170</v>
      <v>171</v>
      <v>170</v>
      <v>170</v>
      <v>171</v>
      <v>170</v>
      <v>170</v>
      <v>172</v>
      <v>6</v>
      <v>169</v>
      <v>172</v>
      <v>8</v>
      <v>170</v>
      <v>172</v>
      <v>9</v>
      <v>10</v>
      <v>11</v>
      <v>172</v>
      <v>172</v>
      <v>170</v>
      <v>172</v>
      <v>12</v>
      <v>13</v>
      <v>14</v>
      <v>15</v>
      <v>172</v>
      <v>169</v>
      <v>172</v>
      <v>172</v>
      <v>172</v>
      <v>172</v>
      <v>172</v>
      <v>172</v>
      <v>172</v>
      <v>172</v>
      <v>172</v>
      <v>172</v>
      <v>16</v>
    </spb>
    <spb s="7">
      <v>2018</v>
      <v>2019</v>
      <v>square km</v>
      <v>per thousand (2018)</v>
      <v>2022</v>
      <v>2018</v>
      <v>2018</v>
      <v>per liter (2016)</v>
      <v>2019</v>
      <v>years (2018)</v>
      <v>2018</v>
      <v>per thousand (2018)</v>
      <v>2019</v>
      <v>2017</v>
      <v>2016</v>
      <v>2019</v>
      <v>2016</v>
      <v>2018</v>
      <v>kilotons per year (2016)</v>
      <v>deaths per 100,000 (2017)</v>
      <v>kWh (2014)</v>
      <v>2014</v>
      <v>2019</v>
      <v>2015</v>
      <v>2015</v>
      <v>2015</v>
      <v>2015</v>
      <v>2015</v>
      <v>2015</v>
      <v>2015</v>
      <v>2015</v>
      <v>2016</v>
      <v>2017</v>
      <v>2019</v>
    </spb>
    <spb s="0">
      <v xml:space="preserve">Wikipedia	</v>
      <v xml:space="preserve">CC-BY-SA	</v>
      <v xml:space="preserve">http://en.wikipedia.org/wiki/Nairobi	</v>
      <v xml:space="preserve">http://creativecommons.org/licenses/by-sa/3.0/	</v>
    </spb>
    <spb s="0">
      <v xml:space="preserve">Wikipedia	</v>
      <v xml:space="preserve">CC BY-SA 3.0	</v>
      <v xml:space="preserve">https://en.wikipedia.org/wiki/Nairobi	</v>
      <v xml:space="preserve">https://creativecommons.org/licenses/by-sa/3.0	</v>
    </spb>
    <spb s="29">
      <v>175</v>
      <v>176</v>
      <v>176</v>
      <v>176</v>
      <v>176</v>
      <v>176</v>
      <v>176</v>
      <v>176</v>
      <v>176</v>
      <v>176</v>
    </spb>
    <spb s="13">
      <v>19</v>
      <v>19</v>
      <v>1</v>
      <v>19</v>
      <v>19</v>
      <v>19</v>
      <v>11</v>
      <v>19</v>
      <v>19</v>
      <v>19</v>
      <v>14</v>
      <v>5</v>
    </spb>
    <spb s="0">
      <v xml:space="preserve">Wikipedia	Cia	travel.state.gov	</v>
      <v xml:space="preserve">CC-BY-SA			</v>
      <v xml:space="preserve">http://en.wikipedia.org/wiki/Kiribati	https://www.cia.gov/library/publications/the-world-factbook/geos/kr.html?Transportation	https://travel.state.gov/content/travel/en/international-travel/International-Travel-Country-Information-Pages/Kiribati.html	</v>
      <v xml:space="preserve">http://creativecommons.org/licenses/by-sa/3.0/			</v>
    </spb>
    <spb s="0">
      <v xml:space="preserve">Wikipedia	</v>
      <v xml:space="preserve">CC BY-SA 3.0	</v>
      <v xml:space="preserve">https://en.wikipedia.org/wiki/Kiribati	</v>
      <v xml:space="preserve">https://creativecommons.org/licenses/by-sa/3.0	</v>
    </spb>
    <spb s="0">
      <v xml:space="preserve">Wikipedia	</v>
      <v xml:space="preserve">CC-BY-SA	</v>
      <v xml:space="preserve">http://en.wikipedia.org/wiki/Kiribati	</v>
      <v xml:space="preserve">http://creativecommons.org/licenses/by-sa/3.0/	</v>
    </spb>
    <spb s="0">
      <v xml:space="preserve">Cia	</v>
      <v xml:space="preserve">	</v>
      <v xml:space="preserve">https://www.cia.gov/library/publications/the-world-factbook/geos/kr.html?Transportation	</v>
      <v xml:space="preserve">	</v>
    </spb>
    <spb s="34">
      <v>0</v>
      <v>179</v>
      <v>180</v>
      <v>180</v>
      <v>3</v>
      <v>180</v>
      <v>180</v>
      <v>180</v>
      <v>181</v>
      <v>180</v>
      <v>180</v>
      <v>180</v>
      <v>180</v>
      <v>182</v>
      <v>6</v>
      <v>182</v>
      <v>8</v>
      <v>180</v>
      <v>182</v>
      <v>9</v>
      <v>10</v>
      <v>182</v>
      <v>180</v>
      <v>182</v>
      <v>12</v>
      <v>13</v>
      <v>14</v>
      <v>182</v>
      <v>182</v>
      <v>182</v>
      <v>182</v>
      <v>182</v>
      <v>182</v>
      <v>182</v>
      <v>182</v>
      <v>182</v>
      <v>182</v>
    </spb>
    <spb s="2">
      <v>20</v>
      <v>Name</v>
      <v>LearnMoreOnLink</v>
    </spb>
    <spb s="35">
      <v>2015</v>
      <v>2019</v>
      <v>square km</v>
      <v>per thousand (2018)</v>
      <v>2022</v>
      <v>2015</v>
      <v>2018</v>
      <v>2019</v>
      <v>years (2018)</v>
      <v>2017</v>
      <v>per thousand (2018)</v>
      <v>2019</v>
      <v>2016</v>
      <v>2016</v>
      <v>2013</v>
      <v>kilotons per year (2016)</v>
      <v>deaths per 100,000 (2017)</v>
      <v>2007</v>
      <v>2006</v>
      <v>2006</v>
      <v>2006</v>
      <v>2006</v>
      <v>2006</v>
      <v>2015</v>
      <v>2006</v>
      <v>2006</v>
      <v>2017</v>
    </spb>
    <spb s="0">
      <v xml:space="preserve">Wikipedia	</v>
      <v xml:space="preserve">CC BY-SA 3.0	</v>
      <v xml:space="preserve">https://en.wikipedia.org/wiki/South_Tarawa	</v>
      <v xml:space="preserve">https://creativecommons.org/licenses/by-sa/3.0	</v>
    </spb>
    <spb s="22">
      <v>186</v>
      <v>186</v>
      <v>186</v>
      <v>186</v>
      <v>186</v>
      <v>186</v>
      <v>186</v>
      <v>186</v>
      <v>186</v>
    </spb>
    <spb s="2">
      <v>21</v>
      <v>Name</v>
      <v>LearnMoreOnLink</v>
    </spb>
    <spb s="10">
      <v>square km</v>
      <v>2020</v>
    </spb>
    <spb s="13">
      <v>20</v>
      <v>20</v>
      <v>1</v>
      <v>20</v>
      <v>20</v>
      <v>20</v>
      <v>11</v>
      <v>20</v>
      <v>20</v>
      <v>20</v>
      <v>14</v>
      <v>5</v>
    </spb>
    <spb s="0">
      <v xml:space="preserve">Wikipedia	</v>
      <v xml:space="preserve">CC-BY-SA	</v>
      <v xml:space="preserve">http://en.wikipedia.org/wiki/Kosovo	</v>
      <v xml:space="preserve">http://creativecommons.org/licenses/by-sa/3.0/	</v>
    </spb>
    <spb s="0">
      <v xml:space="preserve">Wikipedia	</v>
      <v xml:space="preserve">CC BY-SA 3.0	</v>
      <v xml:space="preserve">https://en.wikipedia.org/wiki/Kosovo	</v>
      <v xml:space="preserve">https://creativecommons.org/licenses/by-sa/3.0	</v>
    </spb>
    <spb s="36">
      <v>191</v>
      <v>192</v>
      <v>192</v>
      <v>192</v>
      <v>192</v>
      <v>192</v>
      <v>192</v>
      <v>192</v>
      <v>191</v>
      <v>192</v>
      <v>192</v>
      <v>192</v>
      <v>192</v>
    </spb>
    <spb s="2">
      <v>22</v>
      <v>Name</v>
      <v>LearnMoreOnLink</v>
    </spb>
    <spb s="37">
      <v>2013</v>
      <v>square km</v>
      <v>2016</v>
    </spb>
    <spb s="0">
      <v xml:space="preserve">Wikipedia	</v>
      <v xml:space="preserve">CC BY-SA 3.0	</v>
      <v xml:space="preserve">https://en.wikipedia.org/wiki/Pristina	</v>
      <v xml:space="preserve">https://creativecommons.org/licenses/by-sa/3.0	</v>
    </spb>
    <spb s="22">
      <v>196</v>
      <v>196</v>
      <v>196</v>
      <v>196</v>
      <v>196</v>
      <v>196</v>
      <v>196</v>
      <v>196</v>
      <v>196</v>
    </spb>
    <spb s="10">
      <v>square km</v>
      <v>2013</v>
    </spb>
    <spb s="2">
      <v>23</v>
      <v>Name</v>
      <v>LearnMoreOnLink</v>
    </spb>
    <spb s="38">
      <v>13</v>
      <v>7</v>
      <v>7</v>
      <v>13</v>
      <v>1</v>
      <v>13</v>
      <v>13</v>
      <v>13</v>
      <v>4</v>
      <v>4</v>
      <v>11</v>
      <v>21</v>
      <v>13</v>
      <v>13</v>
      <v>13</v>
      <v>4</v>
      <v>14</v>
      <v>6</v>
      <v>5</v>
      <v>4</v>
    </spb>
    <spb s="39">
      <v>Delayed 5 minutes</v>
      <v>from previous close</v>
      <v>from previous close</v>
      <v>GMT</v>
    </spb>
    <spb s="0">
      <v xml:space="preserve">Wikipedia	Cia	travel.state.gov	</v>
      <v xml:space="preserve">CC-BY-SA			</v>
      <v xml:space="preserve">http://en.wikipedia.org/wiki/Kuwait	https://www.cia.gov/library/publications/the-world-factbook/geos/ku.html?Transportation	https://travel.state.gov/content/travel/en/international-travel/International-Travel-Country-Information-Pages/Kuwait.html	</v>
      <v xml:space="preserve">http://creativecommons.org/licenses/by-sa/3.0/			</v>
    </spb>
    <spb s="0">
      <v xml:space="preserve">Wikipedia	</v>
      <v xml:space="preserve">CC BY-SA 3.0	</v>
      <v xml:space="preserve">https://en.wikipedia.org/wiki/Kuwait	</v>
      <v xml:space="preserve">https://creativecommons.org/licenses/by-sa/3.0	</v>
    </spb>
    <spb s="0">
      <v xml:space="preserve">Wikipedia	</v>
      <v xml:space="preserve">CC-BY-SA	</v>
      <v xml:space="preserve">http://en.wikipedia.org/wiki/Kuwait	</v>
      <v xml:space="preserve">http://creativecommons.org/licenses/by-sa/3.0/	</v>
    </spb>
    <spb s="0">
      <v xml:space="preserve">Cia	</v>
      <v xml:space="preserve">	</v>
      <v xml:space="preserve">https://www.cia.gov/library/publications/the-world-factbook/geos/ku.html?Transportation	</v>
      <v xml:space="preserve">	</v>
    </spb>
    <spb s="40">
      <v>0</v>
      <v>202</v>
      <v>203</v>
      <v>203</v>
      <v>3</v>
      <v>203</v>
      <v>203</v>
      <v>203</v>
      <v>204</v>
      <v>203</v>
      <v>203</v>
      <v>204</v>
      <v>203</v>
      <v>203</v>
      <v>205</v>
      <v>6</v>
      <v>202</v>
      <v>205</v>
      <v>8</v>
      <v>203</v>
      <v>205</v>
      <v>9</v>
      <v>10</v>
      <v>11</v>
      <v>205</v>
      <v>205</v>
      <v>203</v>
      <v>205</v>
      <v>12</v>
      <v>13</v>
      <v>14</v>
      <v>15</v>
      <v>205</v>
      <v>202</v>
      <v>205</v>
      <v>205</v>
      <v>205</v>
      <v>16</v>
    </spb>
    <spb s="2">
      <v>24</v>
      <v>Name</v>
      <v>LearnMoreOnLink</v>
    </spb>
    <spb s="41">
      <v>2019</v>
      <v>2019</v>
      <v>square km</v>
      <v>per thousand (2018)</v>
      <v>2022</v>
      <v>2019</v>
      <v>2018</v>
      <v>per liter (2016)</v>
      <v>2019</v>
      <v>years (2018)</v>
      <v>2015</v>
      <v>per thousand (2018)</v>
      <v>2019</v>
      <v>2017</v>
      <v>2016</v>
      <v>2019</v>
      <v>2016</v>
      <v>2015</v>
      <v>kilotons per year (2016)</v>
      <v>deaths per 100,000 (2017)</v>
      <v>kWh (2014)</v>
      <v>2014</v>
      <v>2006</v>
      <v>2015</v>
      <v>2018</v>
      <v>2018</v>
      <v>2019</v>
    </spb>
    <spb s="0">
      <v xml:space="preserve">Wikipedia	</v>
      <v xml:space="preserve">CC-BY-SA	</v>
      <v xml:space="preserve">http://en.wikipedia.org/wiki/Kuwait_City	</v>
      <v xml:space="preserve">http://creativecommons.org/licenses/by-sa/3.0/	</v>
    </spb>
    <spb s="0">
      <v xml:space="preserve">Wikipedia	</v>
      <v xml:space="preserve">CC BY-SA 3.0	</v>
      <v xml:space="preserve">https://en.wikipedia.org/wiki/Kuwait_City	</v>
      <v xml:space="preserve">https://creativecommons.org/licenses/by-sa/3.0	</v>
    </spb>
    <spb s="9">
      <v>209</v>
      <v>210</v>
      <v>210</v>
      <v>210</v>
      <v>210</v>
      <v>210</v>
      <v>210</v>
      <v>210</v>
    </spb>
    <spb s="13">
      <v>22</v>
      <v>22</v>
      <v>1</v>
      <v>22</v>
      <v>22</v>
      <v>22</v>
      <v>11</v>
      <v>22</v>
      <v>22</v>
      <v>22</v>
      <v>14</v>
      <v>5</v>
    </spb>
    <spb s="0">
      <v xml:space="preserve">Wikipedia	Cia	travel.state.gov	</v>
      <v xml:space="preserve">CC-BY-SA			</v>
      <v xml:space="preserve">http://en.wikipedia.org/wiki/Kyrgyzstan	https://www.cia.gov/library/publications/the-world-factbook/geos/kg.html?Transportation	https://travel.state.gov/content/travel/en/international-travel/International-Travel-Country-Information-Pages/Kyrgyzstan.html	</v>
      <v xml:space="preserve">http://creativecommons.org/licenses/by-sa/3.0/			</v>
    </spb>
    <spb s="0">
      <v xml:space="preserve">Wikipedia	</v>
      <v xml:space="preserve">CC BY-SA 3.0	</v>
      <v xml:space="preserve">https://en.wikipedia.org/wiki/Kyrgyzstan	</v>
      <v xml:space="preserve">https://creativecommons.org/licenses/by-sa/3.0	</v>
    </spb>
    <spb s="0">
      <v xml:space="preserve">Wikipedia	</v>
      <v xml:space="preserve">CC-BY-SA	</v>
      <v xml:space="preserve">http://en.wikipedia.org/wiki/Kyrgyzstan	</v>
      <v xml:space="preserve">http://creativecommons.org/licenses/by-sa/3.0/	</v>
    </spb>
    <spb s="0">
      <v xml:space="preserve">Cia	</v>
      <v xml:space="preserve">	</v>
      <v xml:space="preserve">https://www.cia.gov/library/publications/the-world-factbook/geos/kg.html?Transportation	</v>
      <v xml:space="preserve">	</v>
    </spb>
    <spb s="20">
      <v>0</v>
      <v>213</v>
      <v>214</v>
      <v>214</v>
      <v>3</v>
      <v>214</v>
      <v>214</v>
      <v>214</v>
      <v>215</v>
      <v>214</v>
      <v>214</v>
      <v>215</v>
      <v>214</v>
      <v>214</v>
      <v>216</v>
      <v>6</v>
      <v>213</v>
      <v>216</v>
      <v>8</v>
      <v>214</v>
      <v>216</v>
      <v>9</v>
      <v>10</v>
      <v>11</v>
      <v>216</v>
      <v>216</v>
      <v>214</v>
      <v>216</v>
      <v>12</v>
      <v>13</v>
      <v>14</v>
      <v>15</v>
      <v>216</v>
      <v>216</v>
      <v>216</v>
      <v>216</v>
      <v>216</v>
      <v>216</v>
      <v>216</v>
      <v>216</v>
      <v>216</v>
      <v>216</v>
      <v>216</v>
      <v>16</v>
    </spb>
    <spb s="21">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2015</v>
      <v>2018</v>
      <v>2018</v>
      <v>2018</v>
      <v>2018</v>
      <v>2019</v>
    </spb>
    <spb s="0">
      <v xml:space="preserve">Wikipedia	</v>
      <v xml:space="preserve">CC BY-SA 3.0	</v>
      <v xml:space="preserve">https://en.wikipedia.org/wiki/Bishkek	</v>
      <v xml:space="preserve">https://creativecommons.org/licenses/by-sa/3.0	</v>
    </spb>
    <spb s="0">
      <v xml:space="preserve">Wikipedia	</v>
      <v xml:space="preserve">CC-BY-SA	</v>
      <v xml:space="preserve">http://en.wikipedia.org/wiki/Bishkek	</v>
      <v xml:space="preserve">http://creativecommons.org/licenses/by-sa/3.0/	</v>
    </spb>
    <spb s="32">
      <v>219</v>
      <v>219</v>
      <v>219</v>
      <v>219</v>
      <v>219</v>
      <v>220</v>
      <v>219</v>
    </spb>
    <spb s="2">
      <v>25</v>
      <v>Name</v>
      <v>LearnMoreOnLink</v>
    </spb>
    <spb s="2">
      <v>26</v>
      <v>Name</v>
      <v>LearnMoreOnLink</v>
    </spb>
    <spb s="42">
      <v>7</v>
      <v>7</v>
      <v>1</v>
      <v>9</v>
      <v>9</v>
      <v>4</v>
      <v>4</v>
      <v>11</v>
      <v>10</v>
      <v>9</v>
      <v>9</v>
      <v>9</v>
      <v>4</v>
      <v>14</v>
      <v>6</v>
      <v>5</v>
      <v>4</v>
    </spb>
    <spb s="43">
      <v>Delayed 15 minutes</v>
      <v>from previous close</v>
      <v>from previous close</v>
      <v>LSE</v>
      <v>GMT</v>
    </spb>
    <spb s="0">
      <v xml:space="preserve">Wikipedia	Cia	travel.state.gov	</v>
      <v xml:space="preserve">CC-BY-SA			</v>
      <v xml:space="preserve">http://en.wikipedia.org/wiki/Laos	https://www.cia.gov/library/publications/the-world-factbook/geos/la.html?Transportation	https://travel.state.gov/content/travel/en/international-travel/International-Travel-Country-Information-Pages/Laos.html	</v>
      <v xml:space="preserve">http://creativecommons.org/licenses/by-sa/3.0/			</v>
    </spb>
    <spb s="0">
      <v xml:space="preserve">Wikipedia	</v>
      <v xml:space="preserve">CC BY-SA 3.0	</v>
      <v xml:space="preserve">https://en.wikipedia.org/wiki/Laos	</v>
      <v xml:space="preserve">https://creativecommons.org/licenses/by-sa/3.0	</v>
    </spb>
    <spb s="0">
      <v xml:space="preserve">Wikipedia	</v>
      <v xml:space="preserve">CC-BY-SA	</v>
      <v xml:space="preserve">http://en.wikipedia.org/wiki/Laos	</v>
      <v xml:space="preserve">http://creativecommons.org/licenses/by-sa/3.0/	</v>
    </spb>
    <spb s="0">
      <v xml:space="preserve">Cia	</v>
      <v xml:space="preserve">	</v>
      <v xml:space="preserve">https://www.cia.gov/library/publications/the-world-factbook/geos/la.html?Transportation	</v>
      <v xml:space="preserve">	</v>
    </spb>
    <spb s="44">
      <v>0</v>
      <v>226</v>
      <v>227</v>
      <v>227</v>
      <v>3</v>
      <v>227</v>
      <v>227</v>
      <v>227</v>
      <v>228</v>
      <v>227</v>
      <v>227</v>
      <v>228</v>
      <v>227</v>
      <v>227</v>
      <v>229</v>
      <v>6</v>
      <v>226</v>
      <v>229</v>
      <v>8</v>
      <v>227</v>
      <v>229</v>
      <v>9</v>
      <v>10</v>
      <v>11</v>
      <v>229</v>
      <v>229</v>
      <v>227</v>
      <v>229</v>
      <v>12</v>
      <v>13</v>
      <v>14</v>
      <v>229</v>
      <v>229</v>
      <v>229</v>
      <v>229</v>
      <v>229</v>
      <v>229</v>
      <v>229</v>
      <v>229</v>
      <v>229</v>
      <v>229</v>
      <v>16</v>
    </spb>
    <spb s="2">
      <v>27</v>
      <v>Name</v>
      <v>LearnMoreOnLink</v>
    </spb>
    <spb s="45">
      <v>2019</v>
      <v>2019</v>
      <v>square km</v>
      <v>per thousand (2018)</v>
      <v>2022</v>
      <v>2019</v>
      <v>2018</v>
      <v>per liter (2016)</v>
      <v>2019</v>
      <v>years (2018)</v>
      <v>2016</v>
      <v>per thousand (2018)</v>
      <v>2019</v>
      <v>2017</v>
      <v>2016</v>
      <v>2019</v>
      <v>2016</v>
      <v>2017</v>
      <v>kilotons per year (2016)</v>
      <v>deaths per 100,000 (2017)</v>
      <v>2012</v>
      <v>2012</v>
      <v>2012</v>
      <v>2012</v>
      <v>2012</v>
      <v>2015</v>
      <v>2012</v>
      <v>2012</v>
      <v>2018</v>
      <v>2018</v>
      <v>2019</v>
    </spb>
    <spb s="0">
      <v xml:space="preserve">Wikipedia	</v>
      <v xml:space="preserve">CC BY-SA 3.0	</v>
      <v xml:space="preserve">https://en.wikipedia.org/wiki/Vientiane	</v>
      <v xml:space="preserve">https://creativecommons.org/licenses/by-sa/3.0	</v>
    </spb>
    <spb s="22">
      <v>233</v>
      <v>233</v>
      <v>233</v>
      <v>233</v>
      <v>233</v>
      <v>233</v>
      <v>233</v>
      <v>233</v>
      <v>233</v>
    </spb>
    <spb s="10">
      <v>square km</v>
      <v>2023</v>
    </spb>
    <spb s="13">
      <v>23</v>
      <v>23</v>
      <v>1</v>
      <v>23</v>
      <v>23</v>
      <v>23</v>
      <v>11</v>
      <v>23</v>
      <v>23</v>
      <v>23</v>
      <v>14</v>
      <v>5</v>
    </spb>
    <spb s="0">
      <v xml:space="preserve">Wikipedia	Cia	travel.state.gov	</v>
      <v xml:space="preserve">CC-BY-SA			</v>
      <v xml:space="preserve">http://en.wikipedia.org/wiki/Latvia	https://www.cia.gov/library/publications/the-world-factbook/geos/lg.html?Transportation	https://travel.state.gov/content/travel/en/international-travel/International-Travel-Country-Information-Pages/Latvia.html	</v>
      <v xml:space="preserve">http://creativecommons.org/licenses/by-sa/3.0/			</v>
    </spb>
    <spb s="0">
      <v xml:space="preserve">Wikipedia	</v>
      <v xml:space="preserve">CC BY-SA 3.0	</v>
      <v xml:space="preserve">https://en.wikipedia.org/wiki/Latvia	</v>
      <v xml:space="preserve">https://creativecommons.org/licenses/by-sa/3.0	</v>
    </spb>
    <spb s="0">
      <v xml:space="preserve">Wikipedia	</v>
      <v xml:space="preserve">CC-BY-SA	</v>
      <v xml:space="preserve">http://en.wikipedia.org/wiki/Latvia	</v>
      <v xml:space="preserve">http://creativecommons.org/licenses/by-sa/3.0/	</v>
    </spb>
    <spb s="0">
      <v xml:space="preserve">Cia	</v>
      <v xml:space="preserve">	</v>
      <v xml:space="preserve">https://www.cia.gov/library/publications/the-world-factbook/geos/lg.html?Transportation	</v>
      <v xml:space="preserve">	</v>
    </spb>
    <spb s="20">
      <v>0</v>
      <v>237</v>
      <v>238</v>
      <v>238</v>
      <v>3</v>
      <v>238</v>
      <v>238</v>
      <v>238</v>
      <v>239</v>
      <v>238</v>
      <v>238</v>
      <v>239</v>
      <v>238</v>
      <v>238</v>
      <v>240</v>
      <v>6</v>
      <v>237</v>
      <v>240</v>
      <v>8</v>
      <v>238</v>
      <v>240</v>
      <v>9</v>
      <v>10</v>
      <v>11</v>
      <v>240</v>
      <v>240</v>
      <v>238</v>
      <v>240</v>
      <v>12</v>
      <v>13</v>
      <v>14</v>
      <v>15</v>
      <v>240</v>
      <v>240</v>
      <v>240</v>
      <v>240</v>
      <v>240</v>
      <v>240</v>
      <v>240</v>
      <v>240</v>
      <v>240</v>
      <v>240</v>
      <v>240</v>
      <v>16</v>
    </spb>
    <spb s="2">
      <v>28</v>
      <v>Name</v>
      <v>LearnMoreOnLink</v>
    </spb>
    <spb s="21">
      <v>2019</v>
      <v>2019</v>
      <v>square km</v>
      <v>per thousand (2018)</v>
      <v>2022</v>
      <v>2019</v>
      <v>2018</v>
      <v>per liter (2016)</v>
      <v>2019</v>
      <v>years (2018)</v>
      <v>2018</v>
      <v>per thousand (2018)</v>
      <v>2019</v>
      <v>2017</v>
      <v>2016</v>
      <v>2019</v>
      <v>2016</v>
      <v>2017</v>
      <v>kilotons per year (2016)</v>
      <v>deaths per 100,000 (2017)</v>
      <v>kWh (2014)</v>
      <v>2014</v>
      <v>2017</v>
      <v>2017</v>
      <v>2017</v>
      <v>2017</v>
      <v>2017</v>
      <v>2015</v>
      <v>2017</v>
      <v>2017</v>
      <v>2017</v>
      <v>2017</v>
      <v>2019</v>
    </spb>
    <spb s="0">
      <v xml:space="preserve">Wikipedia	</v>
      <v xml:space="preserve">CC BY-SA 3.0	</v>
      <v xml:space="preserve">https://en.wikipedia.org/wiki/Riga	</v>
      <v xml:space="preserve">https://creativecommons.org/licenses/by-sa/3.0	</v>
    </spb>
    <spb s="9">
      <v>244</v>
      <v>244</v>
      <v>244</v>
      <v>244</v>
      <v>244</v>
      <v>244</v>
      <v>244</v>
      <v>244</v>
    </spb>
    <spb s="0">
      <v xml:space="preserve">Wikipedia	Cia	travel.state.gov	</v>
      <v xml:space="preserve">CC-BY-SA			</v>
      <v xml:space="preserve">http://en.wikipedia.org/wiki/Lebanon	https://www.cia.gov/library/publications/the-world-factbook/geos/le.html?Transportation	https://travel.state.gov/content/travel/en/international-travel/International-Travel-Country-Information-Pages/Lebanon.html	</v>
      <v xml:space="preserve">http://creativecommons.org/licenses/by-sa/3.0/			</v>
    </spb>
    <spb s="0">
      <v xml:space="preserve">Wikipedia	</v>
      <v xml:space="preserve">CC BY-SA 3.0	</v>
      <v xml:space="preserve">https://en.wikipedia.org/wiki/Lebanon	</v>
      <v xml:space="preserve">https://creativecommons.org/licenses/by-sa/3.0	</v>
    </spb>
    <spb s="0">
      <v xml:space="preserve">Wikipedia	</v>
      <v xml:space="preserve">CC-BY-SA	</v>
      <v xml:space="preserve">http://en.wikipedia.org/wiki/Lebanon	</v>
      <v xml:space="preserve">http://creativecommons.org/licenses/by-sa/3.0/	</v>
    </spb>
    <spb s="0">
      <v xml:space="preserve">Cia	</v>
      <v xml:space="preserve">	</v>
      <v xml:space="preserve">https://www.cia.gov/library/publications/the-world-factbook/geos/le.html?Transportation	</v>
      <v xml:space="preserve">	</v>
    </spb>
    <spb s="1">
      <v>0</v>
      <v>246</v>
      <v>247</v>
      <v>247</v>
      <v>3</v>
      <v>247</v>
      <v>247</v>
      <v>247</v>
      <v>248</v>
      <v>247</v>
      <v>247</v>
      <v>248</v>
      <v>247</v>
      <v>247</v>
      <v>249</v>
      <v>6</v>
      <v>246</v>
      <v>249</v>
      <v>8</v>
      <v>247</v>
      <v>249</v>
      <v>9</v>
      <v>10</v>
      <v>11</v>
      <v>249</v>
      <v>249</v>
      <v>247</v>
      <v>249</v>
      <v>12</v>
      <v>13</v>
      <v>14</v>
      <v>15</v>
      <v>249</v>
      <v>246</v>
      <v>249</v>
      <v>249</v>
      <v>249</v>
      <v>249</v>
      <v>249</v>
      <v>249</v>
      <v>249</v>
      <v>249</v>
      <v>249</v>
      <v>249</v>
      <v>16</v>
    </spb>
    <spb s="7">
      <v>2019</v>
      <v>2019</v>
      <v>square km</v>
      <v>per thousand (2018)</v>
      <v>2022</v>
      <v>2019</v>
      <v>2018</v>
      <v>per liter (2016)</v>
      <v>2019</v>
      <v>years (2018)</v>
      <v>2018</v>
      <v>per thousand (2018)</v>
      <v>2019</v>
      <v>2017</v>
      <v>2016</v>
      <v>2019</v>
      <v>2016</v>
      <v>2018</v>
      <v>kilotons per year (2016)</v>
      <v>deaths per 100,000 (2017)</v>
      <v>kWh (2014)</v>
      <v>2014</v>
      <v>2019</v>
      <v>2011</v>
      <v>2011</v>
      <v>2011</v>
      <v>2011</v>
      <v>2011</v>
      <v>2015</v>
      <v>2011</v>
      <v>2011</v>
      <v>1985</v>
      <v>1985</v>
      <v>2019</v>
    </spb>
    <spb s="0">
      <v xml:space="preserve">Wikipedia	</v>
      <v xml:space="preserve">CC-BY-SA	</v>
      <v xml:space="preserve">http://en.wikipedia.org/wiki/Beirut	</v>
      <v xml:space="preserve">http://creativecommons.org/licenses/by-sa/3.0/	</v>
    </spb>
    <spb s="0">
      <v xml:space="preserve">Wikipedia	</v>
      <v xml:space="preserve">CC BY-SA 3.0	</v>
      <v xml:space="preserve">https://en.wikipedia.org/wiki/Beirut	</v>
      <v xml:space="preserve">https://creativecommons.org/licenses/by-sa/3.0	</v>
    </spb>
    <spb s="22">
      <v>252</v>
      <v>253</v>
      <v>253</v>
      <v>253</v>
      <v>253</v>
      <v>253</v>
      <v>253</v>
      <v>253</v>
      <v>253</v>
    </spb>
    <spb s="13">
      <v>24</v>
      <v>24</v>
      <v>1</v>
      <v>24</v>
      <v>24</v>
      <v>24</v>
      <v>11</v>
      <v>24</v>
      <v>24</v>
      <v>24</v>
      <v>14</v>
      <v>5</v>
    </spb>
    <spb s="0">
      <v xml:space="preserve">Wikipedia	Cia	travel.state.gov	</v>
      <v xml:space="preserve">CC-BY-SA			</v>
      <v xml:space="preserve">http://en.wikipedia.org/wiki/Lesotho	https://www.cia.gov/library/publications/the-world-factbook/geos/lt.html?Transportation	https://travel.state.gov/content/travel/en/international-travel/International-Travel-Country-Information-Pages/Lesotho.html	</v>
      <v xml:space="preserve">http://creativecommons.org/licenses/by-sa/3.0/			</v>
    </spb>
    <spb s="0">
      <v xml:space="preserve">Wikipedia	</v>
      <v xml:space="preserve">CC BY-SA 3.0	</v>
      <v xml:space="preserve">https://en.wikipedia.org/wiki/Lesotho	</v>
      <v xml:space="preserve">https://creativecommons.org/licenses/by-sa/3.0	</v>
    </spb>
    <spb s="0">
      <v xml:space="preserve">Wikipedia	</v>
      <v xml:space="preserve">CC-BY-SA	</v>
      <v xml:space="preserve">http://en.wikipedia.org/wiki/Lesotho	</v>
      <v xml:space="preserve">http://creativecommons.org/licenses/by-sa/3.0/	</v>
    </spb>
    <spb s="0">
      <v xml:space="preserve">Cia	</v>
      <v xml:space="preserve">	</v>
      <v xml:space="preserve">https://www.cia.gov/library/publications/the-world-factbook/geos/lt.html?Transportation	</v>
      <v xml:space="preserve">	</v>
    </spb>
    <spb s="46">
      <v>0</v>
      <v>256</v>
      <v>257</v>
      <v>257</v>
      <v>3</v>
      <v>257</v>
      <v>257</v>
      <v>257</v>
      <v>258</v>
      <v>257</v>
      <v>257</v>
      <v>258</v>
      <v>257</v>
      <v>257</v>
      <v>259</v>
      <v>6</v>
      <v>256</v>
      <v>259</v>
      <v>8</v>
      <v>257</v>
      <v>259</v>
      <v>9</v>
      <v>10</v>
      <v>11</v>
      <v>259</v>
      <v>259</v>
      <v>257</v>
      <v>259</v>
      <v>12</v>
      <v>13</v>
      <v>14</v>
      <v>259</v>
      <v>259</v>
      <v>259</v>
      <v>259</v>
      <v>259</v>
      <v>259</v>
      <v>259</v>
      <v>259</v>
      <v>259</v>
      <v>259</v>
      <v>259</v>
      <v>16</v>
    </spb>
    <spb s="2">
      <v>29</v>
      <v>Name</v>
      <v>LearnMoreOnLink</v>
    </spb>
    <spb s="47">
      <v>2019</v>
      <v>2019</v>
      <v>square km</v>
      <v>per thousand (2018)</v>
      <v>2022</v>
      <v>2019</v>
      <v>2018</v>
      <v>per liter (2016)</v>
      <v>2019</v>
      <v>years (2018)</v>
      <v>2018</v>
      <v>per thousand (2018)</v>
      <v>2019</v>
      <v>2017</v>
      <v>2016</v>
      <v>2019</v>
      <v>2016</v>
      <v>2010</v>
      <v>kilotons per year (2016)</v>
      <v>deaths per 100,000 (2017)</v>
      <v>2007</v>
      <v>2017</v>
      <v>2017</v>
      <v>2017</v>
      <v>2017</v>
      <v>2017</v>
      <v>2015</v>
      <v>2017</v>
      <v>2017</v>
      <v>2017</v>
      <v>2018</v>
      <v>2019</v>
    </spb>
    <spb s="0">
      <v xml:space="preserve">Wikipedia	</v>
      <v xml:space="preserve">CC BY-SA 3.0	</v>
      <v xml:space="preserve">https://en.wikipedia.org/wiki/Maseru	</v>
      <v xml:space="preserve">https://creativecommons.org/licenses/by-sa/3.0	</v>
    </spb>
    <spb s="22">
      <v>263</v>
      <v>263</v>
      <v>263</v>
      <v>263</v>
      <v>263</v>
      <v>263</v>
      <v>263</v>
      <v>263</v>
      <v>263</v>
    </spb>
    <spb s="0">
      <v xml:space="preserve">Wikipedia	Cia	travel.state.gov	</v>
      <v xml:space="preserve">CC-BY-SA			</v>
      <v xml:space="preserve">http://en.wikipedia.org/wiki/Liberia	https://www.cia.gov/library/publications/the-world-factbook/geos/li.html?Transportation	https://travel.state.gov/content/travel/en/international-travel/International-Travel-Country-Information-Pages/Liberia.html	</v>
      <v xml:space="preserve">http://creativecommons.org/licenses/by-sa/3.0/			</v>
    </spb>
    <spb s="0">
      <v xml:space="preserve">Wikipedia	</v>
      <v xml:space="preserve">CC BY-SA 3.0	</v>
      <v xml:space="preserve">https://en.wikipedia.org/wiki/Liberia	</v>
      <v xml:space="preserve">https://creativecommons.org/licenses/by-sa/3.0	</v>
    </spb>
    <spb s="0">
      <v xml:space="preserve">Wikipedia	</v>
      <v xml:space="preserve">CC-BY-SA	</v>
      <v xml:space="preserve">http://en.wikipedia.org/wiki/Liberia	</v>
      <v xml:space="preserve">http://creativecommons.org/licenses/by-sa/3.0/	</v>
    </spb>
    <spb s="0">
      <v xml:space="preserve">Cia	</v>
      <v xml:space="preserve">	</v>
      <v xml:space="preserve">https://www.cia.gov/library/publications/the-world-factbook/geos/li.html?Transportation	</v>
      <v xml:space="preserve">	</v>
    </spb>
    <spb s="44">
      <v>0</v>
      <v>265</v>
      <v>266</v>
      <v>266</v>
      <v>3</v>
      <v>266</v>
      <v>266</v>
      <v>266</v>
      <v>267</v>
      <v>266</v>
      <v>266</v>
      <v>267</v>
      <v>266</v>
      <v>266</v>
      <v>268</v>
      <v>6</v>
      <v>265</v>
      <v>268</v>
      <v>8</v>
      <v>266</v>
      <v>268</v>
      <v>9</v>
      <v>10</v>
      <v>11</v>
      <v>268</v>
      <v>268</v>
      <v>266</v>
      <v>268</v>
      <v>12</v>
      <v>13</v>
      <v>14</v>
      <v>268</v>
      <v>268</v>
      <v>268</v>
      <v>268</v>
      <v>268</v>
      <v>268</v>
      <v>268</v>
      <v>268</v>
      <v>268</v>
      <v>268</v>
      <v>16</v>
    </spb>
    <spb s="45">
      <v>2018</v>
      <v>2019</v>
      <v>square km</v>
      <v>per thousand (2018)</v>
      <v>2022</v>
      <v>2018</v>
      <v>2018</v>
      <v>per liter (2016)</v>
      <v>2019</v>
      <v>years (2018)</v>
      <v>2013</v>
      <v>per thousand (2018)</v>
      <v>2019</v>
      <v>2017</v>
      <v>2016</v>
      <v>2019</v>
      <v>2016</v>
      <v>2015</v>
      <v>kilotons per year (2016)</v>
      <v>deaths per 100,000 (2017)</v>
      <v>2016</v>
      <v>2016</v>
      <v>2016</v>
      <v>2016</v>
      <v>2016</v>
      <v>2015</v>
      <v>2016</v>
      <v>2016</v>
      <v>2017</v>
      <v>2012</v>
      <v>2019</v>
    </spb>
    <spb s="0">
      <v xml:space="preserve">Wikipedia	</v>
      <v xml:space="preserve">CC BY-SA 3.0	</v>
      <v xml:space="preserve">https://en.wikipedia.org/wiki/Monrovia	</v>
      <v xml:space="preserve">https://creativecommons.org/licenses/by-sa/3.0	</v>
    </spb>
    <spb s="29">
      <v>271</v>
      <v>271</v>
      <v>271</v>
      <v>271</v>
      <v>271</v>
      <v>271</v>
      <v>271</v>
      <v>271</v>
      <v>271</v>
      <v>271</v>
    </spb>
    <spb s="2">
      <v>30</v>
      <v>Name</v>
      <v>LearnMoreOnLink</v>
    </spb>
    <spb s="10">
      <v>square km</v>
      <v>2008</v>
    </spb>
    <spb s="13">
      <v>25</v>
      <v>25</v>
      <v>1</v>
      <v>25</v>
      <v>25</v>
      <v>25</v>
      <v>11</v>
      <v>25</v>
      <v>25</v>
      <v>25</v>
      <v>14</v>
      <v>5</v>
    </spb>
    <spb s="0">
      <v xml:space="preserve">Wikipedia	Cia	travel.state.gov	</v>
      <v xml:space="preserve">CC-BY-SA			</v>
      <v xml:space="preserve">http://en.wikipedia.org/wiki/Libya	https://www.cia.gov/library/publications/the-world-factbook/geos/ly.html?Transportation	https://travel.state.gov/content/travel/en/international-travel/International-Travel-Country-Information-Pages/Libya.html	</v>
      <v xml:space="preserve">http://creativecommons.org/licenses/by-sa/3.0/			</v>
    </spb>
    <spb s="0">
      <v xml:space="preserve">Wikipedia	</v>
      <v xml:space="preserve">CC BY-SA 3.0	</v>
      <v xml:space="preserve">https://en.wikipedia.org/wiki/Libya	</v>
      <v xml:space="preserve">https://creativecommons.org/licenses/by-sa/3.0	</v>
    </spb>
    <spb s="0">
      <v xml:space="preserve">Wikipedia	</v>
      <v xml:space="preserve">CC-BY-SA	</v>
      <v xml:space="preserve">http://en.wikipedia.org/wiki/Libya	</v>
      <v xml:space="preserve">http://creativecommons.org/licenses/by-sa/3.0/	</v>
    </spb>
    <spb s="0">
      <v xml:space="preserve">Cia	</v>
      <v xml:space="preserve">	</v>
      <v xml:space="preserve">https://www.cia.gov/library/publications/the-world-factbook/geos/ly.html?Transportation	</v>
      <v xml:space="preserve">	</v>
    </spb>
    <spb s="48">
      <v>0</v>
      <v>276</v>
      <v>277</v>
      <v>277</v>
      <v>3</v>
      <v>277</v>
      <v>277</v>
      <v>277</v>
      <v>278</v>
      <v>277</v>
      <v>277</v>
      <v>278</v>
      <v>277</v>
      <v>277</v>
      <v>279</v>
      <v>6</v>
      <v>276</v>
      <v>279</v>
      <v>8</v>
      <v>277</v>
      <v>9</v>
      <v>10</v>
      <v>11</v>
      <v>279</v>
      <v>279</v>
      <v>277</v>
      <v>279</v>
      <v>12</v>
      <v>13</v>
      <v>14</v>
      <v>15</v>
      <v>279</v>
      <v>279</v>
      <v>279</v>
      <v>279</v>
      <v>16</v>
    </spb>
    <spb s="2">
      <v>31</v>
      <v>Name</v>
      <v>LearnMoreOnLink</v>
    </spb>
    <spb s="49">
      <v>2013</v>
      <v>2019</v>
      <v>square km</v>
      <v>per thousand (2018)</v>
      <v>2022</v>
      <v>2013</v>
      <v>2018</v>
      <v>per liter (2016)</v>
      <v>2019</v>
      <v>years (2018)</v>
      <v>per thousand (2018)</v>
      <v>2019</v>
      <v>2014</v>
      <v>2016</v>
      <v>2019</v>
      <v>2016</v>
      <v>2017</v>
      <v>kilotons per year (2016)</v>
      <v>deaths per 100,000 (2017)</v>
      <v>kWh (2014)</v>
      <v>2014</v>
      <v>2011</v>
      <v>2006</v>
      <v>2003</v>
      <v>2019</v>
    </spb>
    <spb s="0">
      <v xml:space="preserve">Wikipedia	</v>
      <v xml:space="preserve">CC-BY-SA	</v>
      <v xml:space="preserve">http://en.wikipedia.org/wiki/Tripoli	</v>
      <v xml:space="preserve">http://creativecommons.org/licenses/by-sa/3.0/	</v>
    </spb>
    <spb s="0">
      <v xml:space="preserve">Wikipedia	Wikipedia	</v>
      <v xml:space="preserve">CC-BY-SA	CC-BY-SA	</v>
      <v xml:space="preserve">http://en.wikipedia.org/wiki/Tripoli	https://en.wikipedia.org/wiki/Tripoli	</v>
      <v xml:space="preserve">http://creativecommons.org/licenses/by-sa/3.0/	http://creativecommons.org/licenses/by-sa/3.0/	</v>
    </spb>
    <spb s="31">
      <v>283</v>
      <v>283</v>
      <v>283</v>
      <v>283</v>
      <v>283</v>
      <v>284</v>
    </spb>
    <spb s="2">
      <v>32</v>
      <v>Name</v>
      <v>LearnMoreOnLink</v>
    </spb>
    <spb s="50">
      <v>19</v>
      <v>19</v>
      <v>96</v>
      <v>19</v>
    </spb>
    <spb s="51">
      <v>1</v>
      <v>26</v>
    </spb>
    <spb s="0">
      <v xml:space="preserve">Wikipedia	Cia	travel.state.gov	</v>
      <v xml:space="preserve">CC-BY-SA			</v>
      <v xml:space="preserve">http://en.wikipedia.org/wiki/Liechtenstein	https://www.cia.gov/library/publications/the-world-factbook/geos/ls.html?Transportation	https://travel.state.gov/content/travel/en/international-travel/International-Travel-Country-Information-Pages/Liechtenstein.html	</v>
      <v xml:space="preserve">http://creativecommons.org/licenses/by-sa/3.0/			</v>
    </spb>
    <spb s="0">
      <v xml:space="preserve">Wikipedia	</v>
      <v xml:space="preserve">CC BY-SA 3.0	</v>
      <v xml:space="preserve">https://en.wikipedia.org/wiki/Liechtenstein	</v>
      <v xml:space="preserve">https://creativecommons.org/licenses/by-sa/3.0	</v>
    </spb>
    <spb s="0">
      <v xml:space="preserve">Wikipedia	</v>
      <v xml:space="preserve">CC-BY-SA	</v>
      <v xml:space="preserve">http://en.wikipedia.org/wiki/Liechtenstein	</v>
      <v xml:space="preserve">http://creativecommons.org/licenses/by-sa/3.0/	</v>
    </spb>
    <spb s="0">
      <v xml:space="preserve">Cia	</v>
      <v xml:space="preserve">	</v>
      <v xml:space="preserve">https://www.cia.gov/library/publications/the-world-factbook/geos/ls.html?Transportation	</v>
      <v xml:space="preserve">	</v>
    </spb>
    <spb s="52">
      <v>289</v>
      <v>290</v>
      <v>290</v>
      <v>3</v>
      <v>290</v>
      <v>290</v>
      <v>290</v>
      <v>291</v>
      <v>290</v>
      <v>290</v>
      <v>290</v>
      <v>290</v>
      <v>6</v>
      <v>289</v>
      <v>292</v>
      <v>8</v>
      <v>290</v>
      <v>10</v>
      <v>292</v>
      <v>290</v>
      <v>292</v>
      <v>13</v>
      <v>292</v>
      <v>292</v>
    </spb>
    <spb s="2">
      <v>33</v>
      <v>Name</v>
      <v>LearnMoreOnLink</v>
    </spb>
    <spb s="53">
      <v>2017</v>
      <v>square km</v>
      <v>per thousand (2018)</v>
      <v>2022</v>
      <v>2018</v>
      <v>per liter (2014)</v>
      <v>2019</v>
      <v>years (2018)</v>
      <v>2019</v>
      <v>2016</v>
      <v>2016</v>
      <v>kilotons per year (2016)</v>
      <v>2017</v>
      <v>2017</v>
    </spb>
    <spb s="0">
      <v xml:space="preserve">Wikipedia	</v>
      <v xml:space="preserve">CC BY-SA 3.0	</v>
      <v xml:space="preserve">https://en.wikipedia.org/wiki/Vaduz	</v>
      <v xml:space="preserve">https://creativecommons.org/licenses/by-sa/3.0	</v>
    </spb>
    <spb s="0">
      <v xml:space="preserve">Wikipedia	</v>
      <v xml:space="preserve">CC-BY-SA	</v>
      <v xml:space="preserve">http://en.wikipedia.org/wiki/Vaduz	</v>
      <v xml:space="preserve">http://creativecommons.org/licenses/by-sa/3.0/	</v>
    </spb>
    <spb s="32">
      <v>296</v>
      <v>296</v>
      <v>296</v>
      <v>296</v>
      <v>296</v>
      <v>297</v>
      <v>296</v>
    </spb>
    <spb s="2">
      <v>34</v>
      <v>Name</v>
      <v>LearnMoreOnLink</v>
    </spb>
    <spb s="0">
      <v xml:space="preserve">Wikipedia	</v>
      <v xml:space="preserve">CC BY-SA 3.0	</v>
      <v xml:space="preserve">https://en.wikipedia.org/wiki/Schaan	</v>
      <v xml:space="preserve">https://creativecommons.org/licenses/by-sa/3.0	</v>
    </spb>
    <spb s="0">
      <v xml:space="preserve">Wikipedia	</v>
      <v xml:space="preserve">CC-BY-SA	</v>
      <v xml:space="preserve">http://en.wikipedia.org/wiki/Schaan	</v>
      <v xml:space="preserve">http://creativecommons.org/licenses/by-sa/3.0/	</v>
    </spb>
    <spb s="54">
      <v>300</v>
      <v>300</v>
      <v>300</v>
      <v>300</v>
      <v>300</v>
      <v>301</v>
      <v>300</v>
      <v>300</v>
    </spb>
    <spb s="2">
      <v>35</v>
      <v>Name</v>
      <v>LearnMoreOnLink</v>
    </spb>
    <spb s="13">
      <v>27</v>
      <v>27</v>
      <v>1</v>
      <v>27</v>
      <v>27</v>
      <v>27</v>
      <v>11</v>
      <v>27</v>
      <v>27</v>
      <v>27</v>
      <v>14</v>
      <v>5</v>
    </spb>
    <spb s="0">
      <v xml:space="preserve">Wikipedia	Cia	travel.state.gov	</v>
      <v xml:space="preserve">CC-BY-SA			</v>
      <v xml:space="preserve">http://en.wikipedia.org/wiki/Lithuania	https://www.cia.gov/library/publications/the-world-factbook/geos/lh.html?Transportation	https://travel.state.gov/content/travel/en/international-travel/International-Travel-Country-Information-Pages/Lithuania.html	</v>
      <v xml:space="preserve">http://creativecommons.org/licenses/by-sa/3.0/			</v>
    </spb>
    <spb s="0">
      <v xml:space="preserve">Wikipedia	</v>
      <v xml:space="preserve">CC BY-SA 3.0	</v>
      <v xml:space="preserve">https://en.wikipedia.org/wiki/Lithuania	</v>
      <v xml:space="preserve">https://creativecommons.org/licenses/by-sa/3.0	</v>
    </spb>
    <spb s="0">
      <v xml:space="preserve">Wikipedia	</v>
      <v xml:space="preserve">CC-BY-SA	</v>
      <v xml:space="preserve">http://en.wikipedia.org/wiki/Lithuania	</v>
      <v xml:space="preserve">http://creativecommons.org/licenses/by-sa/3.0/	</v>
    </spb>
    <spb s="0">
      <v xml:space="preserve">Cia	</v>
      <v xml:space="preserve">	</v>
      <v xml:space="preserve">https://www.cia.gov/library/publications/the-world-factbook/geos/lh.html?Transportation	</v>
      <v xml:space="preserve">	</v>
    </spb>
    <spb s="20">
      <v>0</v>
      <v>305</v>
      <v>306</v>
      <v>306</v>
      <v>3</v>
      <v>306</v>
      <v>306</v>
      <v>306</v>
      <v>307</v>
      <v>306</v>
      <v>306</v>
      <v>307</v>
      <v>306</v>
      <v>306</v>
      <v>308</v>
      <v>6</v>
      <v>305</v>
      <v>308</v>
      <v>8</v>
      <v>306</v>
      <v>308</v>
      <v>9</v>
      <v>10</v>
      <v>11</v>
      <v>308</v>
      <v>308</v>
      <v>306</v>
      <v>308</v>
      <v>12</v>
      <v>13</v>
      <v>14</v>
      <v>15</v>
      <v>308</v>
      <v>308</v>
      <v>308</v>
      <v>308</v>
      <v>308</v>
      <v>308</v>
      <v>308</v>
      <v>308</v>
      <v>308</v>
      <v>308</v>
      <v>308</v>
      <v>16</v>
    </spb>
    <spb s="21">
      <v>2019</v>
      <v>2019</v>
      <v>square km</v>
      <v>per thousand (2018)</v>
      <v>2022</v>
      <v>2019</v>
      <v>2018</v>
      <v>per liter (2016)</v>
      <v>2019</v>
      <v>years (2018)</v>
      <v>2018</v>
      <v>per thousand (2018)</v>
      <v>2019</v>
      <v>2017</v>
      <v>2016</v>
      <v>2019</v>
      <v>2016</v>
      <v>2018</v>
      <v>kilotons per year (2016)</v>
      <v>deaths per 100,000 (2017)</v>
      <v>kWh (2014)</v>
      <v>2014</v>
      <v>2017</v>
      <v>2017</v>
      <v>2017</v>
      <v>2017</v>
      <v>2017</v>
      <v>2015</v>
      <v>2017</v>
      <v>2017</v>
      <v>2017</v>
      <v>2017</v>
      <v>2019</v>
    </spb>
    <spb s="0">
      <v xml:space="preserve">Wikipedia	</v>
      <v xml:space="preserve">CC BY-SA 3.0	</v>
      <v xml:space="preserve">https://en.wikipedia.org/wiki/Vilnius	</v>
      <v xml:space="preserve">https://creativecommons.org/licenses/by-sa/3.0	</v>
    </spb>
    <spb s="22">
      <v>311</v>
      <v>311</v>
      <v>311</v>
      <v>311</v>
      <v>311</v>
      <v>311</v>
      <v>311</v>
      <v>311</v>
      <v>311</v>
    </spb>
    <spb s="0">
      <v xml:space="preserve">Wikipedia	Cia	travel.state.gov	</v>
      <v xml:space="preserve">CC-BY-SA			</v>
      <v xml:space="preserve">http://en.wikipedia.org/wiki/Luxembourg	https://www.cia.gov/library/publications/the-world-factbook/geos/lu.html?Transportation	https://travel.state.gov/content/travel/en/international-travel/International-Travel-Country-Information-Pages/Luxembourg.html	</v>
      <v xml:space="preserve">http://creativecommons.org/licenses/by-sa/3.0/			</v>
    </spb>
    <spb s="0">
      <v xml:space="preserve">Wikipedia	</v>
      <v xml:space="preserve">CC BY-SA 3.0	</v>
      <v xml:space="preserve">https://en.wikipedia.org/wiki/Luxembourg	</v>
      <v xml:space="preserve">https://creativecommons.org/licenses/by-sa/3.0	</v>
    </spb>
    <spb s="0">
      <v xml:space="preserve">Wikipedia	</v>
      <v xml:space="preserve">CC-BY-SA	</v>
      <v xml:space="preserve">http://en.wikipedia.org/wiki/Luxembourg	</v>
      <v xml:space="preserve">http://creativecommons.org/licenses/by-sa/3.0/	</v>
    </spb>
    <spb s="0">
      <v xml:space="preserve">Cia	</v>
      <v xml:space="preserve">	</v>
      <v xml:space="preserve">https://www.cia.gov/library/publications/the-world-factbook/geos/lu.html?Transportation	</v>
      <v xml:space="preserve">	</v>
    </spb>
    <spb s="1">
      <v>0</v>
      <v>313</v>
      <v>314</v>
      <v>314</v>
      <v>3</v>
      <v>314</v>
      <v>314</v>
      <v>314</v>
      <v>315</v>
      <v>314</v>
      <v>314</v>
      <v>315</v>
      <v>314</v>
      <v>314</v>
      <v>316</v>
      <v>6</v>
      <v>313</v>
      <v>316</v>
      <v>8</v>
      <v>314</v>
      <v>316</v>
      <v>9</v>
      <v>10</v>
      <v>11</v>
      <v>316</v>
      <v>316</v>
      <v>314</v>
      <v>316</v>
      <v>12</v>
      <v>13</v>
      <v>14</v>
      <v>15</v>
      <v>316</v>
      <v>313</v>
      <v>316</v>
      <v>316</v>
      <v>316</v>
      <v>316</v>
      <v>316</v>
      <v>316</v>
      <v>316</v>
      <v>316</v>
      <v>316</v>
      <v>316</v>
      <v>16</v>
    </spb>
    <spb s="7">
      <v>2019</v>
      <v>2019</v>
      <v>square km</v>
      <v>per thousand (2018)</v>
      <v>2021</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https://en.wikipedia.org/wiki/Luxembourg_City	</v>
      <v xml:space="preserve">https://creativecommons.org/licenses/by-sa/3.0	</v>
    </spb>
    <spb s="22">
      <v>319</v>
      <v>319</v>
      <v>319</v>
      <v>319</v>
      <v>319</v>
      <v>319</v>
      <v>319</v>
      <v>319</v>
      <v>319</v>
    </spb>
    <spb s="13">
      <v>28</v>
      <v>28</v>
      <v>1</v>
      <v>28</v>
      <v>28</v>
      <v>28</v>
      <v>11</v>
      <v>28</v>
      <v>28</v>
      <v>28</v>
      <v>14</v>
      <v>5</v>
    </spb>
    <spb s="0">
      <v xml:space="preserve">Wikipedia	Cia	travel.state.gov	</v>
      <v xml:space="preserve">CC-BY-SA			</v>
      <v xml:space="preserve">http://en.wikipedia.org/wiki/Madagascar	https://www.cia.gov/library/publications/the-world-factbook/geos/ma.html?Transportation	https://travel.state.gov/content/travel/en/international-travel/International-Travel-Country-Information-Pages/Madagascar.html	</v>
      <v xml:space="preserve">http://creativecommons.org/licenses/by-sa/3.0/			</v>
    </spb>
    <spb s="0">
      <v xml:space="preserve">Wikipedia	</v>
      <v xml:space="preserve">CC BY-SA 3.0	</v>
      <v xml:space="preserve">https://en.wikipedia.org/wiki/Madagascar	</v>
      <v xml:space="preserve">https://creativecommons.org/licenses/by-sa/3.0	</v>
    </spb>
    <spb s="0">
      <v xml:space="preserve">Wikipedia	</v>
      <v xml:space="preserve">CC-BY-SA	</v>
      <v xml:space="preserve">http://en.wikipedia.org/wiki/Madagascar	</v>
      <v xml:space="preserve">http://creativecommons.org/licenses/by-sa/3.0/	</v>
    </spb>
    <spb s="0">
      <v xml:space="preserve">Cia	</v>
      <v xml:space="preserve">	</v>
      <v xml:space="preserve">https://www.cia.gov/library/publications/the-world-factbook/geos/ma.html?Transportation	</v>
      <v xml:space="preserve">	</v>
    </spb>
    <spb s="44">
      <v>0</v>
      <v>322</v>
      <v>323</v>
      <v>323</v>
      <v>3</v>
      <v>323</v>
      <v>323</v>
      <v>323</v>
      <v>324</v>
      <v>323</v>
      <v>323</v>
      <v>324</v>
      <v>323</v>
      <v>323</v>
      <v>325</v>
      <v>6</v>
      <v>322</v>
      <v>325</v>
      <v>8</v>
      <v>323</v>
      <v>325</v>
      <v>9</v>
      <v>10</v>
      <v>11</v>
      <v>325</v>
      <v>325</v>
      <v>323</v>
      <v>325</v>
      <v>12</v>
      <v>13</v>
      <v>14</v>
      <v>325</v>
      <v>325</v>
      <v>325</v>
      <v>325</v>
      <v>325</v>
      <v>325</v>
      <v>325</v>
      <v>325</v>
      <v>325</v>
      <v>325</v>
      <v>16</v>
    </spb>
    <spb s="45">
      <v>2019</v>
      <v>2019</v>
      <v>square km</v>
      <v>per thousand (2018)</v>
      <v>2022</v>
      <v>2019</v>
      <v>2018</v>
      <v>per liter (2016)</v>
      <v>2019</v>
      <v>years (2018)</v>
      <v>2018</v>
      <v>per thousand (2018)</v>
      <v>2019</v>
      <v>2017</v>
      <v>2016</v>
      <v>2019</v>
      <v>2016</v>
      <v>2014</v>
      <v>kilotons per year (2016)</v>
      <v>deaths per 100,000 (2017)</v>
      <v>2012</v>
      <v>2012</v>
      <v>2012</v>
      <v>2012</v>
      <v>2012</v>
      <v>2015</v>
      <v>2012</v>
      <v>2012</v>
      <v>2018</v>
      <v>2018</v>
      <v>2019</v>
    </spb>
    <spb s="0">
      <v xml:space="preserve">Wikipedia	</v>
      <v xml:space="preserve">CC-BY-SA	</v>
      <v xml:space="preserve">http://en.wikipedia.org/wiki/Antananarivo	</v>
      <v xml:space="preserve">http://creativecommons.org/licenses/by-sa/3.0/	</v>
    </spb>
    <spb s="0">
      <v xml:space="preserve">Wikipedia	</v>
      <v xml:space="preserve">CC BY-SA 3.0	</v>
      <v xml:space="preserve">https://en.wikipedia.org/wiki/Antananarivo	</v>
      <v xml:space="preserve">https://creativecommons.org/licenses/by-sa/3.0	</v>
    </spb>
    <spb s="9">
      <v>328</v>
      <v>329</v>
      <v>329</v>
      <v>329</v>
      <v>329</v>
      <v>329</v>
      <v>329</v>
      <v>329</v>
    </spb>
    <spb s="0">
      <v xml:space="preserve">Wikipedia	Cia	travel.state.gov	</v>
      <v xml:space="preserve">CC-BY-SA			</v>
      <v xml:space="preserve">http://en.wikipedia.org/wiki/Malawi	https://www.cia.gov/library/publications/the-world-factbook/geos/mi.html?Transportation	https://travel.state.gov/content/travel/en/international-travel/International-Travel-Country-Information-Pages/Malawi.html	</v>
      <v xml:space="preserve">http://creativecommons.org/licenses/by-sa/3.0/			</v>
    </spb>
    <spb s="0">
      <v xml:space="preserve">Wikipedia	</v>
      <v xml:space="preserve">CC BY-SA 3.0	</v>
      <v xml:space="preserve">https://en.wikipedia.org/wiki/Malawi	</v>
      <v xml:space="preserve">https://creativecommons.org/licenses/by-sa/3.0	</v>
    </spb>
    <spb s="0">
      <v xml:space="preserve">Wikipedia	</v>
      <v xml:space="preserve">CC-BY-SA	</v>
      <v xml:space="preserve">http://en.wikipedia.org/wiki/Malawi	</v>
      <v xml:space="preserve">http://creativecommons.org/licenses/by-sa/3.0/	</v>
    </spb>
    <spb s="0">
      <v xml:space="preserve">Cia	</v>
      <v xml:space="preserve">	</v>
      <v xml:space="preserve">https://www.cia.gov/library/publications/the-world-factbook/geos/mi.html?Transportation	</v>
      <v xml:space="preserve">	</v>
    </spb>
    <spb s="44">
      <v>0</v>
      <v>331</v>
      <v>332</v>
      <v>332</v>
      <v>3</v>
      <v>332</v>
      <v>332</v>
      <v>332</v>
      <v>333</v>
      <v>332</v>
      <v>332</v>
      <v>333</v>
      <v>332</v>
      <v>332</v>
      <v>334</v>
      <v>6</v>
      <v>331</v>
      <v>334</v>
      <v>8</v>
      <v>332</v>
      <v>334</v>
      <v>9</v>
      <v>10</v>
      <v>11</v>
      <v>334</v>
      <v>334</v>
      <v>332</v>
      <v>334</v>
      <v>12</v>
      <v>13</v>
      <v>14</v>
      <v>334</v>
      <v>334</v>
      <v>334</v>
      <v>334</v>
      <v>334</v>
      <v>334</v>
      <v>334</v>
      <v>334</v>
      <v>334</v>
      <v>334</v>
      <v>16</v>
    </spb>
    <spb s="2">
      <v>36</v>
      <v>Name</v>
      <v>LearnMoreOnLink</v>
    </spb>
    <spb s="45">
      <v>2019</v>
      <v>2019</v>
      <v>square km</v>
      <v>per thousand (2018)</v>
      <v>2022</v>
      <v>2019</v>
      <v>2018</v>
      <v>per liter (2016)</v>
      <v>2019</v>
      <v>years (2018)</v>
      <v>2019</v>
      <v>per thousand (2018)</v>
      <v>2019</v>
      <v>2017</v>
      <v>2016</v>
      <v>2019</v>
      <v>2016</v>
      <v>2018</v>
      <v>kilotons per year (2016)</v>
      <v>deaths per 100,000 (2017)</v>
      <v>2016</v>
      <v>2016</v>
      <v>2016</v>
      <v>2016</v>
      <v>2016</v>
      <v>2015</v>
      <v>2016</v>
      <v>2016</v>
      <v>2018</v>
      <v>2011</v>
      <v>2019</v>
    </spb>
    <spb s="0">
      <v xml:space="preserve">Wikipedia	</v>
      <v xml:space="preserve">CC BY-SA 3.0	</v>
      <v xml:space="preserve">https://en.wikipedia.org/wiki/Lilongwe	</v>
      <v xml:space="preserve">https://creativecommons.org/licenses/by-sa/3.0	</v>
    </spb>
    <spb s="55">
      <v>338</v>
      <v>338</v>
      <v>338</v>
      <v>338</v>
      <v>338</v>
      <v>338</v>
      <v>338</v>
      <v>338</v>
      <v>338</v>
    </spb>
    <spb s="2">
      <v>37</v>
      <v>Name</v>
      <v>LearnMoreOnLink</v>
    </spb>
    <spb s="0">
      <v xml:space="preserve">Wikipedia	Cia	travel.state.gov	</v>
      <v xml:space="preserve">CC-BY-SA			</v>
      <v xml:space="preserve">http://en.wikipedia.org/wiki/Malaysia	https://www.cia.gov/library/publications/the-world-factbook/geos/my.html?Transportation	https://travel.state.gov/content/travel/en/international-travel/International-Travel-Country-Information-Pages/Malaysia.html	</v>
      <v xml:space="preserve">http://creativecommons.org/licenses/by-sa/3.0/			</v>
    </spb>
    <spb s="0">
      <v xml:space="preserve">Wikipedia	</v>
      <v xml:space="preserve">CC BY-SA 3.0	</v>
      <v xml:space="preserve">https://en.wikipedia.org/wiki/Malaysia	</v>
      <v xml:space="preserve">https://creativecommons.org/licenses/by-sa/3.0	</v>
    </spb>
    <spb s="0">
      <v xml:space="preserve">Wikipedia	</v>
      <v xml:space="preserve">CC-BY-SA	</v>
      <v xml:space="preserve">http://en.wikipedia.org/wiki/Malaysia	</v>
      <v xml:space="preserve">http://creativecommons.org/licenses/by-sa/3.0/	</v>
    </spb>
    <spb s="0">
      <v xml:space="preserve">Cia	</v>
      <v xml:space="preserve">	</v>
      <v xml:space="preserve">https://www.cia.gov/library/publications/the-world-factbook/geos/my.html?Transportation	</v>
      <v xml:space="preserve">	</v>
    </spb>
    <spb s="1">
      <v>0</v>
      <v>341</v>
      <v>342</v>
      <v>342</v>
      <v>3</v>
      <v>342</v>
      <v>342</v>
      <v>342</v>
      <v>343</v>
      <v>342</v>
      <v>342</v>
      <v>343</v>
      <v>342</v>
      <v>342</v>
      <v>344</v>
      <v>6</v>
      <v>341</v>
      <v>344</v>
      <v>8</v>
      <v>342</v>
      <v>344</v>
      <v>9</v>
      <v>10</v>
      <v>11</v>
      <v>344</v>
      <v>344</v>
      <v>342</v>
      <v>344</v>
      <v>12</v>
      <v>13</v>
      <v>14</v>
      <v>15</v>
      <v>344</v>
      <v>341</v>
      <v>344</v>
      <v>344</v>
      <v>344</v>
      <v>344</v>
      <v>344</v>
      <v>344</v>
      <v>344</v>
      <v>344</v>
      <v>344</v>
      <v>344</v>
      <v>16</v>
    </spb>
    <spb s="7">
      <v>2019</v>
      <v>2019</v>
      <v>square km</v>
      <v>per thousand (2018)</v>
      <v>2022</v>
      <v>2019</v>
      <v>2018</v>
      <v>per liter (2016)</v>
      <v>2019</v>
      <v>years (2018)</v>
      <v>2018</v>
      <v>per thousand (2018)</v>
      <v>2019</v>
      <v>2017</v>
      <v>2016</v>
      <v>2019</v>
      <v>2016</v>
      <v>2015</v>
      <v>kilotons per year (2016)</v>
      <v>deaths per 100,000 (2017)</v>
      <v>kWh (2014)</v>
      <v>2014</v>
      <v>2019</v>
      <v>2015</v>
      <v>2015</v>
      <v>2015</v>
      <v>2015</v>
      <v>2015</v>
      <v>2015</v>
      <v>2015</v>
      <v>2015</v>
      <v>2017</v>
      <v>2018</v>
      <v>2019</v>
    </spb>
    <spb s="0">
      <v xml:space="preserve">Wikipedia	</v>
      <v xml:space="preserve">CC BY-SA 3.0	</v>
      <v xml:space="preserve">https://en.wikipedia.org/wiki/Kuala_Lumpur	</v>
      <v xml:space="preserve">https://creativecommons.org/licenses/by-sa/3.0	</v>
    </spb>
    <spb s="0">
      <v xml:space="preserve">Wikipedia	</v>
      <v xml:space="preserve">CC-BY-SA	</v>
      <v xml:space="preserve">http://en.wikipedia.org/wiki/Kuala_Lumpur	</v>
      <v xml:space="preserve">http://creativecommons.org/licenses/by-sa/3.0/	</v>
    </spb>
    <spb s="32">
      <v>347</v>
      <v>347</v>
      <v>347</v>
      <v>347</v>
      <v>347</v>
      <v>348</v>
      <v>347</v>
    </spb>
    <spb s="38">
      <v>29</v>
      <v>7</v>
      <v>7</v>
      <v>29</v>
      <v>1</v>
      <v>29</v>
      <v>29</v>
      <v>29</v>
      <v>4</v>
      <v>4</v>
      <v>11</v>
      <v>30</v>
      <v>29</v>
      <v>29</v>
      <v>29</v>
      <v>4</v>
      <v>14</v>
      <v>6</v>
      <v>5</v>
      <v>4</v>
    </spb>
    <spb s="43">
      <v>Delayed 20 minutes</v>
      <v>from previous close</v>
      <v>from previous close</v>
      <v>KSE</v>
      <v>GMT</v>
    </spb>
    <spb s="0">
      <v xml:space="preserve">Wikipedia	Cia	Youtube	</v>
      <v xml:space="preserve">CC-BY-SA			</v>
      <v xml:space="preserve">http://en.wikipedia.org/wiki/Maldives	https://www.cia.gov/library/publications/the-world-factbook/geos/mv.html?Transportation	https://www.youtube.com/user/myvisitmaldives	</v>
      <v xml:space="preserve">http://creativecommons.org/licenses/by-sa/3.0/			</v>
    </spb>
    <spb s="0">
      <v xml:space="preserve">Wikipedia	</v>
      <v xml:space="preserve">CC BY-SA 3.0	</v>
      <v xml:space="preserve">https://en.wikipedia.org/wiki/Maldives	</v>
      <v xml:space="preserve">https://creativecommons.org/licenses/by-sa/3.0	</v>
    </spb>
    <spb s="0">
      <v xml:space="preserve">Wikipedia	</v>
      <v xml:space="preserve">CC-BY-SA	</v>
      <v xml:space="preserve">http://en.wikipedia.org/wiki/Maldives	</v>
      <v xml:space="preserve">http://creativecommons.org/licenses/by-sa/3.0/	</v>
    </spb>
    <spb s="0">
      <v xml:space="preserve">Cia	</v>
      <v xml:space="preserve">	</v>
      <v xml:space="preserve">https://www.cia.gov/library/publications/the-world-factbook/geos/mv.html?Transportation	</v>
      <v xml:space="preserve">	</v>
    </spb>
    <spb s="56">
      <v>0</v>
      <v>352</v>
      <v>353</v>
      <v>353</v>
      <v>3</v>
      <v>353</v>
      <v>353</v>
      <v>353</v>
      <v>354</v>
      <v>353</v>
      <v>353</v>
      <v>353</v>
      <v>353</v>
      <v>355</v>
      <v>6</v>
      <v>352</v>
      <v>355</v>
      <v>8</v>
      <v>353</v>
      <v>355</v>
      <v>9</v>
      <v>10</v>
      <v>11</v>
      <v>355</v>
      <v>355</v>
      <v>353</v>
      <v>355</v>
      <v>12</v>
      <v>13</v>
      <v>14</v>
      <v>355</v>
      <v>355</v>
      <v>355</v>
      <v>355</v>
      <v>355</v>
      <v>355</v>
      <v>355</v>
      <v>355</v>
      <v>355</v>
      <v>355</v>
      <v>355</v>
      <v>16</v>
    </spb>
    <spb s="2">
      <v>38</v>
      <v>Name</v>
      <v>LearnMoreOnLink</v>
    </spb>
    <spb s="47">
      <v>2019</v>
      <v>2019</v>
      <v>square km</v>
      <v>per thousand (2018)</v>
      <v>2022</v>
      <v>2019</v>
      <v>2018</v>
      <v>per liter (2014)</v>
      <v>2019</v>
      <v>years (2018)</v>
      <v>2014</v>
      <v>per thousand (2018)</v>
      <v>2019</v>
      <v>2000</v>
      <v>2016</v>
      <v>2019</v>
      <v>2016</v>
      <v>2018</v>
      <v>kilotons per year (2016)</v>
      <v>deaths per 100,000 (2017)</v>
      <v>2007</v>
      <v>2016</v>
      <v>2016</v>
      <v>2016</v>
      <v>2016</v>
      <v>2016</v>
      <v>2015</v>
      <v>2016</v>
      <v>2016</v>
      <v>2017</v>
      <v>2017</v>
      <v>2019</v>
    </spb>
    <spb s="0">
      <v xml:space="preserve">Wikipedia	</v>
      <v xml:space="preserve">CC BY-SA 3.0	</v>
      <v xml:space="preserve">https://en.wikipedia.org/wiki/Mal%C3%A9	</v>
      <v xml:space="preserve">https://creativecommons.org/licenses/by-sa/3.0	</v>
    </spb>
    <spb s="31">
      <v>359</v>
      <v>359</v>
      <v>359</v>
      <v>359</v>
      <v>359</v>
      <v>359</v>
    </spb>
    <spb s="2">
      <v>39</v>
      <v>Name</v>
      <v>LearnMoreOnLink</v>
    </spb>
    <spb s="10">
      <v>square km</v>
      <v>2021</v>
    </spb>
    <spb s="0">
      <v xml:space="preserve">Wikipedia	Cia	travel.state.gov	</v>
      <v xml:space="preserve">CC-BY-SA			</v>
      <v xml:space="preserve">http://en.wikipedia.org/wiki/Mali	https://www.cia.gov/library/publications/the-world-factbook/geos/ml.html?Transportation	https://travel.state.gov/content/travel/en/international-travel/International-Travel-Country-Information-Pages/Mali.html	</v>
      <v xml:space="preserve">http://creativecommons.org/licenses/by-sa/3.0/			</v>
    </spb>
    <spb s="0">
      <v xml:space="preserve">Wikipedia	</v>
      <v xml:space="preserve">CC BY-SA 3.0	</v>
      <v xml:space="preserve">https://en.wikipedia.org/wiki/Mali	</v>
      <v xml:space="preserve">https://creativecommons.org/licenses/by-sa/3.0	</v>
    </spb>
    <spb s="0">
      <v xml:space="preserve">Wikipedia	</v>
      <v xml:space="preserve">CC-BY-SA	</v>
      <v xml:space="preserve">http://en.wikipedia.org/wiki/Mali	</v>
      <v xml:space="preserve">http://creativecommons.org/licenses/by-sa/3.0/	</v>
    </spb>
    <spb s="0">
      <v xml:space="preserve">Cia	</v>
      <v xml:space="preserve">	</v>
      <v xml:space="preserve">https://www.cia.gov/library/publications/the-world-factbook/geos/ml.html?Transportation	</v>
      <v xml:space="preserve">	</v>
    </spb>
    <spb s="44">
      <v>0</v>
      <v>363</v>
      <v>364</v>
      <v>364</v>
      <v>3</v>
      <v>364</v>
      <v>364</v>
      <v>364</v>
      <v>365</v>
      <v>364</v>
      <v>364</v>
      <v>365</v>
      <v>364</v>
      <v>364</v>
      <v>366</v>
      <v>6</v>
      <v>363</v>
      <v>366</v>
      <v>8</v>
      <v>364</v>
      <v>366</v>
      <v>9</v>
      <v>10</v>
      <v>11</v>
      <v>366</v>
      <v>366</v>
      <v>364</v>
      <v>366</v>
      <v>12</v>
      <v>13</v>
      <v>14</v>
      <v>366</v>
      <v>366</v>
      <v>366</v>
      <v>366</v>
      <v>366</v>
      <v>366</v>
      <v>366</v>
      <v>366</v>
      <v>366</v>
      <v>366</v>
      <v>16</v>
    </spb>
    <spb s="45">
      <v>2019</v>
      <v>2019</v>
      <v>square km</v>
      <v>per thousand (2018)</v>
      <v>2022</v>
      <v>2019</v>
      <v>2018</v>
      <v>per liter (2016)</v>
      <v>2019</v>
      <v>years (2018)</v>
      <v>2018</v>
      <v>per thousand (2018)</v>
      <v>2019</v>
      <v>2017</v>
      <v>2016</v>
      <v>2019</v>
      <v>2016</v>
      <v>2018</v>
      <v>kilotons per year (2016)</v>
      <v>deaths per 100,000 (2017)</v>
      <v>2009</v>
      <v>2009</v>
      <v>2009</v>
      <v>2009</v>
      <v>2009</v>
      <v>2015</v>
      <v>2009</v>
      <v>2009</v>
      <v>2018</v>
      <v>2017</v>
      <v>2019</v>
    </spb>
    <spb s="0">
      <v xml:space="preserve">Wikipedia	</v>
      <v xml:space="preserve">CC BY-SA 3.0	</v>
      <v xml:space="preserve">https://en.wikipedia.org/wiki/Bamako	</v>
      <v xml:space="preserve">https://creativecommons.org/licenses/by-sa/3.0	</v>
    </spb>
    <spb s="0">
      <v xml:space="preserve">Wikipedia	</v>
      <v xml:space="preserve">CC-BY-SA	</v>
      <v xml:space="preserve">http://en.wikipedia.org/wiki/Bamako	</v>
      <v xml:space="preserve">http://creativecommons.org/licenses/by-sa/3.0/	</v>
    </spb>
    <spb s="32">
      <v>369</v>
      <v>369</v>
      <v>369</v>
      <v>369</v>
      <v>369</v>
      <v>370</v>
      <v>369</v>
    </spb>
    <spb s="0">
      <v xml:space="preserve">Wikipedia	Cia	travel.state.gov	</v>
      <v xml:space="preserve">CC-BY-SA			</v>
      <v xml:space="preserve">http://en.wikipedia.org/wiki/Malta	https://www.cia.gov/library/publications/the-world-factbook/geos/mt.html?Transportation	https://travel.state.gov/content/travel/en/international-travel/International-Travel-Country-Information-Pages/Malta.html	</v>
      <v xml:space="preserve">http://creativecommons.org/licenses/by-sa/3.0/			</v>
    </spb>
    <spb s="0">
      <v xml:space="preserve">Wikipedia	</v>
      <v xml:space="preserve">CC BY-SA 3.0	</v>
      <v xml:space="preserve">https://en.wikipedia.org/wiki/Malta	</v>
      <v xml:space="preserve">https://creativecommons.org/licenses/by-sa/3.0	</v>
    </spb>
    <spb s="0">
      <v xml:space="preserve">Wikipedia	</v>
      <v xml:space="preserve">CC-BY-SA	</v>
      <v xml:space="preserve">http://en.wikipedia.org/wiki/Malta	</v>
      <v xml:space="preserve">http://creativecommons.org/licenses/by-sa/3.0/	</v>
    </spb>
    <spb s="0">
      <v xml:space="preserve">Cia	</v>
      <v xml:space="preserve">	</v>
      <v xml:space="preserve">https://www.cia.gov/library/publications/the-world-factbook/geos/mt.html?Transportation	</v>
      <v xml:space="preserve">	</v>
    </spb>
    <spb s="57">
      <v>0</v>
      <v>372</v>
      <v>373</v>
      <v>373</v>
      <v>3</v>
      <v>373</v>
      <v>373</v>
      <v>373</v>
      <v>374</v>
      <v>373</v>
      <v>374</v>
      <v>373</v>
      <v>373</v>
      <v>375</v>
      <v>6</v>
      <v>372</v>
      <v>375</v>
      <v>8</v>
      <v>373</v>
      <v>375</v>
      <v>9</v>
      <v>10</v>
      <v>11</v>
      <v>375</v>
      <v>375</v>
      <v>373</v>
      <v>375</v>
      <v>12</v>
      <v>13</v>
      <v>14</v>
      <v>15</v>
      <v>375</v>
      <v>372</v>
      <v>375</v>
      <v>375</v>
      <v>375</v>
      <v>375</v>
      <v>375</v>
      <v>375</v>
      <v>375</v>
      <v>375</v>
      <v>375</v>
      <v>375</v>
      <v>16</v>
    </spb>
    <spb s="2">
      <v>40</v>
      <v>Name</v>
      <v>LearnMoreOnLink</v>
    </spb>
    <spb s="7">
      <v>2019</v>
      <v>2019</v>
      <v>square km</v>
      <v>per thousand (2018)</v>
      <v>2022</v>
      <v>2019</v>
      <v>2018</v>
      <v>per liter (2016)</v>
      <v>2019</v>
      <v>years (2018)</v>
      <v>2018</v>
      <v>per thousand (2018)</v>
      <v>2019</v>
      <v>2017</v>
      <v>2016</v>
      <v>2019</v>
      <v>2016</v>
      <v>2015</v>
      <v>kilotons per year (2016)</v>
      <v>deaths per 100,000 (2017)</v>
      <v>kWh (2014)</v>
      <v>2014</v>
      <v>2019</v>
      <v>2017</v>
      <v>2017</v>
      <v>2017</v>
      <v>2017</v>
      <v>2017</v>
      <v>2015</v>
      <v>2017</v>
      <v>2017</v>
      <v>2017</v>
      <v>2017</v>
      <v>2019</v>
    </spb>
    <spb s="0">
      <v xml:space="preserve">Wikipedia	Wikipedia	Wikipedia	</v>
      <v xml:space="preserve">CC-BY-SA	CC-BY-SA	CC-BY-SA	</v>
      <v xml:space="preserve">http://en.wikipedia.org/wiki/Valletta	http://es.wikipedia.org/wiki/La_Valeta	http://fr.wikipedia.org/wiki/La_Valette	</v>
      <v xml:space="preserve">http://creativecommons.org/licenses/by-sa/3.0/	http://creativecommons.org/licenses/by-sa/3.0/	http://creativecommons.org/licenses/by-sa/3.0/	</v>
    </spb>
    <spb s="0">
      <v xml:space="preserve">Wikipedia	</v>
      <v xml:space="preserve">CC BY-SA 3.0	</v>
      <v xml:space="preserve">https://en.wikipedia.org/wiki/Valletta	</v>
      <v xml:space="preserve">https://creativecommons.org/licenses/by-sa/3.0	</v>
    </spb>
    <spb s="9">
      <v>379</v>
      <v>380</v>
      <v>380</v>
      <v>380</v>
      <v>380</v>
      <v>380</v>
      <v>380</v>
      <v>380</v>
    </spb>
    <spb s="10">
      <v>square km</v>
      <v>2014</v>
    </spb>
    <spb s="0">
      <v xml:space="preserve">Wikipedia	Cia	travel.state.gov	</v>
      <v xml:space="preserve">CC-BY-SA			</v>
      <v xml:space="preserve">http://en.wikipedia.org/wiki/Marshall_Islands	https://www.cia.gov/library/publications/the-world-factbook/geos/rm.html?Transportation	https://travel.state.gov/content/travel/en/international-travel/International-Travel-Country-Information-Pages/MarshallIslands.html	</v>
      <v xml:space="preserve">http://creativecommons.org/licenses/by-sa/3.0/			</v>
    </spb>
    <spb s="0">
      <v xml:space="preserve">Wikipedia	</v>
      <v xml:space="preserve">CC BY-SA 3.0	</v>
      <v xml:space="preserve">https://en.wikipedia.org/wiki/Marshall_Islands	</v>
      <v xml:space="preserve">https://creativecommons.org/licenses/by-sa/3.0	</v>
    </spb>
    <spb s="0">
      <v xml:space="preserve">Wikipedia	</v>
      <v xml:space="preserve">CC-BY-SA	</v>
      <v xml:space="preserve">http://en.wikipedia.org/wiki/Marshall_Islands	</v>
      <v xml:space="preserve">http://creativecommons.org/licenses/by-sa/3.0/	</v>
    </spb>
    <spb s="0">
      <v xml:space="preserve">Cia	</v>
      <v xml:space="preserve">	</v>
      <v xml:space="preserve">https://www.cia.gov/library/publications/the-world-factbook/geos/rm.html?Transportation	</v>
      <v xml:space="preserve">	</v>
    </spb>
    <spb s="58">
      <v>383</v>
      <v>384</v>
      <v>384</v>
      <v>3</v>
      <v>384</v>
      <v>384</v>
      <v>384</v>
      <v>385</v>
      <v>384</v>
      <v>384</v>
      <v>385</v>
      <v>384</v>
      <v>384</v>
      <v>6</v>
      <v>383</v>
      <v>386</v>
      <v>8</v>
      <v>384</v>
      <v>386</v>
      <v>9</v>
      <v>10</v>
      <v>386</v>
      <v>384</v>
      <v>386</v>
      <v>12</v>
      <v>13</v>
      <v>386</v>
      <v>386</v>
      <v>386</v>
      <v>386</v>
    </spb>
    <spb s="2">
      <v>41</v>
      <v>Name</v>
      <v>LearnMoreOnLink</v>
    </spb>
    <spb s="59">
      <v>2018</v>
      <v>square km</v>
      <v>per thousand (2011)</v>
      <v>2022</v>
      <v>2011</v>
      <v>per liter (2014)</v>
      <v>2019</v>
      <v>years (2000)</v>
      <v>2018</v>
      <v>per thousand (2018)</v>
      <v>2019</v>
      <v>2016</v>
      <v>2016</v>
      <v>2012</v>
      <v>kilotons per year (2016)</v>
      <v>2007</v>
      <v>2015</v>
      <v>2016</v>
      <v>2012</v>
    </spb>
    <spb s="0">
      <v xml:space="preserve">Wikipedia	</v>
      <v xml:space="preserve">CC BY-SA 3.0	</v>
      <v xml:space="preserve">https://en.wikipedia.org/wiki/Delap-Uliga-Djarrit	</v>
      <v xml:space="preserve">https://creativecommons.org/licenses/by-sa/3.0	</v>
    </spb>
    <spb s="60">
      <v>390</v>
      <v>390</v>
      <v>390</v>
      <v>390</v>
      <v>390</v>
      <v>390</v>
      <v>390</v>
    </spb>
    <spb s="2">
      <v>42</v>
      <v>Name</v>
      <v>LearnMoreOnLink</v>
    </spb>
    <spb s="61">
      <v>19</v>
      <v>19</v>
    </spb>
    <spb s="0">
      <v xml:space="preserve">Wikipedia	Cia	travel.state.gov	</v>
      <v xml:space="preserve">CC-BY-SA			</v>
      <v xml:space="preserve">http://en.wikipedia.org/wiki/Mauritania	https://www.cia.gov/library/publications/the-world-factbook/geos/mr.html?Transportation	https://travel.state.gov/content/travel/en/international-travel/International-Travel-Country-Information-Pages/Mauritania.html	</v>
      <v xml:space="preserve">http://creativecommons.org/licenses/by-sa/3.0/			</v>
    </spb>
    <spb s="0">
      <v xml:space="preserve">Wikipedia	</v>
      <v xml:space="preserve">CC BY-SA 3.0	</v>
      <v xml:space="preserve">https://en.wikipedia.org/wiki/Mauritania	</v>
      <v xml:space="preserve">https://creativecommons.org/licenses/by-sa/3.0	</v>
    </spb>
    <spb s="0">
      <v xml:space="preserve">Wikipedia	</v>
      <v xml:space="preserve">CC-BY-SA	</v>
      <v xml:space="preserve">http://en.wikipedia.org/wiki/Mauritania	</v>
      <v xml:space="preserve">http://creativecommons.org/licenses/by-sa/3.0/	</v>
    </spb>
    <spb s="0">
      <v xml:space="preserve">Cia	</v>
      <v xml:space="preserve">	</v>
      <v xml:space="preserve">https://www.cia.gov/library/publications/the-world-factbook/geos/mr.html?Transportation	</v>
      <v xml:space="preserve">	</v>
    </spb>
    <spb s="62">
      <v>0</v>
      <v>394</v>
      <v>395</v>
      <v>395</v>
      <v>3</v>
      <v>395</v>
      <v>395</v>
      <v>395</v>
      <v>396</v>
      <v>395</v>
      <v>395</v>
      <v>396</v>
      <v>395</v>
      <v>395</v>
      <v>397</v>
      <v>6</v>
      <v>394</v>
      <v>397</v>
      <v>8</v>
      <v>395</v>
      <v>9</v>
      <v>10</v>
      <v>11</v>
      <v>397</v>
      <v>397</v>
      <v>395</v>
      <v>397</v>
      <v>12</v>
      <v>13</v>
      <v>14</v>
      <v>397</v>
      <v>397</v>
      <v>397</v>
      <v>397</v>
      <v>397</v>
      <v>397</v>
      <v>397</v>
      <v>397</v>
      <v>397</v>
      <v>397</v>
      <v>16</v>
    </spb>
    <spb s="2">
      <v>43</v>
      <v>Name</v>
      <v>LearnMoreOnLink</v>
    </spb>
    <spb s="63">
      <v>2019</v>
      <v>2019</v>
      <v>square km</v>
      <v>per thousand (2018)</v>
      <v>2022</v>
      <v>2019</v>
      <v>2018</v>
      <v>per liter (2016)</v>
      <v>2019</v>
      <v>years (2018)</v>
      <v>per thousand (2018)</v>
      <v>2019</v>
      <v>2017</v>
      <v>2016</v>
      <v>2019</v>
      <v>2016</v>
      <v>2018</v>
      <v>kilotons per year (2016)</v>
      <v>deaths per 100,000 (2017)</v>
      <v>2014</v>
      <v>2014</v>
      <v>2014</v>
      <v>2014</v>
      <v>2014</v>
      <v>2015</v>
      <v>2014</v>
      <v>2014</v>
      <v>2018</v>
      <v>2017</v>
      <v>2019</v>
    </spb>
    <spb s="0">
      <v xml:space="preserve">Wikipedia	</v>
      <v xml:space="preserve">CC-BY-SA	</v>
      <v xml:space="preserve">http://en.wikipedia.org/wiki/Nouakchott	</v>
      <v xml:space="preserve">http://creativecommons.org/licenses/by-sa/3.0/	</v>
    </spb>
    <spb s="0">
      <v xml:space="preserve">Wikipedia	</v>
      <v xml:space="preserve">CC BY-SA 3.0	</v>
      <v xml:space="preserve">https://en.wikipedia.org/wiki/Nouakchott	</v>
      <v xml:space="preserve">https://creativecommons.org/licenses/by-sa/3.0	</v>
    </spb>
    <spb s="22">
      <v>401</v>
      <v>402</v>
      <v>402</v>
      <v>402</v>
      <v>402</v>
      <v>402</v>
      <v>402</v>
      <v>402</v>
      <v>402</v>
    </spb>
    <spb s="0">
      <v xml:space="preserve">Wikipedia	Cia	travel.state.gov	</v>
      <v xml:space="preserve">CC-BY-SA			</v>
      <v xml:space="preserve">http://en.wikipedia.org/wiki/Mauritius	https://www.cia.gov/library/publications/the-world-factbook/geos/mp.html?Transportation	https://travel.state.gov/content/travel/en/international-travel/International-Travel-Country-Information-Pages/Mauritius.html	</v>
      <v xml:space="preserve">http://creativecommons.org/licenses/by-sa/3.0/			</v>
    </spb>
    <spb s="0">
      <v xml:space="preserve">Wikipedia	</v>
      <v xml:space="preserve">CC BY-SA 3.0	</v>
      <v xml:space="preserve">https://en.wikipedia.org/wiki/Mauritius	</v>
      <v xml:space="preserve">https://creativecommons.org/licenses/by-sa/3.0	</v>
    </spb>
    <spb s="0">
      <v xml:space="preserve">Wikipedia	</v>
      <v xml:space="preserve">CC-BY-SA	</v>
      <v xml:space="preserve">http://en.wikipedia.org/wiki/Mauritius	</v>
      <v xml:space="preserve">http://creativecommons.org/licenses/by-sa/3.0/	</v>
    </spb>
    <spb s="0">
      <v xml:space="preserve">Cia	</v>
      <v xml:space="preserve">	</v>
      <v xml:space="preserve">https://www.cia.gov/library/publications/the-world-factbook/geos/mp.html?Transportation	</v>
      <v xml:space="preserve">	</v>
    </spb>
    <spb s="1">
      <v>0</v>
      <v>404</v>
      <v>405</v>
      <v>405</v>
      <v>3</v>
      <v>405</v>
      <v>405</v>
      <v>405</v>
      <v>406</v>
      <v>405</v>
      <v>405</v>
      <v>406</v>
      <v>405</v>
      <v>405</v>
      <v>407</v>
      <v>6</v>
      <v>404</v>
      <v>407</v>
      <v>8</v>
      <v>405</v>
      <v>407</v>
      <v>9</v>
      <v>10</v>
      <v>11</v>
      <v>407</v>
      <v>407</v>
      <v>405</v>
      <v>407</v>
      <v>12</v>
      <v>13</v>
      <v>14</v>
      <v>15</v>
      <v>407</v>
      <v>404</v>
      <v>407</v>
      <v>407</v>
      <v>407</v>
      <v>407</v>
      <v>407</v>
      <v>407</v>
      <v>407</v>
      <v>407</v>
      <v>407</v>
      <v>407</v>
      <v>16</v>
    </spb>
    <spb s="7">
      <v>2019</v>
      <v>2019</v>
      <v>square km</v>
      <v>per thousand (2018)</v>
      <v>2022</v>
      <v>2019</v>
      <v>2018</v>
      <v>per liter (2016)</v>
      <v>2019</v>
      <v>years (2018)</v>
      <v>2018</v>
      <v>per thousand (2018)</v>
      <v>2019</v>
      <v>2017</v>
      <v>2016</v>
      <v>2019</v>
      <v>2016</v>
      <v>2018</v>
      <v>kilotons per year (2016)</v>
      <v>deaths per 100,000 (2017)</v>
      <v>kWh (2014)</v>
      <v>2014</v>
      <v>2019</v>
      <v>2017</v>
      <v>2017</v>
      <v>2017</v>
      <v>2017</v>
      <v>2017</v>
      <v>2015</v>
      <v>2017</v>
      <v>2017</v>
      <v>2018</v>
      <v>2017</v>
      <v>2019</v>
    </spb>
    <spb s="0">
      <v xml:space="preserve">Wikipedia	Wikipedia	</v>
      <v xml:space="preserve">CC-BY-SA	CC-BY-SA	</v>
      <v xml:space="preserve">http://en.wikipedia.org/wiki/Port_Louis	http://es.wikipedia.org/wiki/Port_Louis	</v>
      <v xml:space="preserve">http://creativecommons.org/licenses/by-sa/3.0/	http://creativecommons.org/licenses/by-sa/3.0/	</v>
    </spb>
    <spb s="0">
      <v xml:space="preserve">Wikipedia	</v>
      <v xml:space="preserve">CC BY-SA 3.0	</v>
      <v xml:space="preserve">https://en.wikipedia.org/wiki/Port_Louis	</v>
      <v xml:space="preserve">https://creativecommons.org/licenses/by-sa/3.0	</v>
    </spb>
    <spb s="0">
      <v xml:space="preserve">Wikipedia	</v>
      <v xml:space="preserve">CC-BY-SA	</v>
      <v xml:space="preserve">http://en.wikipedia.org/wiki/Port_Louis	</v>
      <v xml:space="preserve">http://creativecommons.org/licenses/by-sa/3.0/	</v>
    </spb>
    <spb s="32">
      <v>410</v>
      <v>411</v>
      <v>411</v>
      <v>411</v>
      <v>411</v>
      <v>412</v>
      <v>411</v>
    </spb>
    <spb s="10">
      <v>square km</v>
      <v>2012</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
      <v>0</v>
      <v>415</v>
      <v>416</v>
      <v>416</v>
      <v>3</v>
      <v>416</v>
      <v>416</v>
      <v>416</v>
      <v>417</v>
      <v>416</v>
      <v>416</v>
      <v>417</v>
      <v>416</v>
      <v>416</v>
      <v>418</v>
      <v>6</v>
      <v>415</v>
      <v>418</v>
      <v>8</v>
      <v>416</v>
      <v>418</v>
      <v>9</v>
      <v>10</v>
      <v>11</v>
      <v>418</v>
      <v>418</v>
      <v>416</v>
      <v>418</v>
      <v>12</v>
      <v>13</v>
      <v>14</v>
      <v>15</v>
      <v>418</v>
      <v>415</v>
      <v>418</v>
      <v>418</v>
      <v>418</v>
      <v>418</v>
      <v>418</v>
      <v>418</v>
      <v>418</v>
      <v>418</v>
      <v>418</v>
      <v>418</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v>
      <v xml:space="preserve">CC BY-SA 3.0	</v>
      <v xml:space="preserve">https://en.wikipedia.org/wiki/Mexico_City	</v>
      <v xml:space="preserve">https://creativecommons.org/licenses/by-sa/3.0	</v>
    </spb>
    <spb s="0">
      <v xml:space="preserve">beta.inegi.org.mx	</v>
      <v xml:space="preserve">	</v>
      <v xml:space="preserve">http://www.beta.inegi.org.mx/app/tmp/Infoenoe/Default_15mas_en.aspx#EmploymentAmount	</v>
      <v xml:space="preserve">	</v>
    </spb>
    <spb s="0">
      <v xml:space="preserve">Wikipedia	</v>
      <v xml:space="preserve">CC-BY-SA	</v>
      <v xml:space="preserve">http://en.wikipedia.org/wiki/Mexico_City	</v>
      <v xml:space="preserve">http://creativecommons.org/licenses/by-sa/3.0/	</v>
    </spb>
    <spb s="64">
      <v>421</v>
      <v>421</v>
      <v>422</v>
      <v>421</v>
      <v>421</v>
      <v>421</v>
      <v>423</v>
      <v>421</v>
    </spb>
    <spb s="2">
      <v>44</v>
      <v>Name</v>
      <v>LearnMoreOnLink</v>
    </spb>
    <spb s="65">
      <v>square km</v>
      <v>2017</v>
      <v>2020</v>
    </spb>
    <spb s="13">
      <v>31</v>
      <v>31</v>
      <v>1</v>
      <v>31</v>
      <v>31</v>
      <v>31</v>
      <v>11</v>
      <v>31</v>
      <v>31</v>
      <v>31</v>
      <v>14</v>
      <v>5</v>
    </spb>
    <spb s="0">
      <v xml:space="preserve">Wikipedia	Cia	travel.state.gov	</v>
      <v xml:space="preserve">CC-BY-SA			</v>
      <v xml:space="preserve">http://en.wikipedia.org/wiki/Federated_States_of_Micronesia	https://www.cia.gov/library/publications/the-world-factbook/geos/fm.html?Transportation	https://travel.state.gov/content/travel/en/international-travel/International-Travel-Country-Information-Pages/Micronesia.html	</v>
      <v xml:space="preserve">http://creativecommons.org/licenses/by-sa/3.0/			</v>
    </spb>
    <spb s="0">
      <v xml:space="preserve">Wikipedia	</v>
      <v xml:space="preserve">CC BY-SA 3.0	</v>
      <v xml:space="preserve">https://en.wikipedia.org/wiki/Federated_States_of_Micronesia	</v>
      <v xml:space="preserve">https://creativecommons.org/licenses/by-sa/3.0	</v>
    </spb>
    <spb s="0">
      <v xml:space="preserve">Wikipedia	</v>
      <v xml:space="preserve">CC-BY-SA	</v>
      <v xml:space="preserve">http://en.wikipedia.org/wiki/Federated_States_of_Micronesia	</v>
      <v xml:space="preserve">http://creativecommons.org/licenses/by-sa/3.0/	</v>
    </spb>
    <spb s="0">
      <v xml:space="preserve">Cia	</v>
      <v xml:space="preserve">	</v>
      <v xml:space="preserve">https://www.cia.gov/library/publications/the-world-factbook/geos/fm.html?Transportation	</v>
      <v xml:space="preserve">	</v>
    </spb>
    <spb s="66">
      <v>0</v>
      <v>428</v>
      <v>429</v>
      <v>429</v>
      <v>3</v>
      <v>429</v>
      <v>429</v>
      <v>429</v>
      <v>430</v>
      <v>429</v>
      <v>429</v>
      <v>429</v>
      <v>429</v>
      <v>431</v>
      <v>6</v>
      <v>431</v>
      <v>8</v>
      <v>429</v>
      <v>431</v>
      <v>9</v>
      <v>10</v>
      <v>431</v>
      <v>429</v>
      <v>431</v>
      <v>12</v>
      <v>13</v>
      <v>14</v>
      <v>431</v>
      <v>431</v>
      <v>431</v>
      <v>431</v>
      <v>431</v>
      <v>431</v>
      <v>431</v>
      <v>431</v>
      <v>431</v>
      <v>431</v>
    </spb>
    <spb s="2">
      <v>45</v>
      <v>Name</v>
      <v>LearnMoreOnLink</v>
    </spb>
    <spb s="67">
      <v>2017</v>
      <v>2018</v>
      <v>square km</v>
      <v>per thousand (2018)</v>
      <v>2022</v>
      <v>2017</v>
      <v>2018</v>
      <v>2019</v>
      <v>years (2018)</v>
      <v>2018</v>
      <v>per thousand (2018)</v>
      <v>2019</v>
      <v>2016</v>
      <v>2016</v>
      <v>2010</v>
      <v>kilotons per year (2016)</v>
      <v>deaths per 100,000 (2017)</v>
      <v>2013</v>
      <v>2013</v>
      <v>2013</v>
      <v>2013</v>
      <v>2013</v>
      <v>2015</v>
      <v>2013</v>
      <v>2013</v>
      <v>2015</v>
      <v>2000</v>
    </spb>
    <spb s="0">
      <v xml:space="preserve">Wikipedia	</v>
      <v xml:space="preserve">CC BY-SA 3.0	</v>
      <v xml:space="preserve">https://en.wikipedia.org/wiki/Palikir	</v>
      <v xml:space="preserve">https://creativecommons.org/licenses/by-sa/3.0	</v>
    </spb>
    <spb s="0">
      <v xml:space="preserve">Wikipedia	</v>
      <v xml:space="preserve">CC-BY-SA	</v>
      <v xml:space="preserve">http://en.wikipedia.org/wiki/Palikir	</v>
      <v xml:space="preserve">http://creativecommons.org/licenses/by-sa/3.0/	</v>
    </spb>
    <spb s="68">
      <v>435</v>
      <v>435</v>
      <v>435</v>
      <v>436</v>
      <v>435</v>
      <v>435</v>
      <v>435</v>
      <v>435</v>
    </spb>
    <spb s="2">
      <v>46</v>
      <v>Name</v>
      <v>LearnMoreOnLink</v>
    </spb>
    <spb s="69">
      <v>2010</v>
    </spb>
    <spb s="0">
      <v xml:space="preserve">Wikipedia	Cia	travel.state.gov	</v>
      <v xml:space="preserve">CC-BY-SA			</v>
      <v xml:space="preserve">http://en.wikipedia.org/wiki/Moldova	https://www.cia.gov/library/publications/the-world-factbook/geos/md.html?Transportation	https://travel.state.gov/content/travel/en/international-travel/International-Travel-Country-Information-Pages/Moldova.html	</v>
      <v xml:space="preserve">http://creativecommons.org/licenses/by-sa/3.0/			</v>
    </spb>
    <spb s="0">
      <v xml:space="preserve">Wikipedia	</v>
      <v xml:space="preserve">CC BY-SA 3.0	</v>
      <v xml:space="preserve">https://en.wikipedia.org/wiki/Moldova	</v>
      <v xml:space="preserve">https://creativecommons.org/licenses/by-sa/3.0	</v>
    </spb>
    <spb s="0">
      <v xml:space="preserve">Wikipedia	</v>
      <v xml:space="preserve">CC-BY-SA	</v>
      <v xml:space="preserve">http://en.wikipedia.org/wiki/Moldova	</v>
      <v xml:space="preserve">http://creativecommons.org/licenses/by-sa/3.0/	</v>
    </spb>
    <spb s="0">
      <v xml:space="preserve">Cia	</v>
      <v xml:space="preserve">	</v>
      <v xml:space="preserve">https://www.cia.gov/library/publications/the-world-factbook/geos/md.html?Transportation	</v>
      <v xml:space="preserve">	</v>
    </spb>
    <spb s="20">
      <v>0</v>
      <v>440</v>
      <v>441</v>
      <v>441</v>
      <v>3</v>
      <v>441</v>
      <v>441</v>
      <v>441</v>
      <v>442</v>
      <v>441</v>
      <v>441</v>
      <v>442</v>
      <v>441</v>
      <v>441</v>
      <v>443</v>
      <v>6</v>
      <v>440</v>
      <v>443</v>
      <v>8</v>
      <v>441</v>
      <v>443</v>
      <v>9</v>
      <v>10</v>
      <v>11</v>
      <v>443</v>
      <v>443</v>
      <v>441</v>
      <v>443</v>
      <v>12</v>
      <v>13</v>
      <v>14</v>
      <v>15</v>
      <v>443</v>
      <v>443</v>
      <v>443</v>
      <v>443</v>
      <v>443</v>
      <v>443</v>
      <v>443</v>
      <v>443</v>
      <v>443</v>
      <v>443</v>
      <v>443</v>
      <v>16</v>
    </spb>
    <spb s="21">
      <v>2019</v>
      <v>2019</v>
      <v>square km</v>
      <v>per thousand (2018)</v>
      <v>2022</v>
      <v>2019</v>
      <v>2018</v>
      <v>per liter (2016)</v>
      <v>2019</v>
      <v>years (2018)</v>
      <v>2018</v>
      <v>per thousand (2018)</v>
      <v>2019</v>
      <v>2017</v>
      <v>2016</v>
      <v>2019</v>
      <v>2016</v>
      <v>2017</v>
      <v>kilotons per year (2016)</v>
      <v>deaths per 100,000 (2017)</v>
      <v>kWh (2014)</v>
      <v>2014</v>
      <v>2018</v>
      <v>2018</v>
      <v>2018</v>
      <v>2018</v>
      <v>2018</v>
      <v>2015</v>
      <v>2018</v>
      <v>2018</v>
      <v>2018</v>
      <v>2018</v>
      <v>2019</v>
    </spb>
    <spb s="0">
      <v xml:space="preserve">Wikipedia	</v>
      <v xml:space="preserve">CC BY-SA 3.0	</v>
      <v xml:space="preserve">https://en.wikipedia.org/wiki/Chi%C8%99in%C4%83u	</v>
      <v xml:space="preserve">https://creativecommons.org/licenses/by-sa/3.0	</v>
    </spb>
    <spb s="0">
      <v xml:space="preserve">Wikipedia	</v>
      <v xml:space="preserve">CC-BY-SA	</v>
      <v xml:space="preserve">http://en.wikipedia.org/wiki/Chișinău	</v>
      <v xml:space="preserve">http://creativecommons.org/licenses/by-sa/3.0/	</v>
    </spb>
    <spb s="32">
      <v>446</v>
      <v>446</v>
      <v>446</v>
      <v>446</v>
      <v>446</v>
      <v>447</v>
      <v>446</v>
    </spb>
    <spb s="13">
      <v>32</v>
      <v>32</v>
      <v>1</v>
      <v>32</v>
      <v>32</v>
      <v>32</v>
      <v>11</v>
      <v>32</v>
      <v>32</v>
      <v>32</v>
      <v>14</v>
      <v>5</v>
    </spb>
    <spb s="0">
      <v xml:space="preserve">Wikipedia	Cia	</v>
      <v xml:space="preserve">CC-BY-SA		</v>
      <v xml:space="preserve">http://en.wikipedia.org/wiki/Monaco	https://www.cia.gov/library/publications/the-world-factbook/geos/mn.html?Transportation	</v>
      <v xml:space="preserve">http://creativecommons.org/licenses/by-sa/3.0/		</v>
    </spb>
    <spb s="0">
      <v xml:space="preserve">Wikipedia	</v>
      <v xml:space="preserve">CC BY-SA 3.0	</v>
      <v xml:space="preserve">https://en.wikipedia.org/wiki/Monaco	</v>
      <v xml:space="preserve">https://creativecommons.org/licenses/by-sa/3.0	</v>
    </spb>
    <spb s="0">
      <v xml:space="preserve">Wikipedia	</v>
      <v xml:space="preserve">CC-BY-SA	</v>
      <v xml:space="preserve">http://en.wikipedia.org/wiki/Monaco	</v>
      <v xml:space="preserve">http://creativecommons.org/licenses/by-sa/3.0/	</v>
    </spb>
    <spb s="0">
      <v xml:space="preserve">Cia	</v>
      <v xml:space="preserve">	</v>
      <v xml:space="preserve">https://www.cia.gov/library/publications/the-world-factbook/geos/mn.html?Transportation	</v>
      <v xml:space="preserve">	</v>
    </spb>
    <spb s="70">
      <v>450</v>
      <v>451</v>
      <v>451</v>
      <v>3</v>
      <v>451</v>
      <v>451</v>
      <v>451</v>
      <v>452</v>
      <v>451</v>
      <v>451</v>
      <v>452</v>
      <v>451</v>
      <v>451</v>
      <v>450</v>
      <v>451</v>
      <v>9</v>
      <v>10</v>
      <v>451</v>
      <v>12</v>
      <v>453</v>
    </spb>
    <spb s="2">
      <v>47</v>
      <v>Name</v>
      <v>LearnMoreOnLink</v>
    </spb>
    <spb s="71">
      <v>2018</v>
      <v>square km</v>
      <v>per thousand (2018)</v>
      <v>2022</v>
      <v>per liter (2014)</v>
      <v>per thousand (2018)</v>
      <v>2019</v>
      <v>2014</v>
      <v>2015</v>
    </spb>
    <spb s="0">
      <v xml:space="preserve">Wikipedia	</v>
      <v xml:space="preserve">CC BY-SA 3.0	</v>
      <v xml:space="preserve">https://en.wikipedia.org/wiki/Monaco_City	</v>
      <v xml:space="preserve">https://creativecommons.org/licenses/by-sa/3.0	</v>
    </spb>
    <spb s="9">
      <v>457</v>
      <v>457</v>
      <v>457</v>
      <v>457</v>
      <v>457</v>
      <v>457</v>
      <v>457</v>
      <v>457</v>
    </spb>
    <spb s="2">
      <v>48</v>
      <v>Name</v>
      <v>LearnMoreOnLink</v>
    </spb>
    <spb s="72">
      <v>9</v>
      <v>7</v>
      <v>9</v>
      <v>1</v>
      <v>9</v>
      <v>9</v>
      <v>9</v>
      <v>4</v>
      <v>4</v>
      <v>11</v>
      <v>10</v>
      <v>9</v>
      <v>9</v>
      <v>9</v>
      <v>4</v>
      <v>14</v>
      <v>6</v>
      <v>5</v>
      <v>4</v>
    </spb>
    <spb s="39">
      <v>Delayed 15 minutes</v>
      <v>from previous close</v>
      <v>from previous close</v>
      <v>GMT</v>
    </spb>
    <spb s="0">
      <v xml:space="preserve">Wikipedia	Cia	</v>
      <v xml:space="preserve">CC-BY-SA		</v>
      <v xml:space="preserve">http://en.wikipedia.org/wiki/Mongolia	https://www.cia.gov/library/publications/the-world-factbook/geos/mg.html?Transportation	</v>
      <v xml:space="preserve">http://creativecommons.org/licenses/by-sa/3.0/		</v>
    </spb>
    <spb s="0">
      <v xml:space="preserve">Wikipedia	</v>
      <v xml:space="preserve">CC BY-SA 3.0	</v>
      <v xml:space="preserve">https://en.wikipedia.org/wiki/Mongolia	</v>
      <v xml:space="preserve">https://creativecommons.org/licenses/by-sa/3.0	</v>
    </spb>
    <spb s="0">
      <v xml:space="preserve">Wikipedia	</v>
      <v xml:space="preserve">CC-BY-SA	</v>
      <v xml:space="preserve">http://en.wikipedia.org/wiki/Mongolia	</v>
      <v xml:space="preserve">http://creativecommons.org/licenses/by-sa/3.0/	</v>
    </spb>
    <spb s="0">
      <v xml:space="preserve">Cia	</v>
      <v xml:space="preserve">	</v>
      <v xml:space="preserve">https://www.cia.gov/library/publications/the-world-factbook/geos/mg.html?Transportation	</v>
      <v xml:space="preserve">	</v>
    </spb>
    <spb s="20">
      <v>0</v>
      <v>462</v>
      <v>463</v>
      <v>463</v>
      <v>3</v>
      <v>463</v>
      <v>463</v>
      <v>463</v>
      <v>464</v>
      <v>463</v>
      <v>463</v>
      <v>464</v>
      <v>463</v>
      <v>463</v>
      <v>465</v>
      <v>6</v>
      <v>462</v>
      <v>465</v>
      <v>8</v>
      <v>463</v>
      <v>465</v>
      <v>9</v>
      <v>10</v>
      <v>11</v>
      <v>465</v>
      <v>465</v>
      <v>463</v>
      <v>465</v>
      <v>12</v>
      <v>13</v>
      <v>14</v>
      <v>15</v>
      <v>465</v>
      <v>465</v>
      <v>465</v>
      <v>465</v>
      <v>465</v>
      <v>465</v>
      <v>465</v>
      <v>465</v>
      <v>465</v>
      <v>465</v>
      <v>465</v>
      <v>16</v>
    </spb>
    <spb s="21">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2015</v>
      <v>2018</v>
      <v>2018</v>
      <v>2018</v>
      <v>2018</v>
      <v>2019</v>
    </spb>
    <spb s="0">
      <v xml:space="preserve">Wikipedia	</v>
      <v xml:space="preserve">CC BY-SA 3.0	</v>
      <v xml:space="preserve">https://en.wikipedia.org/wiki/Ulaanbaatar	</v>
      <v xml:space="preserve">https://creativecommons.org/licenses/by-sa/3.0	</v>
    </spb>
    <spb s="0">
      <v xml:space="preserve">Wikipedia	</v>
      <v xml:space="preserve">CC-BY-SA	</v>
      <v xml:space="preserve">http://en.wikipedia.org/wiki/Ulaanbaatar	</v>
      <v xml:space="preserve">http://creativecommons.org/licenses/by-sa/3.0/	</v>
    </spb>
    <spb s="32">
      <v>468</v>
      <v>468</v>
      <v>468</v>
      <v>468</v>
      <v>468</v>
      <v>469</v>
      <v>468</v>
    </spb>
    <spb s="13">
      <v>33</v>
      <v>33</v>
      <v>1</v>
      <v>33</v>
      <v>33</v>
      <v>33</v>
      <v>11</v>
      <v>33</v>
      <v>33</v>
      <v>33</v>
      <v>14</v>
      <v>5</v>
    </spb>
    <spb s="0">
      <v xml:space="preserve">Wikipedia	Cia	travel.state.gov	</v>
      <v xml:space="preserve">CC-BY-SA			</v>
      <v xml:space="preserve">http://en.wikipedia.org/wiki/Montenegro	https://www.cia.gov/library/publications/the-world-factbook/geos/mj.html?Transportation	https://travel.state.gov/content/travel/en/international-travel/International-Travel-Country-Information-Pages/Montenegro.html	</v>
      <v xml:space="preserve">http://creativecommons.org/licenses/by-sa/3.0/			</v>
    </spb>
    <spb s="0">
      <v xml:space="preserve">Wikipedia	</v>
      <v xml:space="preserve">CC BY-SA 3.0	</v>
      <v xml:space="preserve">https://en.wikipedia.org/wiki/Montenegro	</v>
      <v xml:space="preserve">https://creativecommons.org/licenses/by-sa/3.0	</v>
    </spb>
    <spb s="0">
      <v xml:space="preserve">Wikipedia	</v>
      <v xml:space="preserve">CC-BY-SA	</v>
      <v xml:space="preserve">http://en.wikipedia.org/wiki/Montenegro	</v>
      <v xml:space="preserve">http://creativecommons.org/licenses/by-sa/3.0/	</v>
    </spb>
    <spb s="0">
      <v xml:space="preserve">Cia	</v>
      <v xml:space="preserve">	</v>
      <v xml:space="preserve">https://www.cia.gov/library/publications/the-world-factbook/geos/mj.html?Transportation	</v>
      <v xml:space="preserve">	</v>
    </spb>
    <spb s="73">
      <v>0</v>
      <v>472</v>
      <v>473</v>
      <v>473</v>
      <v>3</v>
      <v>473</v>
      <v>473</v>
      <v>473</v>
      <v>474</v>
      <v>473</v>
      <v>473</v>
      <v>474</v>
      <v>473</v>
      <v>473</v>
      <v>475</v>
      <v>6</v>
      <v>472</v>
      <v>475</v>
      <v>8</v>
      <v>473</v>
      <v>9</v>
      <v>10</v>
      <v>11</v>
      <v>475</v>
      <v>475</v>
      <v>473</v>
      <v>475</v>
      <v>12</v>
      <v>13</v>
      <v>14</v>
      <v>15</v>
      <v>475</v>
      <v>472</v>
      <v>475</v>
      <v>475</v>
      <v>475</v>
      <v>475</v>
      <v>475</v>
      <v>475</v>
      <v>475</v>
      <v>475</v>
      <v>475</v>
      <v>475</v>
      <v>16</v>
    </spb>
    <spb s="2">
      <v>49</v>
      <v>Name</v>
      <v>LearnMoreOnLink</v>
    </spb>
    <spb s="74">
      <v>2018</v>
      <v>2019</v>
      <v>square km</v>
      <v>per thousand (2018)</v>
      <v>2022</v>
      <v>2018</v>
      <v>2018</v>
      <v>per liter (2016)</v>
      <v>2019</v>
      <v>years (2018)</v>
      <v>per thousand (2018)</v>
      <v>2019</v>
      <v>2017</v>
      <v>2016</v>
      <v>2019</v>
      <v>2016</v>
      <v>2018</v>
      <v>kilotons per year (2016)</v>
      <v>deaths per 100,000 (2017)</v>
      <v>kWh (2014)</v>
      <v>2014</v>
      <v>2012</v>
      <v>2015</v>
      <v>2015</v>
      <v>2015</v>
      <v>2015</v>
      <v>2015</v>
      <v>2015</v>
      <v>2015</v>
      <v>2015</v>
      <v>2018</v>
      <v>2018</v>
      <v>2019</v>
    </spb>
    <spb s="0">
      <v xml:space="preserve">Wikipedia	</v>
      <v xml:space="preserve">CC BY-SA 3.0	</v>
      <v xml:space="preserve">https://en.wikipedia.org/wiki/Podgorica	</v>
      <v xml:space="preserve">https://creativecommons.org/licenses/by-sa/3.0	</v>
    </spb>
    <spb s="22">
      <v>479</v>
      <v>479</v>
      <v>479</v>
      <v>479</v>
      <v>479</v>
      <v>479</v>
      <v>479</v>
      <v>479</v>
      <v>479</v>
    </spb>
    <spb s="0">
      <v xml:space="preserve">Wikipedia	Cia	travel.state.gov	</v>
      <v xml:space="preserve">CC-BY-SA			</v>
      <v xml:space="preserve">http://en.wikipedia.org/wiki/Morocco	https://www.cia.gov/library/publications/the-world-factbook/geos/mo.html?Transportation	https://travel.state.gov/content/travel/en/international-travel/International-Travel-Country-Information-Pages/Morocco.html	</v>
      <v xml:space="preserve">http://creativecommons.org/licenses/by-sa/3.0/			</v>
    </spb>
    <spb s="0">
      <v xml:space="preserve">Wikipedia	</v>
      <v xml:space="preserve">CC BY-SA 3.0	</v>
      <v xml:space="preserve">https://en.wikipedia.org/wiki/Morocco	</v>
      <v xml:space="preserve">https://creativecommons.org/licenses/by-sa/3.0	</v>
    </spb>
    <spb s="0">
      <v xml:space="preserve">Wikipedia	</v>
      <v xml:space="preserve">CC-BY-SA	</v>
      <v xml:space="preserve">http://en.wikipedia.org/wiki/Morocco	</v>
      <v xml:space="preserve">http://creativecommons.org/licenses/by-sa/3.0/	</v>
    </spb>
    <spb s="0">
      <v xml:space="preserve">Cia	</v>
      <v xml:space="preserve">	</v>
      <v xml:space="preserve">https://www.cia.gov/library/publications/the-world-factbook/geos/mo.html?Transportation	</v>
      <v xml:space="preserve">	</v>
    </spb>
    <spb s="1">
      <v>0</v>
      <v>481</v>
      <v>482</v>
      <v>482</v>
      <v>3</v>
      <v>482</v>
      <v>482</v>
      <v>482</v>
      <v>483</v>
      <v>482</v>
      <v>482</v>
      <v>483</v>
      <v>482</v>
      <v>482</v>
      <v>484</v>
      <v>6</v>
      <v>481</v>
      <v>484</v>
      <v>8</v>
      <v>482</v>
      <v>484</v>
      <v>9</v>
      <v>10</v>
      <v>11</v>
      <v>484</v>
      <v>484</v>
      <v>482</v>
      <v>484</v>
      <v>12</v>
      <v>13</v>
      <v>14</v>
      <v>15</v>
      <v>484</v>
      <v>481</v>
      <v>484</v>
      <v>484</v>
      <v>484</v>
      <v>484</v>
      <v>484</v>
      <v>484</v>
      <v>484</v>
      <v>484</v>
      <v>484</v>
      <v>484</v>
      <v>16</v>
    </spb>
    <spb s="7">
      <v>2019</v>
      <v>2019</v>
      <v>square km</v>
      <v>per thousand (2018)</v>
      <v>2022</v>
      <v>2019</v>
      <v>2018</v>
      <v>per liter (2016)</v>
      <v>2019</v>
      <v>years (2018)</v>
      <v>2018</v>
      <v>per thousand (2018)</v>
      <v>2019</v>
      <v>2017</v>
      <v>2016</v>
      <v>2019</v>
      <v>2016</v>
      <v>2017</v>
      <v>kilotons per year (2016)</v>
      <v>deaths per 100,000 (2017)</v>
      <v>kWh (2014)</v>
      <v>2014</v>
      <v>2019</v>
      <v>2013</v>
      <v>2013</v>
      <v>2013</v>
      <v>2013</v>
      <v>2013</v>
      <v>2015</v>
      <v>2013</v>
      <v>2013</v>
      <v>2018</v>
      <v>2018</v>
      <v>2019</v>
    </spb>
    <spb s="0">
      <v xml:space="preserve">Wikipedia	</v>
      <v xml:space="preserve">CC BY-SA 3.0	</v>
      <v xml:space="preserve">https://en.wikipedia.org/wiki/Rabat	</v>
      <v xml:space="preserve">https://creativecommons.org/licenses/by-sa/3.0	</v>
    </spb>
    <spb s="22">
      <v>487</v>
      <v>487</v>
      <v>487</v>
      <v>487</v>
      <v>487</v>
      <v>487</v>
      <v>487</v>
      <v>487</v>
      <v>487</v>
    </spb>
    <spb s="0">
      <v xml:space="preserve">Wikipedia	</v>
      <v xml:space="preserve">CC BY-SA 3.0	</v>
      <v xml:space="preserve">https://en.wikipedia.org/wiki/Casablanca	</v>
      <v xml:space="preserve">https://creativecommons.org/licenses/by-sa/3.0	</v>
    </spb>
    <spb s="22">
      <v>489</v>
      <v>489</v>
      <v>489</v>
      <v>489</v>
      <v>489</v>
      <v>489</v>
      <v>489</v>
      <v>489</v>
      <v>489</v>
    </spb>
    <spb s="13">
      <v>34</v>
      <v>34</v>
      <v>1</v>
      <v>34</v>
      <v>34</v>
      <v>34</v>
      <v>11</v>
      <v>34</v>
      <v>34</v>
      <v>34</v>
      <v>14</v>
      <v>5</v>
    </spb>
    <spb s="0">
      <v xml:space="preserve">Wikipedia	Cia	travel.state.gov	</v>
      <v xml:space="preserve">CC-BY-SA			</v>
      <v xml:space="preserve">http://en.wikipedia.org/wiki/Mozambique	https://www.cia.gov/library/publications/the-world-factbook/geos/mz.html?Transportation	https://travel.state.gov/content/travel/en/international-travel/International-Travel-Country-Information-Pages/Mozambique.html	</v>
      <v xml:space="preserve">http://creativecommons.org/licenses/by-sa/3.0/			</v>
    </spb>
    <spb s="0">
      <v xml:space="preserve">Wikipedia	</v>
      <v xml:space="preserve">CC BY-SA 3.0	</v>
      <v xml:space="preserve">https://en.wikipedia.org/wiki/Mozambique	</v>
      <v xml:space="preserve">https://creativecommons.org/licenses/by-sa/3.0	</v>
    </spb>
    <spb s="0">
      <v xml:space="preserve">Wikipedia	</v>
      <v xml:space="preserve">CC-BY-SA	</v>
      <v xml:space="preserve">http://en.wikipedia.org/wiki/Mozambique	</v>
      <v xml:space="preserve">http://creativecommons.org/licenses/by-sa/3.0/	</v>
    </spb>
    <spb s="0">
      <v xml:space="preserve">Cia	</v>
      <v xml:space="preserve">	</v>
      <v xml:space="preserve">https://www.cia.gov/library/publications/the-world-factbook/geos/mz.html?Transportation	</v>
      <v xml:space="preserve">	</v>
    </spb>
    <spb s="20">
      <v>0</v>
      <v>492</v>
      <v>493</v>
      <v>493</v>
      <v>3</v>
      <v>493</v>
      <v>493</v>
      <v>493</v>
      <v>494</v>
      <v>493</v>
      <v>493</v>
      <v>494</v>
      <v>493</v>
      <v>493</v>
      <v>495</v>
      <v>6</v>
      <v>492</v>
      <v>495</v>
      <v>8</v>
      <v>493</v>
      <v>495</v>
      <v>9</v>
      <v>10</v>
      <v>11</v>
      <v>495</v>
      <v>495</v>
      <v>493</v>
      <v>495</v>
      <v>12</v>
      <v>13</v>
      <v>14</v>
      <v>15</v>
      <v>495</v>
      <v>495</v>
      <v>495</v>
      <v>495</v>
      <v>495</v>
      <v>495</v>
      <v>495</v>
      <v>495</v>
      <v>495</v>
      <v>495</v>
      <v>495</v>
      <v>16</v>
    </spb>
    <spb s="21">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2018</v>
      <v>2018</v>
      <v>2019</v>
    </spb>
    <spb s="0">
      <v xml:space="preserve">Wikipedia	</v>
      <v xml:space="preserve">CC BY-SA 3.0	</v>
      <v xml:space="preserve">https://en.wikipedia.org/wiki/Maputo	</v>
      <v xml:space="preserve">https://creativecommons.org/licenses/by-sa/3.0	</v>
    </spb>
    <spb s="0">
      <v xml:space="preserve">Wikipedia	</v>
      <v xml:space="preserve">CC-BY-SA	</v>
      <v xml:space="preserve">http://en.wikipedia.org/wiki/Maputo	</v>
      <v xml:space="preserve">http://creativecommons.org/licenses/by-sa/3.0/	</v>
    </spb>
    <spb s="32">
      <v>498</v>
      <v>498</v>
      <v>498</v>
      <v>498</v>
      <v>498</v>
      <v>499</v>
      <v>498</v>
    </spb>
    <spb s="0">
      <v xml:space="preserve">Wikipedia	Wikipedia	Cia	travel.state.gov	</v>
      <v xml:space="preserve">CC-BY-SA	CC-BY-SA			</v>
      <v xml:space="preserve">http://en.wikipedia.org/wiki/Myanmar	http://en.wikipedia.org/wiki/Burma	https://www.cia.gov/library/publications/the-world-factbook/geos/bm.html?Transportation	https://travel.state.gov/content/travel/en/international-travel/International-Travel-Country-Information-Pages/Burma.html	</v>
      <v xml:space="preserve">http://creativecommons.org/licenses/by-sa/3.0/	http://creativecommons.org/licenses/by-sa/3.0/			</v>
    </spb>
    <spb s="0">
      <v xml:space="preserve">Wikipedia	</v>
      <v xml:space="preserve">CC BY-SA 3.0	</v>
      <v xml:space="preserve">https://en.wikipedia.org/wiki/Myanmar	</v>
      <v xml:space="preserve">https://creativecommons.org/licenses/by-sa/3.0	</v>
    </spb>
    <spb s="0">
      <v xml:space="preserve">Wikipedia	</v>
      <v xml:space="preserve">CC-BY-SA	</v>
      <v xml:space="preserve">http://en.wikipedia.org/wiki/Myanmar	</v>
      <v xml:space="preserve">http://creativecommons.org/licenses/by-sa/3.0/	</v>
    </spb>
    <spb s="0">
      <v xml:space="preserve">Cia	</v>
      <v xml:space="preserve">	</v>
      <v xml:space="preserve">https://www.cia.gov/library/publications/the-world-factbook/geos/bm.html?Transportation	</v>
      <v xml:space="preserve">	</v>
    </spb>
    <spb s="20">
      <v>0</v>
      <v>501</v>
      <v>502</v>
      <v>502</v>
      <v>3</v>
      <v>502</v>
      <v>502</v>
      <v>502</v>
      <v>503</v>
      <v>502</v>
      <v>502</v>
      <v>503</v>
      <v>502</v>
      <v>502</v>
      <v>504</v>
      <v>6</v>
      <v>501</v>
      <v>504</v>
      <v>8</v>
      <v>502</v>
      <v>504</v>
      <v>9</v>
      <v>10</v>
      <v>11</v>
      <v>504</v>
      <v>504</v>
      <v>502</v>
      <v>504</v>
      <v>12</v>
      <v>13</v>
      <v>14</v>
      <v>15</v>
      <v>504</v>
      <v>504</v>
      <v>504</v>
      <v>504</v>
      <v>504</v>
      <v>504</v>
      <v>504</v>
      <v>504</v>
      <v>504</v>
      <v>504</v>
      <v>504</v>
      <v>16</v>
    </spb>
    <spb s="21">
      <v>2019</v>
      <v>2019</v>
      <v>square km</v>
      <v>per thousand (2018)</v>
      <v>2022</v>
      <v>2019</v>
      <v>2018</v>
      <v>per liter (2016)</v>
      <v>2019</v>
      <v>years (2018)</v>
      <v>2019</v>
      <v>per thousand (2018)</v>
      <v>2019</v>
      <v>2017</v>
      <v>2016</v>
      <v>2019</v>
      <v>2016</v>
      <v>2018</v>
      <v>kilotons per year (2016)</v>
      <v>deaths per 100,000 (2017)</v>
      <v>kWh (2014)</v>
      <v>2014</v>
      <v>2017</v>
      <v>2017</v>
      <v>2017</v>
      <v>2017</v>
      <v>2017</v>
      <v>2015</v>
      <v>2017</v>
      <v>2017</v>
      <v>2018</v>
      <v>2018</v>
      <v>2019</v>
    </spb>
    <spb s="0">
      <v xml:space="preserve">Wikipedia	</v>
      <v xml:space="preserve">CC BY-SA 3.0	</v>
      <v xml:space="preserve">https://en.wikipedia.org/wiki/Naypyidaw	</v>
      <v xml:space="preserve">https://creativecommons.org/licenses/by-sa/3.0	</v>
    </spb>
    <spb s="22">
      <v>507</v>
      <v>507</v>
      <v>507</v>
      <v>507</v>
      <v>507</v>
      <v>507</v>
      <v>507</v>
      <v>507</v>
      <v>507</v>
    </spb>
    <spb s="0">
      <v xml:space="preserve">Wikipedia	</v>
      <v xml:space="preserve">CC BY-SA 3.0	</v>
      <v xml:space="preserve">https://en.wikipedia.org/wiki/Yangon	</v>
      <v xml:space="preserve">https://creativecommons.org/licenses/by-sa/3.0	</v>
    </spb>
    <spb s="22">
      <v>509</v>
      <v>509</v>
      <v>509</v>
      <v>509</v>
      <v>509</v>
      <v>509</v>
      <v>509</v>
      <v>509</v>
      <v>509</v>
    </spb>
    <spb s="11">
      <v>50</v>
      <v>Name</v>
    </spb>
    <spb s="75">
      <v>1</v>
      <v>35</v>
      <v>35</v>
      <v>11</v>
      <v>35</v>
      <v>35</v>
      <v>35</v>
      <v>14</v>
      <v>5</v>
    </spb>
    <spb s="0">
      <v xml:space="preserve">Wikipedia	Cia	travel.state.gov	</v>
      <v xml:space="preserve">CC-BY-SA			</v>
      <v xml:space="preserve">http://en.wikipedia.org/wiki/Namibia	https://www.cia.gov/library/publications/the-world-factbook/geos/wa.html?Transportation	https://travel.state.gov/content/travel/en/international-travel/International-Travel-Country-Information-Pages/Namibia.html	</v>
      <v xml:space="preserve">http://creativecommons.org/licenses/by-sa/3.0/			</v>
    </spb>
    <spb s="0">
      <v xml:space="preserve">Wikipedia	</v>
      <v xml:space="preserve">CC BY-SA 3.0	</v>
      <v xml:space="preserve">https://en.wikipedia.org/wiki/Namibia	</v>
      <v xml:space="preserve">https://creativecommons.org/licenses/by-sa/3.0	</v>
    </spb>
    <spb s="0">
      <v xml:space="preserve">Wikipedia	</v>
      <v xml:space="preserve">CC-BY-SA	</v>
      <v xml:space="preserve">http://en.wikipedia.org/wiki/Namibia	</v>
      <v xml:space="preserve">http://creativecommons.org/licenses/by-sa/3.0/	</v>
    </spb>
    <spb s="0">
      <v xml:space="preserve">Cia	</v>
      <v xml:space="preserve">	</v>
      <v xml:space="preserve">https://www.cia.gov/library/publications/the-world-factbook/geos/wa.html?Transportation	</v>
      <v xml:space="preserve">	</v>
    </spb>
    <spb s="28">
      <v>0</v>
      <v>513</v>
      <v>514</v>
      <v>514</v>
      <v>3</v>
      <v>514</v>
      <v>514</v>
      <v>514</v>
      <v>515</v>
      <v>514</v>
      <v>514</v>
      <v>514</v>
      <v>514</v>
      <v>516</v>
      <v>6</v>
      <v>513</v>
      <v>516</v>
      <v>8</v>
      <v>514</v>
      <v>516</v>
      <v>9</v>
      <v>10</v>
      <v>11</v>
      <v>516</v>
      <v>516</v>
      <v>514</v>
      <v>516</v>
      <v>12</v>
      <v>13</v>
      <v>14</v>
      <v>15</v>
      <v>516</v>
      <v>513</v>
      <v>516</v>
      <v>516</v>
      <v>516</v>
      <v>516</v>
      <v>516</v>
      <v>516</v>
      <v>516</v>
      <v>516</v>
      <v>516</v>
      <v>516</v>
      <v>16</v>
    </spb>
    <spb s="7">
      <v>2019</v>
      <v>2019</v>
      <v>square km</v>
      <v>per thousand (2018)</v>
      <v>2022</v>
      <v>2019</v>
      <v>2018</v>
      <v>per liter (2016)</v>
      <v>2019</v>
      <v>years (2018)</v>
      <v>2018</v>
      <v>per thousand (2018)</v>
      <v>2019</v>
      <v>2017</v>
      <v>2016</v>
      <v>2019</v>
      <v>2016</v>
      <v>2018</v>
      <v>kilotons per year (2016)</v>
      <v>deaths per 100,000 (2017)</v>
      <v>kWh (2014)</v>
      <v>2014</v>
      <v>2019</v>
      <v>2015</v>
      <v>2015</v>
      <v>2015</v>
      <v>2015</v>
      <v>2015</v>
      <v>2015</v>
      <v>2015</v>
      <v>2015</v>
      <v>2018</v>
      <v>2017</v>
      <v>2019</v>
    </spb>
    <spb s="0">
      <v xml:space="preserve">Wikipedia	</v>
      <v xml:space="preserve">CC-BY-SA	</v>
      <v xml:space="preserve">http://en.wikipedia.org/wiki/Windhoek	</v>
      <v xml:space="preserve">http://creativecommons.org/licenses/by-sa/3.0/	</v>
    </spb>
    <spb s="0">
      <v xml:space="preserve">Wikipedia	</v>
      <v xml:space="preserve">CC BY-SA 3.0	</v>
      <v xml:space="preserve">https://en.wikipedia.org/wiki/Windhoek	</v>
      <v xml:space="preserve">https://creativecommons.org/licenses/by-sa/3.0	</v>
    </spb>
    <spb s="22">
      <v>519</v>
      <v>520</v>
      <v>520</v>
      <v>520</v>
      <v>520</v>
      <v>520</v>
      <v>520</v>
      <v>520</v>
      <v>520</v>
    </spb>
    <spb s="75">
      <v>1</v>
      <v>9</v>
      <v>9</v>
      <v>11</v>
      <v>9</v>
      <v>9</v>
      <v>9</v>
      <v>14</v>
      <v>5</v>
    </spb>
    <spb s="0">
      <v xml:space="preserve">Wikipedia	travel.state.gov	</v>
      <v xml:space="preserve">CC-BY-SA		</v>
      <v xml:space="preserve">http://en.wikipedia.org/wiki/Nauru	https://travel.state.gov/content/travel/en/international-travel/International-Travel-Country-Information-Pages/Nauru.html	</v>
      <v xml:space="preserve">http://creativecommons.org/licenses/by-sa/3.0/		</v>
    </spb>
    <spb s="0">
      <v xml:space="preserve">Wikipedia	</v>
      <v xml:space="preserve">CC BY-SA 3.0	</v>
      <v xml:space="preserve">https://en.wikipedia.org/wiki/Nauru	</v>
      <v xml:space="preserve">https://creativecommons.org/licenses/by-sa/3.0	</v>
    </spb>
    <spb s="0">
      <v xml:space="preserve">Wikipedia	</v>
      <v xml:space="preserve">CC-BY-SA	</v>
      <v xml:space="preserve">http://en.wikipedia.org/wiki/Nauru	</v>
      <v xml:space="preserve">http://creativecommons.org/licenses/by-sa/3.0/	</v>
    </spb>
    <spb s="76">
      <v>523</v>
      <v>524</v>
      <v>524</v>
      <v>524</v>
      <v>524</v>
      <v>524</v>
      <v>525</v>
      <v>524</v>
      <v>524</v>
      <v>524</v>
      <v>524</v>
      <v>524</v>
      <v>524</v>
    </spb>
    <spb s="2">
      <v>51</v>
      <v>Name</v>
      <v>LearnMoreOnLink</v>
    </spb>
    <spb s="37">
      <v>2021</v>
      <v>square km</v>
      <v>2021</v>
    </spb>
    <spb s="0">
      <v xml:space="preserve">Wikipedia	</v>
      <v xml:space="preserve">CC BY-SA 3.0	</v>
      <v xml:space="preserve">https://en.wikipedia.org/wiki/Yaren_District	</v>
      <v xml:space="preserve">https://creativecommons.org/licenses/by-sa/3.0	</v>
    </spb>
    <spb s="0">
      <v xml:space="preserve">Wikipedia	</v>
      <v xml:space="preserve">CC-BY-SA	</v>
      <v xml:space="preserve">http://en.wikipedia.org/wiki/Yaren_District	</v>
      <v xml:space="preserve">http://creativecommons.org/licenses/by-sa/3.0/	</v>
    </spb>
    <spb s="32">
      <v>529</v>
      <v>529</v>
      <v>529</v>
      <v>529</v>
      <v>529</v>
      <v>530</v>
      <v>529</v>
    </spb>
    <spb s="0">
      <v xml:space="preserve">Wikipedia	</v>
      <v xml:space="preserve">CC BY-SA 3.0	</v>
      <v xml:space="preserve">https://en.wikipedia.org/wiki/Denigomodu_District	</v>
      <v xml:space="preserve">https://creativecommons.org/licenses/by-sa/3.0	</v>
    </spb>
    <spb s="0">
      <v xml:space="preserve">Wikipedia	</v>
      <v xml:space="preserve">CC-BY-SA	</v>
      <v xml:space="preserve">http://en.wikipedia.org/wiki/Denigomodu_District	</v>
      <v xml:space="preserve">http://creativecommons.org/licenses/by-sa/3.0/	</v>
    </spb>
    <spb s="54">
      <v>532</v>
      <v>532</v>
      <v>532</v>
      <v>532</v>
      <v>532</v>
      <v>533</v>
      <v>532</v>
      <v>532</v>
    </spb>
    <spb s="2">
      <v>52</v>
      <v>Name</v>
      <v>LearnMoreOnLink</v>
    </spb>
    <spb s="10">
      <v>square km</v>
      <v>2005</v>
    </spb>
    <spb s="13">
      <v>36</v>
      <v>36</v>
      <v>1</v>
      <v>36</v>
      <v>36</v>
      <v>36</v>
      <v>11</v>
      <v>36</v>
      <v>36</v>
      <v>36</v>
      <v>14</v>
      <v>5</v>
    </spb>
    <spb s="0">
      <v xml:space="preserve">Wikipedia	Cia	travel.state.gov	</v>
      <v xml:space="preserve">CC-BY-SA			</v>
      <v xml:space="preserve">http://en.wikipedia.org/wiki/Nepal	https://www.cia.gov/library/publications/the-world-factbook/geos/np.html?Transportation	https://travel.state.gov/content/travel/en/international-travel/International-Travel-Country-Information-Pages/Nepal.html	</v>
      <v xml:space="preserve">http://creativecommons.org/licenses/by-sa/3.0/			</v>
    </spb>
    <spb s="0">
      <v xml:space="preserve">Wikipedia	</v>
      <v xml:space="preserve">CC BY-SA 3.0	</v>
      <v xml:space="preserve">https://en.wikipedia.org/wiki/Nepal	</v>
      <v xml:space="preserve">https://creativecommons.org/licenses/by-sa/3.0	</v>
    </spb>
    <spb s="0">
      <v xml:space="preserve">Wikipedia	</v>
      <v xml:space="preserve">CC-BY-SA	</v>
      <v xml:space="preserve">http://en.wikipedia.org/wiki/Nepal	</v>
      <v xml:space="preserve">http://creativecommons.org/licenses/by-sa/3.0/	</v>
    </spb>
    <spb s="0">
      <v xml:space="preserve">Cia	</v>
      <v xml:space="preserve">	</v>
      <v xml:space="preserve">https://www.cia.gov/library/publications/the-world-factbook/geos/np.html?Transportation	</v>
      <v xml:space="preserve">	</v>
    </spb>
    <spb s="20">
      <v>0</v>
      <v>538</v>
      <v>539</v>
      <v>539</v>
      <v>3</v>
      <v>539</v>
      <v>539</v>
      <v>539</v>
      <v>540</v>
      <v>539</v>
      <v>539</v>
      <v>540</v>
      <v>539</v>
      <v>539</v>
      <v>541</v>
      <v>6</v>
      <v>538</v>
      <v>541</v>
      <v>8</v>
      <v>539</v>
      <v>541</v>
      <v>9</v>
      <v>10</v>
      <v>11</v>
      <v>541</v>
      <v>541</v>
      <v>539</v>
      <v>541</v>
      <v>12</v>
      <v>13</v>
      <v>14</v>
      <v>15</v>
      <v>541</v>
      <v>541</v>
      <v>541</v>
      <v>541</v>
      <v>541</v>
      <v>541</v>
      <v>541</v>
      <v>541</v>
      <v>541</v>
      <v>541</v>
      <v>541</v>
      <v>16</v>
    </spb>
    <spb s="2">
      <v>53</v>
      <v>Name</v>
      <v>LearnMoreOnLink</v>
    </spb>
    <spb s="21">
      <v>2019</v>
      <v>2019</v>
      <v>square km</v>
      <v>per thousand (2018)</v>
      <v>2022</v>
      <v>2019</v>
      <v>2018</v>
      <v>per liter (2016)</v>
      <v>2019</v>
      <v>years (2018)</v>
      <v>2017</v>
      <v>per thousand (2018)</v>
      <v>2019</v>
      <v>2017</v>
      <v>2016</v>
      <v>2019</v>
      <v>2016</v>
      <v>2018</v>
      <v>kilotons per year (2016)</v>
      <v>deaths per 100,000 (2017)</v>
      <v>kWh (2014)</v>
      <v>2014</v>
      <v>2010</v>
      <v>2010</v>
      <v>2010</v>
      <v>2010</v>
      <v>2010</v>
      <v>2015</v>
      <v>2010</v>
      <v>2010</v>
      <v>2019</v>
      <v>2018</v>
      <v>2019</v>
    </spb>
    <spb s="0">
      <v xml:space="preserve">Wikipedia	Wikipedia	Wikipedia	</v>
      <v xml:space="preserve">CC-BY-SA	CC-BY-SA	CC-BY-SA	</v>
      <v xml:space="preserve">http://en.wikipedia.org/wiki/Kathmandu	http://de.wikipedia.org/wiki/Kathmandu	http://fr.wikipedia.org/wiki/Katmandou	</v>
      <v xml:space="preserve">http://creativecommons.org/licenses/by-sa/3.0/	http://creativecommons.org/licenses/by-sa/3.0/	http://creativecommons.org/licenses/by-sa/3.0/	</v>
    </spb>
    <spb s="0">
      <v xml:space="preserve">Wikipedia	</v>
      <v xml:space="preserve">CC BY-SA 3.0	</v>
      <v xml:space="preserve">https://en.wikipedia.org/wiki/Kathmandu	</v>
      <v xml:space="preserve">https://creativecommons.org/licenses/by-sa/3.0	</v>
    </spb>
    <spb s="55">
      <v>545</v>
      <v>546</v>
      <v>546</v>
      <v>546</v>
      <v>546</v>
      <v>546</v>
      <v>546</v>
      <v>546</v>
      <v>546</v>
    </spb>
    <spb s="2">
      <v>54</v>
      <v>Name</v>
      <v>LearnMoreOnLink</v>
    </spb>
    <spb s="0">
      <v xml:space="preserve">Wikipedia	Cia	travel.state.gov	</v>
      <v xml:space="preserve">CC-BY-SA			</v>
      <v xml:space="preserve">http://en.wikipedia.org/wiki/Netherlands	https://www.cia.gov/library/publications/the-world-factbook/geos/nl.html?Transportation	https://travel.state.gov/content/travel/en/international-travel/International-Travel-Country-Information-Pages/Netherlands.html	</v>
      <v xml:space="preserve">http://creativecommons.org/licenses/by-sa/3.0/			</v>
    </spb>
    <spb s="0">
      <v xml:space="preserve">Wikipedia	</v>
      <v xml:space="preserve">CC BY-SA 3.0	</v>
      <v xml:space="preserve">https://en.wikipedia.org/wiki/Netherlands	</v>
      <v xml:space="preserve">https://creativecommons.org/licenses/by-sa/3.0	</v>
    </spb>
    <spb s="0">
      <v xml:space="preserve">Wikipedia	</v>
      <v xml:space="preserve">CC-BY-SA	</v>
      <v xml:space="preserve">http://en.wikipedia.org/wiki/Netherlands	</v>
      <v xml:space="preserve">http://creativecommons.org/licenses/by-sa/3.0/	</v>
    </spb>
    <spb s="0">
      <v xml:space="preserve">Cia	</v>
      <v xml:space="preserve">	</v>
      <v xml:space="preserve">https://www.cia.gov/library/publications/the-world-factbook/geos/nl.html?Transportation	</v>
      <v xml:space="preserve">	</v>
    </spb>
    <spb s="1">
      <v>0</v>
      <v>549</v>
      <v>550</v>
      <v>550</v>
      <v>3</v>
      <v>550</v>
      <v>550</v>
      <v>550</v>
      <v>551</v>
      <v>550</v>
      <v>550</v>
      <v>551</v>
      <v>550</v>
      <v>550</v>
      <v>552</v>
      <v>6</v>
      <v>549</v>
      <v>552</v>
      <v>8</v>
      <v>550</v>
      <v>552</v>
      <v>9</v>
      <v>10</v>
      <v>11</v>
      <v>552</v>
      <v>552</v>
      <v>550</v>
      <v>552</v>
      <v>12</v>
      <v>13</v>
      <v>14</v>
      <v>15</v>
      <v>552</v>
      <v>549</v>
      <v>552</v>
      <v>552</v>
      <v>552</v>
      <v>552</v>
      <v>552</v>
      <v>552</v>
      <v>552</v>
      <v>552</v>
      <v>552</v>
      <v>552</v>
      <v>16</v>
    </spb>
    <spb s="7">
      <v>2019</v>
      <v>2019</v>
      <v>square km</v>
      <v>per thousand (2018)</v>
      <v>2022</v>
      <v>2019</v>
      <v>2018</v>
      <v>per liter (2016)</v>
      <v>2019</v>
      <v>years (2018)</v>
      <v>2018</v>
      <v>per thousand (2018)</v>
      <v>2019</v>
      <v>2017</v>
      <v>2016</v>
      <v>2019</v>
      <v>2016</v>
      <v>2017</v>
      <v>kilotons per year (2016)</v>
      <v>deaths per 100,000 (2017)</v>
      <v>kWh (2014)</v>
      <v>2015</v>
      <v>2017</v>
      <v>2017</v>
      <v>2017</v>
      <v>2017</v>
      <v>2017</v>
      <v>2017</v>
      <v>2015</v>
      <v>2017</v>
      <v>2017</v>
      <v>2017</v>
      <v>2017</v>
      <v>2019</v>
    </spb>
    <spb s="0">
      <v xml:space="preserve">Wikipedia	</v>
      <v xml:space="preserve">CC BY-SA 3.0	</v>
      <v xml:space="preserve">https://en.wikipedia.org/wiki/Amsterdam	</v>
      <v xml:space="preserve">https://creativecommons.org/licenses/by-sa/3.0	</v>
    </spb>
    <spb s="29">
      <v>555</v>
      <v>555</v>
      <v>555</v>
      <v>555</v>
      <v>555</v>
      <v>555</v>
      <v>555</v>
      <v>555</v>
      <v>555</v>
      <v>555</v>
    </spb>
    <spb s="13">
      <v>37</v>
      <v>37</v>
      <v>1</v>
      <v>37</v>
      <v>37</v>
      <v>37</v>
      <v>11</v>
      <v>37</v>
      <v>37</v>
      <v>37</v>
      <v>14</v>
      <v>5</v>
    </spb>
    <spb s="0">
      <v xml:space="preserve">Wikipedia	Cia	travel.state.gov	</v>
      <v xml:space="preserve">CC-BY-SA			</v>
      <v xml:space="preserve">http://en.wikipedia.org/wiki/New_Zealand	https://www.cia.gov/library/publications/the-world-factbook/geos/nz.html?Transportation	https://travel.state.gov/content/travel/en/international-travel/International-Travel-Country-Information-Pages/NewZealand.html	</v>
      <v xml:space="preserve">http://creativecommons.org/licenses/by-sa/3.0/			</v>
    </spb>
    <spb s="0">
      <v xml:space="preserve">Wikipedia	</v>
      <v xml:space="preserve">CC BY-SA 3.0	</v>
      <v xml:space="preserve">https://en.wikipedia.org/wiki/New_Zealand	</v>
      <v xml:space="preserve">https://creativecommons.org/licenses/by-sa/3.0	</v>
    </spb>
    <spb s="0">
      <v xml:space="preserve">Wikipedia	</v>
      <v xml:space="preserve">CC-BY-SA	</v>
      <v xml:space="preserve">http://en.wikipedia.org/wiki/New_Zealand	</v>
      <v xml:space="preserve">http://creativecommons.org/licenses/by-sa/3.0/	</v>
    </spb>
    <spb s="0">
      <v xml:space="preserve">Cia	</v>
      <v xml:space="preserve">	</v>
      <v xml:space="preserve">https://www.cia.gov/library/publications/the-world-factbook/geos/nz.html?Transportation	</v>
      <v xml:space="preserve">	</v>
    </spb>
    <spb s="40">
      <v>0</v>
      <v>558</v>
      <v>559</v>
      <v>559</v>
      <v>3</v>
      <v>559</v>
      <v>559</v>
      <v>559</v>
      <v>560</v>
      <v>559</v>
      <v>559</v>
      <v>560</v>
      <v>559</v>
      <v>559</v>
      <v>561</v>
      <v>6</v>
      <v>558</v>
      <v>561</v>
      <v>8</v>
      <v>559</v>
      <v>561</v>
      <v>9</v>
      <v>10</v>
      <v>11</v>
      <v>561</v>
      <v>561</v>
      <v>559</v>
      <v>561</v>
      <v>12</v>
      <v>13</v>
      <v>14</v>
      <v>15</v>
      <v>561</v>
      <v>558</v>
      <v>561</v>
      <v>561</v>
      <v>561</v>
      <v>16</v>
    </spb>
    <spb s="41">
      <v>2019</v>
      <v>2019</v>
      <v>square km</v>
      <v>per thousand (2018)</v>
      <v>2022</v>
      <v>2019</v>
      <v>2018</v>
      <v>per liter (2016)</v>
      <v>2019</v>
      <v>years (2018)</v>
      <v>2019</v>
      <v>per thousand (2018)</v>
      <v>2019</v>
      <v>2017</v>
      <v>2016</v>
      <v>2019</v>
      <v>2016</v>
      <v>2018</v>
      <v>kilotons per year (2016)</v>
      <v>deaths per 100,000 (2017)</v>
      <v>kWh (2014)</v>
      <v>2015</v>
      <v>2019</v>
      <v>2013</v>
      <v>2017</v>
      <v>2017</v>
      <v>2019</v>
    </spb>
    <spb s="0">
      <v xml:space="preserve">Wikipedia	</v>
      <v xml:space="preserve">CC BY-SA 3.0	</v>
      <v xml:space="preserve">https://en.wikipedia.org/wiki/Wellington	</v>
      <v xml:space="preserve">https://creativecommons.org/licenses/by-sa/3.0	</v>
    </spb>
    <spb s="9">
      <v>564</v>
      <v>564</v>
      <v>564</v>
      <v>564</v>
      <v>564</v>
      <v>564</v>
      <v>564</v>
      <v>564</v>
    </spb>
    <spb s="0">
      <v xml:space="preserve">Wikipedia	</v>
      <v xml:space="preserve">CC BY-SA 3.0	</v>
      <v xml:space="preserve">https://en.wikipedia.org/wiki/Auckland	</v>
      <v xml:space="preserve">https://creativecommons.org/licenses/by-sa/3.0	</v>
    </spb>
    <spb s="22">
      <v>566</v>
      <v>566</v>
      <v>566</v>
      <v>566</v>
      <v>566</v>
      <v>566</v>
      <v>566</v>
      <v>566</v>
      <v>566</v>
    </spb>
    <spb s="0">
      <v xml:space="preserve">Wikipedia	Cia	travel.state.gov	</v>
      <v xml:space="preserve">CC-BY-SA			</v>
      <v xml:space="preserve">http://en.wikipedia.org/wiki/Nicaragua	https://www.cia.gov/library/publications/the-world-factbook/geos/nu.html?Transportation	https://travel.state.gov/content/travel/en/international-travel/International-Travel-Country-Information-Pages/Nicaragua.html	</v>
      <v xml:space="preserve">http://creativecommons.org/licenses/by-sa/3.0/			</v>
    </spb>
    <spb s="0">
      <v xml:space="preserve">Wikipedia	</v>
      <v xml:space="preserve">CC BY-SA 3.0	</v>
      <v xml:space="preserve">https://en.wikipedia.org/wiki/Nicaragua	</v>
      <v xml:space="preserve">https://creativecommons.org/licenses/by-sa/3.0	</v>
    </spb>
    <spb s="0">
      <v xml:space="preserve">Wikipedia	</v>
      <v xml:space="preserve">CC-BY-SA	</v>
      <v xml:space="preserve">http://en.wikipedia.org/wiki/Nicaragua	</v>
      <v xml:space="preserve">http://creativecommons.org/licenses/by-sa/3.0/	</v>
    </spb>
    <spb s="0">
      <v xml:space="preserve">Cia	</v>
      <v xml:space="preserve">	</v>
      <v xml:space="preserve">https://www.cia.gov/library/publications/the-world-factbook/geos/nu.html?Transportation	</v>
      <v xml:space="preserve">	</v>
    </spb>
    <spb s="20">
      <v>0</v>
      <v>568</v>
      <v>569</v>
      <v>569</v>
      <v>3</v>
      <v>569</v>
      <v>569</v>
      <v>569</v>
      <v>570</v>
      <v>569</v>
      <v>569</v>
      <v>570</v>
      <v>569</v>
      <v>569</v>
      <v>571</v>
      <v>6</v>
      <v>568</v>
      <v>571</v>
      <v>8</v>
      <v>569</v>
      <v>571</v>
      <v>9</v>
      <v>10</v>
      <v>11</v>
      <v>571</v>
      <v>571</v>
      <v>569</v>
      <v>571</v>
      <v>12</v>
      <v>13</v>
      <v>14</v>
      <v>15</v>
      <v>571</v>
      <v>571</v>
      <v>571</v>
      <v>571</v>
      <v>571</v>
      <v>571</v>
      <v>571</v>
      <v>571</v>
      <v>571</v>
      <v>571</v>
      <v>571</v>
      <v>16</v>
    </spb>
    <spb s="21">
      <v>2019</v>
      <v>2019</v>
      <v>square km</v>
      <v>per thousand (2018)</v>
      <v>2022</v>
      <v>2019</v>
      <v>2018</v>
      <v>per liter (2016)</v>
      <v>2019</v>
      <v>years (2018)</v>
      <v>2018</v>
      <v>per thousand (2018)</v>
      <v>2019</v>
      <v>2017</v>
      <v>2016</v>
      <v>2019</v>
      <v>2016</v>
      <v>2018</v>
      <v>kilotons per year (2016)</v>
      <v>deaths per 100,000 (2017)</v>
      <v>kWh (2014)</v>
      <v>2014</v>
      <v>2014</v>
      <v>2014</v>
      <v>2014</v>
      <v>2014</v>
      <v>2014</v>
      <v>2015</v>
      <v>2014</v>
      <v>2014</v>
      <v>2010</v>
      <v>2002</v>
      <v>2019</v>
    </spb>
    <spb s="0">
      <v xml:space="preserve">Wikipedia	</v>
      <v xml:space="preserve">CC BY-SA 3.0	</v>
      <v xml:space="preserve">https://en.wikipedia.org/wiki/Managua	</v>
      <v xml:space="preserve">https://creativecommons.org/licenses/by-sa/3.0	</v>
    </spb>
    <spb s="22">
      <v>574</v>
      <v>574</v>
      <v>574</v>
      <v>574</v>
      <v>574</v>
      <v>574</v>
      <v>574</v>
      <v>574</v>
      <v>574</v>
    </spb>
    <spb s="13">
      <v>38</v>
      <v>38</v>
      <v>1</v>
      <v>38</v>
      <v>38</v>
      <v>38</v>
      <v>11</v>
      <v>38</v>
      <v>38</v>
      <v>38</v>
      <v>14</v>
      <v>5</v>
    </spb>
    <spb s="0">
      <v xml:space="preserve">Wikipedia	Cia	travel.state.gov	</v>
      <v xml:space="preserve">CC-BY-SA			</v>
      <v xml:space="preserve">http://en.wikipedia.org/wiki/Niger	https://www.cia.gov/library/publications/the-world-factbook/geos/ng.html?Transportation	https://travel.state.gov/content/travel/en/international-travel/International-Travel-Country-Information-Pages/Niger.html	</v>
      <v xml:space="preserve">http://creativecommons.org/licenses/by-sa/3.0/			</v>
    </spb>
    <spb s="0">
      <v xml:space="preserve">Wikipedia	</v>
      <v xml:space="preserve">CC BY-SA 3.0	</v>
      <v xml:space="preserve">https://en.wikipedia.org/wiki/Niger	</v>
      <v xml:space="preserve">https://creativecommons.org/licenses/by-sa/3.0	</v>
    </spb>
    <spb s="0">
      <v xml:space="preserve">Wikipedia	</v>
      <v xml:space="preserve">CC-BY-SA	</v>
      <v xml:space="preserve">http://en.wikipedia.org/wiki/Niger	</v>
      <v xml:space="preserve">http://creativecommons.org/licenses/by-sa/3.0/	</v>
    </spb>
    <spb s="0">
      <v xml:space="preserve">Cia	</v>
      <v xml:space="preserve">	</v>
      <v xml:space="preserve">https://www.cia.gov/library/publications/the-world-factbook/geos/ng.html?Transportation	</v>
      <v xml:space="preserve">	</v>
    </spb>
    <spb s="20">
      <v>0</v>
      <v>577</v>
      <v>578</v>
      <v>578</v>
      <v>3</v>
      <v>578</v>
      <v>578</v>
      <v>578</v>
      <v>579</v>
      <v>578</v>
      <v>578</v>
      <v>579</v>
      <v>578</v>
      <v>578</v>
      <v>580</v>
      <v>6</v>
      <v>577</v>
      <v>580</v>
      <v>8</v>
      <v>578</v>
      <v>580</v>
      <v>9</v>
      <v>10</v>
      <v>11</v>
      <v>580</v>
      <v>580</v>
      <v>578</v>
      <v>580</v>
      <v>12</v>
      <v>13</v>
      <v>14</v>
      <v>15</v>
      <v>580</v>
      <v>580</v>
      <v>580</v>
      <v>580</v>
      <v>580</v>
      <v>580</v>
      <v>580</v>
      <v>580</v>
      <v>580</v>
      <v>580</v>
      <v>580</v>
      <v>16</v>
    </spb>
    <spb s="21">
      <v>2019</v>
      <v>2019</v>
      <v>square km</v>
      <v>per thousand (2018)</v>
      <v>2022</v>
      <v>2019</v>
      <v>2018</v>
      <v>per liter (2016)</v>
      <v>2019</v>
      <v>years (2018)</v>
      <v>1980</v>
      <v>per thousand (2018)</v>
      <v>2019</v>
      <v>2017</v>
      <v>2016</v>
      <v>2019</v>
      <v>2016</v>
      <v>2016</v>
      <v>kilotons per year (2016)</v>
      <v>deaths per 100,000 (2017)</v>
      <v>kWh (2014)</v>
      <v>2014</v>
      <v>2014</v>
      <v>2014</v>
      <v>2014</v>
      <v>2014</v>
      <v>2014</v>
      <v>2015</v>
      <v>2014</v>
      <v>2014</v>
      <v>2017</v>
      <v>2018</v>
      <v>2019</v>
    </spb>
    <spb s="0">
      <v xml:space="preserve">Wikipedia	</v>
      <v xml:space="preserve">CC-BY-SA	</v>
      <v xml:space="preserve">http://en.wikipedia.org/wiki/Niamey	</v>
      <v xml:space="preserve">http://creativecommons.org/licenses/by-sa/3.0/	</v>
    </spb>
    <spb s="0">
      <v xml:space="preserve">Wikipedia	</v>
      <v xml:space="preserve">CC BY-SA 3.0	</v>
      <v xml:space="preserve">https://en.wikipedia.org/wiki/Niamey	</v>
      <v xml:space="preserve">https://creativecommons.org/licenses/by-sa/3.0	</v>
    </spb>
    <spb s="32">
      <v>583</v>
      <v>584</v>
      <v>584</v>
      <v>584</v>
      <v>584</v>
      <v>583</v>
      <v>584</v>
    </spb>
    <spb s="0">
      <v xml:space="preserve">Wikipedia	Cia	travel.state.gov	</v>
      <v xml:space="preserve">CC-BY-SA			</v>
      <v xml:space="preserve">http://en.wikipedia.org/wiki/Nigeria	https://www.cia.gov/library/publications/the-world-factbook/geos/ni.html?Transportation	https://travel.state.gov/content/travel/en/international-travel/International-Travel-Country-Information-Pages/Nigeria.html	</v>
      <v xml:space="preserve">http://creativecommons.org/licenses/by-sa/3.0/			</v>
    </spb>
    <spb s="0">
      <v xml:space="preserve">Wikipedia	</v>
      <v xml:space="preserve">CC BY-SA 3.0	</v>
      <v xml:space="preserve">https://en.wikipedia.org/wiki/Nigeria	</v>
      <v xml:space="preserve">https://creativecommons.org/licenses/by-sa/3.0	</v>
    </spb>
    <spb s="0">
      <v xml:space="preserve">Wikipedia	</v>
      <v xml:space="preserve">CC-BY-SA	</v>
      <v xml:space="preserve">http://en.wikipedia.org/wiki/Nigeria	</v>
      <v xml:space="preserve">http://creativecommons.org/licenses/by-sa/3.0/	</v>
    </spb>
    <spb s="0">
      <v xml:space="preserve">Cia	</v>
      <v xml:space="preserve">	</v>
      <v xml:space="preserve">https://www.cia.gov/library/publications/the-world-factbook/geos/ni.html?Transportation	</v>
      <v xml:space="preserve">	</v>
    </spb>
    <spb s="1">
      <v>0</v>
      <v>586</v>
      <v>587</v>
      <v>587</v>
      <v>3</v>
      <v>587</v>
      <v>587</v>
      <v>587</v>
      <v>588</v>
      <v>587</v>
      <v>587</v>
      <v>588</v>
      <v>587</v>
      <v>587</v>
      <v>589</v>
      <v>6</v>
      <v>586</v>
      <v>589</v>
      <v>8</v>
      <v>587</v>
      <v>589</v>
      <v>9</v>
      <v>10</v>
      <v>11</v>
      <v>589</v>
      <v>589</v>
      <v>587</v>
      <v>589</v>
      <v>12</v>
      <v>13</v>
      <v>14</v>
      <v>15</v>
      <v>589</v>
      <v>586</v>
      <v>589</v>
      <v>589</v>
      <v>589</v>
      <v>589</v>
      <v>589</v>
      <v>589</v>
      <v>589</v>
      <v>589</v>
      <v>589</v>
      <v>589</v>
      <v>16</v>
    </spb>
    <spb s="7">
      <v>2019</v>
      <v>2019</v>
      <v>square km</v>
      <v>per thousand (2018)</v>
      <v>2022</v>
      <v>2019</v>
      <v>2018</v>
      <v>per liter (2016)</v>
      <v>2019</v>
      <v>years (2018)</v>
      <v>2013</v>
      <v>per thousand (2018)</v>
      <v>2019</v>
      <v>2017</v>
      <v>2016</v>
      <v>2019</v>
      <v>2016</v>
      <v>2018</v>
      <v>kilotons per year (2016)</v>
      <v>deaths per 100,000 (2017)</v>
      <v>kWh (2014)</v>
      <v>2014</v>
      <v>2019</v>
      <v>2009</v>
      <v>2009</v>
      <v>2009</v>
      <v>2009</v>
      <v>2009</v>
      <v>2015</v>
      <v>2009</v>
      <v>2009</v>
      <v>2016</v>
      <v>2011</v>
      <v>2019</v>
    </spb>
    <spb s="0">
      <v xml:space="preserve">Wikipedia	</v>
      <v xml:space="preserve">CC-BY-SA	</v>
      <v xml:space="preserve">http://en.wikipedia.org/wiki/Abuja	</v>
      <v xml:space="preserve">http://creativecommons.org/licenses/by-sa/3.0/	</v>
    </spb>
    <spb s="0">
      <v xml:space="preserve">Wikipedia	</v>
      <v xml:space="preserve">CC BY-SA 3.0	</v>
      <v xml:space="preserve">https://en.wikipedia.org/wiki/Abuja	</v>
      <v xml:space="preserve">https://creativecommons.org/licenses/by-sa/3.0	</v>
    </spb>
    <spb s="22">
      <v>592</v>
      <v>593</v>
      <v>593</v>
      <v>593</v>
      <v>593</v>
      <v>593</v>
      <v>593</v>
      <v>593</v>
      <v>593</v>
    </spb>
    <spb s="2">
      <v>55</v>
      <v>Name</v>
      <v>LearnMoreOnLink</v>
    </spb>
    <spb s="0">
      <v xml:space="preserve">Wikipedia	</v>
      <v xml:space="preserve">CC BY-SA 3.0	</v>
      <v xml:space="preserve">https://en.wikipedia.org/wiki/Lagos	</v>
      <v xml:space="preserve">https://creativecommons.org/licenses/by-sa/3.0	</v>
    </spb>
    <spb s="22">
      <v>596</v>
      <v>596</v>
      <v>596</v>
      <v>596</v>
      <v>596</v>
      <v>596</v>
      <v>596</v>
      <v>596</v>
      <v>596</v>
    </spb>
    <spb s="13">
      <v>39</v>
      <v>39</v>
      <v>1</v>
      <v>39</v>
      <v>39</v>
      <v>39</v>
      <v>11</v>
      <v>39</v>
      <v>39</v>
      <v>39</v>
      <v>14</v>
      <v>5</v>
    </spb>
    <spb s="0">
      <v xml:space="preserve">Wikipedia	travel.state.gov	</v>
      <v xml:space="preserve">CC-BY-SA		</v>
      <v xml:space="preserve">http://en.wikipedia.org/wiki/North_Korea	https://travel.state.gov/content/travel/en/international-travel/International-Travel-Country-Information-Pages/KoreaDemocraticPeoplesRepublicof.html	</v>
      <v xml:space="preserve">http://creativecommons.org/licenses/by-sa/3.0/		</v>
    </spb>
    <spb s="0">
      <v xml:space="preserve">Wikipedia	</v>
      <v xml:space="preserve">CC BY-SA 3.0	</v>
      <v xml:space="preserve">https://en.wikipedia.org/wiki/North_Korea	</v>
      <v xml:space="preserve">https://creativecommons.org/licenses/by-sa/3.0	</v>
    </spb>
    <spb s="0">
      <v xml:space="preserve">Wikipedia	</v>
      <v xml:space="preserve">CC-BY-SA	</v>
      <v xml:space="preserve">http://en.wikipedia.org/wiki/North_Korea	</v>
      <v xml:space="preserve">http://creativecommons.org/licenses/by-sa/3.0/	</v>
    </spb>
    <spb s="0">
      <v xml:space="preserve">Wikipedia	Cia	travel.state.gov	</v>
      <v xml:space="preserve">CC-BY-SA			</v>
      <v xml:space="preserve">http://en.wikipedia.org/wiki/North_Korea	https://www.cia.gov/library/publications/the-world-factbook/geos/kn.html?Transportation	https://travel.state.gov/content/travel/en/international-travel/International-Travel-Country-Information-Pages/KoreaDemocraticPeoplesRepublicof.html	</v>
      <v xml:space="preserve">http://creativecommons.org/licenses/by-sa/3.0/			</v>
    </spb>
    <spb s="0">
      <v xml:space="preserve">Cia	</v>
      <v xml:space="preserve">	</v>
      <v xml:space="preserve">https://www.cia.gov/library/publications/the-world-factbook/geos/kn.html?Transportation	</v>
      <v xml:space="preserve">	</v>
    </spb>
    <spb s="77">
      <v>599</v>
      <v>600</v>
      <v>600</v>
      <v>3</v>
      <v>600</v>
      <v>600</v>
      <v>600</v>
      <v>601</v>
      <v>600</v>
      <v>600</v>
      <v>600</v>
      <v>600</v>
      <v>6</v>
      <v>602</v>
      <v>8</v>
      <v>600</v>
      <v>9</v>
      <v>10</v>
      <v>11</v>
      <v>603</v>
      <v>603</v>
      <v>600</v>
      <v>603</v>
      <v>12</v>
      <v>13</v>
      <v>14</v>
      <v>15</v>
      <v>603</v>
      <v>603</v>
      <v>603</v>
      <v>16</v>
    </spb>
    <spb s="2">
      <v>56</v>
      <v>Name</v>
      <v>LearnMoreOnLink</v>
    </spb>
    <spb s="78">
      <v>2018</v>
      <v>square km</v>
      <v>per thousand (2018)</v>
      <v>2022</v>
      <v>2018</v>
      <v>per liter (2016)</v>
      <v>years (2018)</v>
      <v>per thousand (2018)</v>
      <v>2019</v>
      <v>2017</v>
      <v>2016</v>
      <v>2019</v>
      <v>2016</v>
      <v>2017</v>
      <v>kilotons per year (2016)</v>
      <v>deaths per 100,000 (2017)</v>
      <v>kWh (2014)</v>
      <v>2014</v>
      <v>2018</v>
      <v>2018</v>
      <v>2019</v>
    </spb>
    <spb s="0">
      <v xml:space="preserve">Wikipedia	</v>
      <v xml:space="preserve">CC BY-SA 3.0	</v>
      <v xml:space="preserve">https://en.wikipedia.org/wiki/Pyongyang	</v>
      <v xml:space="preserve">https://creativecommons.org/licenses/by-sa/3.0	</v>
    </spb>
    <spb s="0">
      <v xml:space="preserve">Wikipedia	</v>
      <v xml:space="preserve">CC-BY-SA	</v>
      <v xml:space="preserve">http://en.wikipedia.org/wiki/Pyongyang	</v>
      <v xml:space="preserve">http://creativecommons.org/licenses/by-sa/3.0/	</v>
    </spb>
    <spb s="32">
      <v>607</v>
      <v>607</v>
      <v>607</v>
      <v>607</v>
      <v>607</v>
      <v>608</v>
      <v>607</v>
    </spb>
    <spb s="0">
      <v xml:space="preserve">Wikipedia	Wikipedia	travel.state.gov	</v>
      <v xml:space="preserve">CC-BY-SA	CC-BY-SA		</v>
      <v xml:space="preserve">http://en.wikipedia.org/wiki/Republic_of_Macedonia	http://en.wikipedia.org/wiki/North_Macedonia	https://travel.state.gov/content/travel/en/international-travel/International-Travel-Country-Information-Pages/Macedonia.html	</v>
      <v xml:space="preserve">http://creativecommons.org/licenses/by-sa/3.0/	http://creativecommons.org/licenses/by-sa/3.0/		</v>
    </spb>
    <spb s="0">
      <v xml:space="preserve">Wikipedia	</v>
      <v xml:space="preserve">CC BY-SA 3.0	</v>
      <v xml:space="preserve">https://en.wikipedia.org/wiki/North_Macedonia	</v>
      <v xml:space="preserve">https://creativecommons.org/licenses/by-sa/3.0	</v>
    </spb>
    <spb s="0">
      <v xml:space="preserve">Cia	</v>
      <v xml:space="preserve">	</v>
      <v xml:space="preserve">https://www.cia.gov/library/publications/the-world-factbook/geos/mk.html?Transportation	</v>
      <v xml:space="preserve">	</v>
    </spb>
    <spb s="79">
      <v>610</v>
      <v>611</v>
      <v>611</v>
      <v>611</v>
      <v>611</v>
      <v>611</v>
      <v>611</v>
      <v>611</v>
      <v>611</v>
      <v>611</v>
      <v>611</v>
      <v>611</v>
      <v>612</v>
    </spb>
    <spb s="2">
      <v>57</v>
      <v>Name</v>
      <v>LearnMoreOnLink</v>
    </spb>
    <spb s="80">
      <v>2013</v>
      <v>square km</v>
      <v>2022</v>
      <v>2015</v>
    </spb>
    <spb s="0">
      <v xml:space="preserve">Wikipedia	</v>
      <v xml:space="preserve">CC BY-SA 3.0	</v>
      <v xml:space="preserve">https://en.wikipedia.org/wiki/Skopje	</v>
      <v xml:space="preserve">https://creativecommons.org/licenses/by-sa/3.0	</v>
    </spb>
    <spb s="0">
      <v xml:space="preserve">Wikipedia	</v>
      <v xml:space="preserve">CC-BY-SA	</v>
      <v xml:space="preserve">http://en.wikipedia.org/wiki/Skopje	</v>
      <v xml:space="preserve">http://creativecommons.org/licenses/by-sa/3.0/	</v>
    </spb>
    <spb s="32">
      <v>616</v>
      <v>616</v>
      <v>616</v>
      <v>616</v>
      <v>616</v>
      <v>617</v>
      <v>616</v>
    </spb>
    <spb s="2">
      <v>58</v>
      <v>Name</v>
      <v>LearnMoreOnLink</v>
    </spb>
    <spb s="75">
      <v>1</v>
      <v>40</v>
      <v>40</v>
      <v>11</v>
      <v>40</v>
      <v>40</v>
      <v>40</v>
      <v>14</v>
      <v>5</v>
    </spb>
    <spb s="0">
      <v xml:space="preserve">Wikipedia	Cia	travel.state.gov	</v>
      <v xml:space="preserve">CC-BY-SA			</v>
      <v xml:space="preserve">http://en.wikipedia.org/wiki/Norway	https://www.cia.gov/library/publications/the-world-factbook/geos/no.html?Transportation	https://travel.state.gov/content/travel/en/international-travel/International-Travel-Country-Information-Pages/Norway.html	</v>
      <v xml:space="preserve">http://creativecommons.org/licenses/by-sa/3.0/			</v>
    </spb>
    <spb s="0">
      <v xml:space="preserve">Wikipedia	</v>
      <v xml:space="preserve">CC BY-SA 3.0	</v>
      <v xml:space="preserve">https://en.wikipedia.org/wiki/Norway	</v>
      <v xml:space="preserve">https://creativecommons.org/licenses/by-sa/3.0	</v>
    </spb>
    <spb s="0">
      <v xml:space="preserve">Wikipedia	</v>
      <v xml:space="preserve">CC-BY-SA	</v>
      <v xml:space="preserve">http://en.wikipedia.org/wiki/Norway	</v>
      <v xml:space="preserve">http://creativecommons.org/licenses/by-sa/3.0/	</v>
    </spb>
    <spb s="0">
      <v xml:space="preserve">Cia	</v>
      <v xml:space="preserve">	</v>
      <v xml:space="preserve">https://www.cia.gov/library/publications/the-world-factbook/geos/no.html?Transportation	</v>
      <v xml:space="preserve">	</v>
    </spb>
    <spb s="28">
      <v>0</v>
      <v>621</v>
      <v>622</v>
      <v>622</v>
      <v>3</v>
      <v>622</v>
      <v>622</v>
      <v>622</v>
      <v>623</v>
      <v>622</v>
      <v>622</v>
      <v>622</v>
      <v>622</v>
      <v>624</v>
      <v>6</v>
      <v>621</v>
      <v>624</v>
      <v>8</v>
      <v>622</v>
      <v>624</v>
      <v>9</v>
      <v>10</v>
      <v>11</v>
      <v>624</v>
      <v>624</v>
      <v>622</v>
      <v>624</v>
      <v>12</v>
      <v>13</v>
      <v>14</v>
      <v>15</v>
      <v>624</v>
      <v>621</v>
      <v>624</v>
      <v>624</v>
      <v>624</v>
      <v>624</v>
      <v>624</v>
      <v>624</v>
      <v>624</v>
      <v>624</v>
      <v>624</v>
      <v>624</v>
      <v>16</v>
    </spb>
    <spb s="2">
      <v>59</v>
      <v>Name</v>
      <v>LearnMoreOnLink</v>
    </spb>
    <spb s="7">
      <v>2019</v>
      <v>2019</v>
      <v>square km</v>
      <v>per thousand (2018)</v>
      <v>2022</v>
      <v>2019</v>
      <v>2018</v>
      <v>per liter (2016)</v>
      <v>2019</v>
      <v>years (2018)</v>
      <v>2018</v>
      <v>per thousand (2018)</v>
      <v>2019</v>
      <v>2017</v>
      <v>2016</v>
      <v>2019</v>
      <v>2016</v>
      <v>2018</v>
      <v>kilotons per year (2016)</v>
      <v>deaths per 100,000 (2017)</v>
      <v>kWh (2014)</v>
      <v>2015</v>
      <v>2019</v>
      <v>2017</v>
      <v>2017</v>
      <v>2017</v>
      <v>2017</v>
      <v>2017</v>
      <v>2015</v>
      <v>2017</v>
      <v>2017</v>
      <v>2017</v>
      <v>2017</v>
      <v>2019</v>
    </spb>
    <spb s="0">
      <v xml:space="preserve">Wikipedia	</v>
      <v xml:space="preserve">CC BY-SA 3.0	</v>
      <v xml:space="preserve">https://en.wikipedia.org/wiki/Oslo	</v>
      <v xml:space="preserve">https://creativecommons.org/licenses/by-sa/3.0	</v>
    </spb>
    <spb s="0">
      <v xml:space="preserve">Wikipedia	</v>
      <v xml:space="preserve">CC-BY-SA	</v>
      <v xml:space="preserve">http://en.wikipedia.org/wiki/Oslo	</v>
      <v xml:space="preserve">http://creativecommons.org/licenses/by-sa/3.0/	</v>
    </spb>
    <spb s="32">
      <v>628</v>
      <v>628</v>
      <v>628</v>
      <v>628</v>
      <v>628</v>
      <v>629</v>
      <v>628</v>
    </spb>
    <spb s="2">
      <v>60</v>
      <v>Name</v>
      <v>LearnMoreOnLink</v>
    </spb>
    <spb s="81">
      <v>15</v>
      <v>7</v>
      <v>7</v>
      <v>15</v>
      <v>1</v>
      <v>15</v>
      <v>15</v>
      <v>15</v>
      <v>4</v>
      <v>4</v>
      <v>11</v>
      <v>10</v>
      <v>15</v>
      <v>4</v>
      <v>14</v>
      <v>6</v>
      <v>5</v>
      <v>4</v>
    </spb>
    <spb s="0">
      <v xml:space="preserve">Wikipedia	Cia	travel.state.gov	</v>
      <v xml:space="preserve">CC-BY-SA			</v>
      <v xml:space="preserve">http://en.wikipedia.org/wiki/Oman	https://www.cia.gov/library/publications/the-world-factbook/geos/mu.html?Transportation	https://travel.state.gov/content/travel/en/international-travel/International-Travel-Country-Information-Pages/Oman.html	</v>
      <v xml:space="preserve">http://creativecommons.org/licenses/by-sa/3.0/			</v>
    </spb>
    <spb s="0">
      <v xml:space="preserve">Wikipedia	</v>
      <v xml:space="preserve">CC BY-SA 3.0	</v>
      <v xml:space="preserve">https://en.wikipedia.org/wiki/Oman	</v>
      <v xml:space="preserve">https://creativecommons.org/licenses/by-sa/3.0	</v>
    </spb>
    <spb s="0">
      <v xml:space="preserve">Wikipedia	</v>
      <v xml:space="preserve">CC-BY-SA	</v>
      <v xml:space="preserve">http://en.wikipedia.org/wiki/Oman	</v>
      <v xml:space="preserve">http://creativecommons.org/licenses/by-sa/3.0/	</v>
    </spb>
    <spb s="0">
      <v xml:space="preserve">Cia	</v>
      <v xml:space="preserve">	</v>
      <v xml:space="preserve">https://www.cia.gov/library/publications/the-world-factbook/geos/mu.html?Transportation	</v>
      <v xml:space="preserve">	</v>
    </spb>
    <spb s="40">
      <v>0</v>
      <v>633</v>
      <v>634</v>
      <v>634</v>
      <v>3</v>
      <v>634</v>
      <v>634</v>
      <v>634</v>
      <v>635</v>
      <v>634</v>
      <v>634</v>
      <v>635</v>
      <v>634</v>
      <v>634</v>
      <v>636</v>
      <v>6</v>
      <v>633</v>
      <v>636</v>
      <v>8</v>
      <v>634</v>
      <v>636</v>
      <v>9</v>
      <v>10</v>
      <v>11</v>
      <v>636</v>
      <v>636</v>
      <v>634</v>
      <v>636</v>
      <v>12</v>
      <v>13</v>
      <v>14</v>
      <v>15</v>
      <v>636</v>
      <v>633</v>
      <v>636</v>
      <v>636</v>
      <v>636</v>
      <v>16</v>
    </spb>
    <spb s="41">
      <v>2019</v>
      <v>2019</v>
      <v>square km</v>
      <v>per thousand (2018)</v>
      <v>2022</v>
      <v>2019</v>
      <v>2018</v>
      <v>per liter (2016)</v>
      <v>2019</v>
      <v>years (2018)</v>
      <v>2013</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https://en.wikipedia.org/wiki/Muscat	</v>
      <v xml:space="preserve">https://creativecommons.org/licenses/by-sa/3.0	</v>
    </spb>
    <spb s="22">
      <v>639</v>
      <v>639</v>
      <v>639</v>
      <v>639</v>
      <v>639</v>
      <v>639</v>
      <v>639</v>
      <v>639</v>
      <v>639</v>
    </spb>
    <spb s="13">
      <v>41</v>
      <v>41</v>
      <v>1</v>
      <v>41</v>
      <v>41</v>
      <v>41</v>
      <v>11</v>
      <v>41</v>
      <v>41</v>
      <v>41</v>
      <v>14</v>
      <v>5</v>
    </spb>
    <spb s="0">
      <v xml:space="preserve">Wikipedia	travel.state.gov	</v>
      <v xml:space="preserve">CC-BY-SA		</v>
      <v xml:space="preserve">http://en.wikipedia.org/wiki/Pakistan	https://travel.state.gov/content/travel/en/international-travel/International-Travel-Country-Information-Pages/Pakistan.html	</v>
      <v xml:space="preserve">http://creativecommons.org/licenses/by-sa/3.0/		</v>
    </spb>
    <spb s="0">
      <v xml:space="preserve">Wikipedia	</v>
      <v xml:space="preserve">CC BY-SA 3.0	</v>
      <v xml:space="preserve">https://en.wikipedia.org/wiki/Pakistan	</v>
      <v xml:space="preserve">https://creativecommons.org/licenses/by-sa/3.0	</v>
    </spb>
    <spb s="0">
      <v xml:space="preserve">Wikipedia	</v>
      <v xml:space="preserve">CC-BY-SA	</v>
      <v xml:space="preserve">http://en.wikipedia.org/wiki/Pakistan	</v>
      <v xml:space="preserve">http://creativecommons.org/licenses/by-sa/3.0/	</v>
    </spb>
    <spb s="0">
      <v xml:space="preserve">Cia	</v>
      <v xml:space="preserve">	</v>
      <v xml:space="preserve">https://www.cia.gov/library/publications/the-world-factbook/geos/pk.html?Transportation	</v>
      <v xml:space="preserve">	</v>
    </spb>
    <spb s="0">
      <v xml:space="preserve">Wikipedia	Cia	travel.state.gov	</v>
      <v xml:space="preserve">CC-BY-SA			</v>
      <v xml:space="preserve">http://en.wikipedia.org/wiki/Pakistan	https://www.cia.gov/library/publications/the-world-factbook/geos/pk.html?Transportation	https://travel.state.gov/content/travel/en/international-travel/International-Travel-Country-Information-Pages/Pakistan.html	</v>
      <v xml:space="preserve">http://creativecommons.org/licenses/by-sa/3.0/			</v>
    </spb>
    <spb s="1">
      <v>0</v>
      <v>642</v>
      <v>643</v>
      <v>643</v>
      <v>3</v>
      <v>643</v>
      <v>643</v>
      <v>643</v>
      <v>644</v>
      <v>643</v>
      <v>643</v>
      <v>644</v>
      <v>643</v>
      <v>643</v>
      <v>645</v>
      <v>6</v>
      <v>646</v>
      <v>645</v>
      <v>8</v>
      <v>643</v>
      <v>645</v>
      <v>9</v>
      <v>10</v>
      <v>11</v>
      <v>645</v>
      <v>645</v>
      <v>643</v>
      <v>645</v>
      <v>12</v>
      <v>13</v>
      <v>14</v>
      <v>15</v>
      <v>645</v>
      <v>646</v>
      <v>645</v>
      <v>645</v>
      <v>645</v>
      <v>645</v>
      <v>645</v>
      <v>645</v>
      <v>645</v>
      <v>645</v>
      <v>645</v>
      <v>645</v>
      <v>16</v>
    </spb>
    <spb s="7">
      <v>2019</v>
      <v>2017</v>
      <v>square km</v>
      <v>per thousand (2018)</v>
      <v>2022</v>
      <v>2019</v>
      <v>2018</v>
      <v>per liter (2016)</v>
      <v>2019</v>
      <v>years (2018)</v>
      <v>2011</v>
      <v>per thousand (2018)</v>
      <v>2019</v>
      <v>2017</v>
      <v>2016</v>
      <v>2019</v>
      <v>2016</v>
      <v>2018</v>
      <v>kilotons per year (2016)</v>
      <v>deaths per 100,000 (2017)</v>
      <v>kWh (2014)</v>
      <v>2014</v>
      <v>2016</v>
      <v>2015</v>
      <v>2015</v>
      <v>2015</v>
      <v>2015</v>
      <v>2015</v>
      <v>2015</v>
      <v>2015</v>
      <v>2015</v>
      <v>2018</v>
      <v>2018</v>
      <v>2019</v>
    </spb>
    <spb s="0">
      <v xml:space="preserve">Wikipedia	</v>
      <v xml:space="preserve">CC BY-SA 3.0	</v>
      <v xml:space="preserve">https://en.wikipedia.org/wiki/Islamabad	</v>
      <v xml:space="preserve">https://creativecommons.org/licenses/by-sa/3.0	</v>
    </spb>
    <spb s="22">
      <v>649</v>
      <v>649</v>
      <v>649</v>
      <v>649</v>
      <v>649</v>
      <v>649</v>
      <v>649</v>
      <v>649</v>
      <v>649</v>
    </spb>
    <spb s="10">
      <v>square km</v>
      <v>2017</v>
    </spb>
    <spb s="0">
      <v xml:space="preserve">Wikipedia	</v>
      <v xml:space="preserve">CC BY-SA 3.0	</v>
      <v xml:space="preserve">https://en.wikipedia.org/wiki/Karachi	</v>
      <v xml:space="preserve">https://creativecommons.org/licenses/by-sa/3.0	</v>
    </spb>
    <spb s="22">
      <v>652</v>
      <v>652</v>
      <v>652</v>
      <v>652</v>
      <v>652</v>
      <v>652</v>
      <v>652</v>
      <v>652</v>
      <v>652</v>
    </spb>
    <spb s="0">
      <v xml:space="preserve">Wikipedia	Cia	travel.state.gov	</v>
      <v xml:space="preserve">CC-BY-SA			</v>
      <v xml:space="preserve">http://en.wikipedia.org/wiki/Palau	https://www.cia.gov/library/publications/the-world-factbook/geos/ps.html?Transportation	https://travel.state.gov/content/travel/en/international-travel/International-Travel-Country-Information-Pages/Palau.html	</v>
      <v xml:space="preserve">http://creativecommons.org/licenses/by-sa/3.0/			</v>
    </spb>
    <spb s="0">
      <v xml:space="preserve">Wikipedia	</v>
      <v xml:space="preserve">CC BY-SA 3.0	</v>
      <v xml:space="preserve">https://en.wikipedia.org/wiki/Palau	</v>
      <v xml:space="preserve">https://creativecommons.org/licenses/by-sa/3.0	</v>
    </spb>
    <spb s="0">
      <v xml:space="preserve">Wikipedia	</v>
      <v xml:space="preserve">CC-BY-SA	</v>
      <v xml:space="preserve">http://en.wikipedia.org/wiki/Palau	</v>
      <v xml:space="preserve">http://creativecommons.org/licenses/by-sa/3.0/	</v>
    </spb>
    <spb s="0">
      <v xml:space="preserve">Cia	</v>
      <v xml:space="preserve">	</v>
      <v xml:space="preserve">https://www.cia.gov/library/publications/the-world-factbook/geos/ps.html?Transportation	</v>
      <v xml:space="preserve">	</v>
    </spb>
    <spb s="82">
      <v>0</v>
      <v>654</v>
      <v>655</v>
      <v>655</v>
      <v>3</v>
      <v>655</v>
      <v>655</v>
      <v>655</v>
      <v>656</v>
      <v>655</v>
      <v>655</v>
      <v>656</v>
      <v>655</v>
      <v>655</v>
      <v>657</v>
      <v>6</v>
      <v>657</v>
      <v>8</v>
      <v>655</v>
      <v>657</v>
      <v>9</v>
      <v>10</v>
      <v>657</v>
      <v>655</v>
      <v>657</v>
      <v>12</v>
      <v>13</v>
      <v>657</v>
      <v>657</v>
      <v>657</v>
      <v>657</v>
    </spb>
    <spb s="2">
      <v>61</v>
      <v>Name</v>
      <v>LearnMoreOnLink</v>
    </spb>
    <spb s="83">
      <v>2017</v>
      <v>2018</v>
      <v>square km</v>
      <v>per thousand (2018)</v>
      <v>2022</v>
      <v>2017</v>
      <v>2015</v>
      <v>2019</v>
      <v>years (2005)</v>
      <v>2018</v>
      <v>per thousand (2018)</v>
      <v>2019</v>
      <v>2016</v>
      <v>2016</v>
      <v>2014</v>
      <v>kilotons per year (2016)</v>
      <v>1990</v>
      <v>2015</v>
      <v>2014</v>
      <v>2013</v>
    </spb>
    <spb s="0">
      <v xml:space="preserve">Wikipedia	</v>
      <v xml:space="preserve">CC-BY-SA	</v>
      <v xml:space="preserve">http://en.wikipedia.org/wiki/Ngerulmud	</v>
      <v xml:space="preserve">http://creativecommons.org/licenses/by-sa/3.0/	</v>
    </spb>
    <spb s="0">
      <v xml:space="preserve">Wikipedia	</v>
      <v xml:space="preserve">CC BY-SA 3.0	</v>
      <v xml:space="preserve">https://en.wikipedia.org/wiki/Ngerulmud	</v>
      <v xml:space="preserve">https://creativecommons.org/licenses/by-sa/3.0	</v>
    </spb>
    <spb s="84">
      <v>661</v>
      <v>662</v>
      <v>662</v>
      <v>662</v>
      <v>662</v>
      <v>662</v>
      <v>662</v>
    </spb>
    <spb s="2">
      <v>62</v>
      <v>Name</v>
      <v>LearnMoreOnLink</v>
    </spb>
    <spb s="85">
      <v>square km</v>
    </spb>
    <spb s="13">
      <v>42</v>
      <v>42</v>
      <v>1</v>
      <v>42</v>
      <v>42</v>
      <v>42</v>
      <v>11</v>
      <v>42</v>
      <v>42</v>
      <v>42</v>
      <v>14</v>
      <v>5</v>
    </spb>
    <spb s="0">
      <v xml:space="preserve">Wikipedia	Cia	travel.state.gov	</v>
      <v xml:space="preserve">CC-BY-SA			</v>
      <v xml:space="preserve">http://en.wikipedia.org/wiki/Panama	https://www.cia.gov/library/publications/the-world-factbook/geos/pm.html?Transportation	https://travel.state.gov/content/travel/en/international-travel/International-Travel-Country-Information-Pages/Panama.html	</v>
      <v xml:space="preserve">http://creativecommons.org/licenses/by-sa/3.0/			</v>
    </spb>
    <spb s="0">
      <v xml:space="preserve">Wikipedia	</v>
      <v xml:space="preserve">CC BY-SA 3.0	</v>
      <v xml:space="preserve">https://en.wikipedia.org/wiki/Panama	</v>
      <v xml:space="preserve">https://creativecommons.org/licenses/by-sa/3.0	</v>
    </spb>
    <spb s="0">
      <v xml:space="preserve">Wikipedia	</v>
      <v xml:space="preserve">CC-BY-SA	</v>
      <v xml:space="preserve">http://en.wikipedia.org/wiki/Panama	</v>
      <v xml:space="preserve">http://creativecommons.org/licenses/by-sa/3.0/	</v>
    </spb>
    <spb s="0">
      <v xml:space="preserve">Cia	</v>
      <v xml:space="preserve">	</v>
      <v xml:space="preserve">https://www.cia.gov/library/publications/the-world-factbook/geos/pm.html?Transportation	</v>
      <v xml:space="preserve">	</v>
    </spb>
    <spb s="73">
      <v>0</v>
      <v>667</v>
      <v>668</v>
      <v>668</v>
      <v>3</v>
      <v>668</v>
      <v>668</v>
      <v>668</v>
      <v>669</v>
      <v>668</v>
      <v>668</v>
      <v>669</v>
      <v>668</v>
      <v>668</v>
      <v>670</v>
      <v>6</v>
      <v>667</v>
      <v>670</v>
      <v>8</v>
      <v>668</v>
      <v>9</v>
      <v>10</v>
      <v>11</v>
      <v>670</v>
      <v>670</v>
      <v>668</v>
      <v>670</v>
      <v>12</v>
      <v>13</v>
      <v>14</v>
      <v>15</v>
      <v>670</v>
      <v>667</v>
      <v>670</v>
      <v>670</v>
      <v>670</v>
      <v>670</v>
      <v>670</v>
      <v>670</v>
      <v>670</v>
      <v>670</v>
      <v>670</v>
      <v>670</v>
      <v>16</v>
    </spb>
    <spb s="2">
      <v>63</v>
      <v>Name</v>
      <v>LearnMoreOnLink</v>
    </spb>
    <spb s="74">
      <v>2019</v>
      <v>2019</v>
      <v>square km</v>
      <v>per thousand (2018)</v>
      <v>2022</v>
      <v>2019</v>
      <v>2018</v>
      <v>per liter (2016)</v>
      <v>2019</v>
      <v>years (2018)</v>
      <v>per thousand (2018)</v>
      <v>2019</v>
      <v>2017</v>
      <v>2016</v>
      <v>2019</v>
      <v>2016</v>
      <v>2016</v>
      <v>kilotons per year (2016)</v>
      <v>deaths per 100,000 (2017)</v>
      <v>kWh (2014)</v>
      <v>2014</v>
      <v>2019</v>
      <v>2018</v>
      <v>2018</v>
      <v>2018</v>
      <v>2018</v>
      <v>2018</v>
      <v>2015</v>
      <v>2018</v>
      <v>2018</v>
      <v>2017</v>
      <v>2016</v>
      <v>2019</v>
    </spb>
    <spb s="0">
      <v xml:space="preserve">Wikipedia	</v>
      <v xml:space="preserve">CC BY-SA 3.0	</v>
      <v xml:space="preserve">https://en.wikipedia.org/wiki/Panama_City	</v>
      <v xml:space="preserve">https://creativecommons.org/licenses/by-sa/3.0	</v>
    </spb>
    <spb s="29">
      <v>674</v>
      <v>674</v>
      <v>674</v>
      <v>674</v>
      <v>674</v>
      <v>674</v>
      <v>674</v>
      <v>674</v>
      <v>674</v>
      <v>674</v>
    </spb>
    <spb s="0">
      <v xml:space="preserve">Wikipedia	Cia	travel.state.gov	</v>
      <v xml:space="preserve">CC-BY-SA			</v>
      <v xml:space="preserve">http://en.wikipedia.org/wiki/Papua_New_Guinea	https://www.cia.gov/library/publications/the-world-factbook/geos/pp.html?Transportation	https://travel.state.gov/content/travel/en/international-travel/International-Travel-Country-Information-Pages/PapuaNewGuinea.html	</v>
      <v xml:space="preserve">http://creativecommons.org/licenses/by-sa/3.0/			</v>
    </spb>
    <spb s="0">
      <v xml:space="preserve">Wikipedia	</v>
      <v xml:space="preserve">CC BY-SA 3.0	</v>
      <v xml:space="preserve">https://en.wikipedia.org/wiki/Papua_New_Guinea	</v>
      <v xml:space="preserve">https://creativecommons.org/licenses/by-sa/3.0	</v>
    </spb>
    <spb s="0">
      <v xml:space="preserve">Wikipedia	</v>
      <v xml:space="preserve">CC-BY-SA	</v>
      <v xml:space="preserve">http://en.wikipedia.org/wiki/Papua_New_Guinea	</v>
      <v xml:space="preserve">http://creativecommons.org/licenses/by-sa/3.0/	</v>
    </spb>
    <spb s="0">
      <v xml:space="preserve">Cia	</v>
      <v xml:space="preserve">	</v>
      <v xml:space="preserve">https://www.cia.gov/library/publications/the-world-factbook/geos/pp.html?Transportation	</v>
      <v xml:space="preserve">	</v>
    </spb>
    <spb s="86">
      <v>0</v>
      <v>676</v>
      <v>677</v>
      <v>677</v>
      <v>3</v>
      <v>677</v>
      <v>677</v>
      <v>677</v>
      <v>678</v>
      <v>677</v>
      <v>677</v>
      <v>678</v>
      <v>677</v>
      <v>677</v>
      <v>679</v>
      <v>6</v>
      <v>676</v>
      <v>679</v>
      <v>8</v>
      <v>677</v>
      <v>679</v>
      <v>9</v>
      <v>10</v>
      <v>11</v>
      <v>679</v>
      <v>679</v>
      <v>677</v>
      <v>679</v>
      <v>12</v>
      <v>13</v>
      <v>14</v>
      <v>676</v>
      <v>679</v>
      <v>679</v>
      <v>679</v>
      <v>679</v>
      <v>679</v>
      <v>679</v>
      <v>679</v>
      <v>679</v>
      <v>679</v>
      <v>679</v>
      <v>16</v>
    </spb>
    <spb s="2">
      <v>64</v>
      <v>Name</v>
      <v>LearnMoreOnLink</v>
    </spb>
    <spb s="87">
      <v>2019</v>
      <v>2019</v>
      <v>square km</v>
      <v>per thousand (2018)</v>
      <v>2022</v>
      <v>2019</v>
      <v>2018</v>
      <v>per liter (2014)</v>
      <v>2019</v>
      <v>years (2018)</v>
      <v>2018</v>
      <v>per thousand (2018)</v>
      <v>2019</v>
      <v>2017</v>
      <v>2016</v>
      <v>2019</v>
      <v>2016</v>
      <v>2018</v>
      <v>kilotons per year (2016)</v>
      <v>deaths per 100,000 (2017)</v>
      <v>2011</v>
      <v>2009</v>
      <v>2009</v>
      <v>2009</v>
      <v>2009</v>
      <v>2009</v>
      <v>2015</v>
      <v>2009</v>
      <v>2009</v>
      <v>2016</v>
      <v>1999</v>
      <v>2019</v>
    </spb>
    <spb s="0">
      <v xml:space="preserve">Wikipedia	</v>
      <v xml:space="preserve">CC BY-SA 3.0	</v>
      <v xml:space="preserve">https://en.wikipedia.org/wiki/Port_Moresby	</v>
      <v xml:space="preserve">https://creativecommons.org/licenses/by-sa/3.0	</v>
    </spb>
    <spb s="9">
      <v>683</v>
      <v>683</v>
      <v>683</v>
      <v>683</v>
      <v>683</v>
      <v>683</v>
      <v>683</v>
      <v>683</v>
    </spb>
    <spb s="13">
      <v>43</v>
      <v>43</v>
      <v>1</v>
      <v>43</v>
      <v>43</v>
      <v>43</v>
      <v>11</v>
      <v>43</v>
      <v>43</v>
      <v>43</v>
      <v>14</v>
      <v>5</v>
    </spb>
    <spb s="0">
      <v xml:space="preserve">Wikipedia	Cia	travel.state.gov	</v>
      <v xml:space="preserve">CC-BY-SA			</v>
      <v xml:space="preserve">http://en.wikipedia.org/wiki/Paraguay	https://www.cia.gov/library/publications/the-world-factbook/geos/pa.html?Transportation	https://travel.state.gov/content/travel/en/international-travel/International-Travel-Country-Information-Pages/Paraguay.html	</v>
      <v xml:space="preserve">http://creativecommons.org/licenses/by-sa/3.0/			</v>
    </spb>
    <spb s="0">
      <v xml:space="preserve">Wikipedia	</v>
      <v xml:space="preserve">CC BY-SA 3.0	</v>
      <v xml:space="preserve">https://en.wikipedia.org/wiki/Paraguay	</v>
      <v xml:space="preserve">https://creativecommons.org/licenses/by-sa/3.0	</v>
    </spb>
    <spb s="0">
      <v xml:space="preserve">Wikipedia	</v>
      <v xml:space="preserve">CC-BY-SA	</v>
      <v xml:space="preserve">http://en.wikipedia.org/wiki/Paraguay	</v>
      <v xml:space="preserve">http://creativecommons.org/licenses/by-sa/3.0/	</v>
    </spb>
    <spb s="0">
      <v xml:space="preserve">Cia	</v>
      <v xml:space="preserve">	</v>
      <v xml:space="preserve">https://www.cia.gov/library/publications/the-world-factbook/geos/pa.html?Transportation	</v>
      <v xml:space="preserve">	</v>
    </spb>
    <spb s="1">
      <v>0</v>
      <v>686</v>
      <v>687</v>
      <v>687</v>
      <v>3</v>
      <v>687</v>
      <v>687</v>
      <v>687</v>
      <v>688</v>
      <v>687</v>
      <v>687</v>
      <v>688</v>
      <v>687</v>
      <v>687</v>
      <v>689</v>
      <v>6</v>
      <v>686</v>
      <v>689</v>
      <v>8</v>
      <v>687</v>
      <v>689</v>
      <v>9</v>
      <v>10</v>
      <v>11</v>
      <v>689</v>
      <v>689</v>
      <v>687</v>
      <v>689</v>
      <v>12</v>
      <v>13</v>
      <v>14</v>
      <v>15</v>
      <v>689</v>
      <v>686</v>
      <v>689</v>
      <v>689</v>
      <v>689</v>
      <v>689</v>
      <v>689</v>
      <v>689</v>
      <v>689</v>
      <v>689</v>
      <v>689</v>
      <v>689</v>
      <v>16</v>
    </spb>
    <spb s="7">
      <v>2019</v>
      <v>2019</v>
      <v>square km</v>
      <v>per thousand (2018)</v>
      <v>2022</v>
      <v>2019</v>
      <v>2018</v>
      <v>per liter (2016)</v>
      <v>2019</v>
      <v>years (2018)</v>
      <v>2018</v>
      <v>per thousand (2018)</v>
      <v>2019</v>
      <v>2017</v>
      <v>2016</v>
      <v>2019</v>
      <v>2016</v>
      <v>2018</v>
      <v>kilotons per year (2016)</v>
      <v>deaths per 100,000 (2017)</v>
      <v>kWh (2014)</v>
      <v>2014</v>
      <v>1999</v>
      <v>2018</v>
      <v>2018</v>
      <v>2018</v>
      <v>2018</v>
      <v>2018</v>
      <v>2015</v>
      <v>2018</v>
      <v>2018</v>
      <v>2012</v>
      <v>2010</v>
      <v>2019</v>
    </spb>
    <spb s="0">
      <v xml:space="preserve">Wikipedia	</v>
      <v xml:space="preserve">CC BY-SA 3.0	</v>
      <v xml:space="preserve">https://en.wikipedia.org/wiki/Asunci%C3%B3n	</v>
      <v xml:space="preserve">https://creativecommons.org/licenses/by-sa/3.0	</v>
    </spb>
    <spb s="0">
      <v xml:space="preserve">Wikipedia	</v>
      <v xml:space="preserve">CC-BY-SA	</v>
      <v xml:space="preserve">http://en.wikipedia.org/wiki/Asunción	</v>
      <v xml:space="preserve">http://creativecommons.org/licenses/by-sa/3.0/	</v>
    </spb>
    <spb s="32">
      <v>692</v>
      <v>692</v>
      <v>692</v>
      <v>692</v>
      <v>692</v>
      <v>693</v>
      <v>692</v>
    </spb>
    <spb s="0">
      <v xml:space="preserve">Wikipedia	Cia	travel.state.gov	</v>
      <v xml:space="preserve">CC-BY-SA			</v>
      <v xml:space="preserve">http://en.wikipedia.org/wiki/Peru	https://www.cia.gov/library/publications/the-world-factbook/geos/pe.html?Transportation	https://travel.state.gov/content/travel/en/international-travel/International-Travel-Country-Information-Pages/Peru.html	</v>
      <v xml:space="preserve">http://creativecommons.org/licenses/by-sa/3.0/			</v>
    </spb>
    <spb s="0">
      <v xml:space="preserve">Wikipedia	</v>
      <v xml:space="preserve">CC BY-SA 3.0	</v>
      <v xml:space="preserve">https://en.wikipedia.org/wiki/Peru	</v>
      <v xml:space="preserve">https://creativecommons.org/licenses/by-sa/3.0	</v>
    </spb>
    <spb s="0">
      <v xml:space="preserve">Wikipedia	</v>
      <v xml:space="preserve">CC-BY-SA	</v>
      <v xml:space="preserve">http://en.wikipedia.org/wiki/Peru	</v>
      <v xml:space="preserve">http://creativecommons.org/licenses/by-sa/3.0/	</v>
    </spb>
    <spb s="0">
      <v xml:space="preserve">Cia	</v>
      <v xml:space="preserve">	</v>
      <v xml:space="preserve">https://www.cia.gov/library/publications/the-world-factbook/geos/pe.html?Transportation	</v>
      <v xml:space="preserve">	</v>
    </spb>
    <spb s="1">
      <v>0</v>
      <v>695</v>
      <v>696</v>
      <v>696</v>
      <v>3</v>
      <v>696</v>
      <v>696</v>
      <v>696</v>
      <v>697</v>
      <v>696</v>
      <v>696</v>
      <v>697</v>
      <v>696</v>
      <v>696</v>
      <v>698</v>
      <v>6</v>
      <v>695</v>
      <v>698</v>
      <v>8</v>
      <v>696</v>
      <v>698</v>
      <v>9</v>
      <v>10</v>
      <v>11</v>
      <v>698</v>
      <v>698</v>
      <v>696</v>
      <v>698</v>
      <v>12</v>
      <v>13</v>
      <v>14</v>
      <v>15</v>
      <v>698</v>
      <v>695</v>
      <v>698</v>
      <v>698</v>
      <v>698</v>
      <v>698</v>
      <v>698</v>
      <v>698</v>
      <v>698</v>
      <v>698</v>
      <v>698</v>
      <v>698</v>
      <v>16</v>
    </spb>
    <spb s="7">
      <v>2019</v>
      <v>2019</v>
      <v>square km</v>
      <v>per thousand (2018)</v>
      <v>2022</v>
      <v>2019</v>
      <v>2018</v>
      <v>per liter (2016)</v>
      <v>2019</v>
      <v>years (2018)</v>
      <v>2018</v>
      <v>per thousand (2018)</v>
      <v>2019</v>
      <v>2017</v>
      <v>2016</v>
      <v>2019</v>
      <v>2016</v>
      <v>2016</v>
      <v>kilotons per year (2016)</v>
      <v>deaths per 100,000 (2017)</v>
      <v>kWh (2014)</v>
      <v>2014</v>
      <v>2019</v>
      <v>2018</v>
      <v>2018</v>
      <v>2018</v>
      <v>2018</v>
      <v>2018</v>
      <v>2015</v>
      <v>2018</v>
      <v>2018</v>
      <v>2018</v>
      <v>2017</v>
      <v>2019</v>
    </spb>
    <spb s="0">
      <v xml:space="preserve">Wikipedia	</v>
      <v xml:space="preserve">CC BY-SA 3.0	</v>
      <v xml:space="preserve">https://en.wikipedia.org/wiki/Lima	</v>
      <v xml:space="preserve">https://creativecommons.org/licenses/by-sa/3.0	</v>
    </spb>
    <spb s="29">
      <v>701</v>
      <v>701</v>
      <v>701</v>
      <v>701</v>
      <v>701</v>
      <v>701</v>
      <v>701</v>
      <v>701</v>
      <v>701</v>
      <v>701</v>
    </spb>
    <spb s="0">
      <v xml:space="preserve">Wikipedia	Cia	travel.state.gov	</v>
      <v xml:space="preserve">CC-BY-SA			</v>
      <v xml:space="preserve">http://en.wikipedia.org/wiki/Philippines	https://www.cia.gov/library/publications/the-world-factbook/geos/rp.html?Transportation	https://travel.state.gov/content/travel/en/international-travel/International-Travel-Country-Information-Pages/Philippines.html	</v>
      <v xml:space="preserve">http://creativecommons.org/licenses/by-sa/3.0/			</v>
    </spb>
    <spb s="0">
      <v xml:space="preserve">Wikipedia	</v>
      <v xml:space="preserve">CC BY-SA 3.0	</v>
      <v xml:space="preserve">https://en.wikipedia.org/wiki/Philippines	</v>
      <v xml:space="preserve">https://creativecommons.org/licenses/by-sa/3.0	</v>
    </spb>
    <spb s="0">
      <v xml:space="preserve">Wikipedia	</v>
      <v xml:space="preserve">CC-BY-SA	</v>
      <v xml:space="preserve">http://en.wikipedia.org/wiki/Philippines	</v>
      <v xml:space="preserve">http://creativecommons.org/licenses/by-sa/3.0/	</v>
    </spb>
    <spb s="0">
      <v xml:space="preserve">Cia	</v>
      <v xml:space="preserve">	</v>
      <v xml:space="preserve">https://www.cia.gov/library/publications/the-world-factbook/geos/rp.html?Transportation	</v>
      <v xml:space="preserve">	</v>
    </spb>
    <spb s="1">
      <v>0</v>
      <v>703</v>
      <v>704</v>
      <v>704</v>
      <v>3</v>
      <v>704</v>
      <v>704</v>
      <v>704</v>
      <v>705</v>
      <v>704</v>
      <v>704</v>
      <v>705</v>
      <v>704</v>
      <v>704</v>
      <v>706</v>
      <v>6</v>
      <v>703</v>
      <v>706</v>
      <v>8</v>
      <v>704</v>
      <v>706</v>
      <v>9</v>
      <v>10</v>
      <v>11</v>
      <v>706</v>
      <v>706</v>
      <v>704</v>
      <v>706</v>
      <v>12</v>
      <v>13</v>
      <v>14</v>
      <v>15</v>
      <v>706</v>
      <v>703</v>
      <v>706</v>
      <v>706</v>
      <v>706</v>
      <v>706</v>
      <v>706</v>
      <v>706</v>
      <v>706</v>
      <v>706</v>
      <v>706</v>
      <v>706</v>
      <v>16</v>
    </spb>
    <spb s="7">
      <v>2019</v>
      <v>2019</v>
      <v>square km</v>
      <v>per thousand (2018)</v>
      <v>2022</v>
      <v>2019</v>
      <v>2018</v>
      <v>per liter (2016)</v>
      <v>2019</v>
      <v>years (2018)</v>
      <v>2018</v>
      <v>per thousand (2018)</v>
      <v>2019</v>
      <v>2017</v>
      <v>2016</v>
      <v>2019</v>
      <v>2016</v>
      <v>2017</v>
      <v>kilotons per year (2016)</v>
      <v>deaths per 100,000 (2017)</v>
      <v>kWh (2014)</v>
      <v>2014</v>
      <v>2019</v>
      <v>2015</v>
      <v>2015</v>
      <v>2015</v>
      <v>2015</v>
      <v>2015</v>
      <v>2015</v>
      <v>2015</v>
      <v>2015</v>
      <v>2017</v>
      <v>2017</v>
      <v>2019</v>
    </spb>
    <spb s="0">
      <v xml:space="preserve">Wikipedia	</v>
      <v xml:space="preserve">CC BY-SA 3.0	</v>
      <v xml:space="preserve">https://en.wikipedia.org/wiki/Manila	</v>
      <v xml:space="preserve">https://creativecommons.org/licenses/by-sa/3.0	</v>
    </spb>
    <spb s="22">
      <v>709</v>
      <v>709</v>
      <v>709</v>
      <v>709</v>
      <v>709</v>
      <v>709</v>
      <v>709</v>
      <v>709</v>
      <v>709</v>
    </spb>
    <spb s="0">
      <v xml:space="preserve">Wikipedia	</v>
      <v xml:space="preserve">CC BY-SA 3.0	</v>
      <v xml:space="preserve">https://en.wikipedia.org/wiki/Quezon_City	</v>
      <v xml:space="preserve">https://creativecommons.org/licenses/by-sa/3.0	</v>
    </spb>
    <spb s="22">
      <v>711</v>
      <v>711</v>
      <v>711</v>
      <v>711</v>
      <v>711</v>
      <v>711</v>
      <v>711</v>
      <v>711</v>
      <v>711</v>
    </spb>
    <spb s="0">
      <v xml:space="preserve">Wikipedia	Cia	travel.state.gov	</v>
      <v xml:space="preserve">CC-BY-SA			</v>
      <v xml:space="preserve">http://en.wikipedia.org/wiki/Poland	https://www.cia.gov/library/publications/the-world-factbook/geos/pl.html?Transportation	https://travel.state.gov/content/travel/en/international-travel/International-Travel-Country-Information-Pages/Poland.html	</v>
      <v xml:space="preserve">http://creativecommons.org/licenses/by-sa/3.0/			</v>
    </spb>
    <spb s="0">
      <v xml:space="preserve">Wikipedia	</v>
      <v xml:space="preserve">CC BY-SA 3.0	</v>
      <v xml:space="preserve">https://en.wikipedia.org/wiki/Poland	</v>
      <v xml:space="preserve">https://creativecommons.org/licenses/by-sa/3.0	</v>
    </spb>
    <spb s="0">
      <v xml:space="preserve">Wikipedia	</v>
      <v xml:space="preserve">CC-BY-SA	</v>
      <v xml:space="preserve">http://en.wikipedia.org/wiki/Poland	</v>
      <v xml:space="preserve">http://creativecommons.org/licenses/by-sa/3.0/	</v>
    </spb>
    <spb s="0">
      <v xml:space="preserve">Cia	</v>
      <v xml:space="preserve">	</v>
      <v xml:space="preserve">https://www.cia.gov/library/publications/the-world-factbook/geos/pl.html?Transportation	</v>
      <v xml:space="preserve">	</v>
    </spb>
    <spb s="1">
      <v>0</v>
      <v>713</v>
      <v>714</v>
      <v>714</v>
      <v>3</v>
      <v>714</v>
      <v>714</v>
      <v>714</v>
      <v>715</v>
      <v>714</v>
      <v>714</v>
      <v>715</v>
      <v>714</v>
      <v>714</v>
      <v>716</v>
      <v>6</v>
      <v>713</v>
      <v>716</v>
      <v>8</v>
      <v>714</v>
      <v>716</v>
      <v>9</v>
      <v>10</v>
      <v>11</v>
      <v>716</v>
      <v>716</v>
      <v>714</v>
      <v>716</v>
      <v>12</v>
      <v>13</v>
      <v>14</v>
      <v>15</v>
      <v>716</v>
      <v>713</v>
      <v>716</v>
      <v>716</v>
      <v>716</v>
      <v>716</v>
      <v>716</v>
      <v>716</v>
      <v>716</v>
      <v>716</v>
      <v>716</v>
      <v>716</v>
      <v>16</v>
    </spb>
    <spb s="7">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https://en.wikipedia.org/wiki/Warsaw	</v>
      <v xml:space="preserve">https://creativecommons.org/licenses/by-sa/3.0	</v>
    </spb>
    <spb s="22">
      <v>719</v>
      <v>719</v>
      <v>719</v>
      <v>719</v>
      <v>719</v>
      <v>719</v>
      <v>719</v>
      <v>719</v>
      <v>719</v>
    </spb>
    <spb s="13">
      <v>44</v>
      <v>44</v>
      <v>1</v>
      <v>44</v>
      <v>44</v>
      <v>44</v>
      <v>11</v>
      <v>44</v>
      <v>44</v>
      <v>44</v>
      <v>14</v>
      <v>5</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
      <v>0</v>
      <v>722</v>
      <v>723</v>
      <v>723</v>
      <v>3</v>
      <v>723</v>
      <v>723</v>
      <v>723</v>
      <v>724</v>
      <v>723</v>
      <v>723</v>
      <v>724</v>
      <v>723</v>
      <v>723</v>
      <v>725</v>
      <v>6</v>
      <v>722</v>
      <v>725</v>
      <v>8</v>
      <v>723</v>
      <v>725</v>
      <v>9</v>
      <v>10</v>
      <v>11</v>
      <v>725</v>
      <v>725</v>
      <v>723</v>
      <v>725</v>
      <v>12</v>
      <v>13</v>
      <v>14</v>
      <v>15</v>
      <v>725</v>
      <v>722</v>
      <v>725</v>
      <v>725</v>
      <v>725</v>
      <v>725</v>
      <v>725</v>
      <v>725</v>
      <v>725</v>
      <v>725</v>
      <v>725</v>
      <v>725</v>
      <v>16</v>
    </spb>
    <spb s="7">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https://en.wikipedia.org/wiki/Lisbon	</v>
      <v xml:space="preserve">https://creativecommons.org/licenses/by-sa/3.0	</v>
    </spb>
    <spb s="88">
      <v>728</v>
      <v>728</v>
      <v>728</v>
      <v>728</v>
      <v>728</v>
      <v>728</v>
      <v>728</v>
    </spb>
    <spb s="2">
      <v>65</v>
      <v>Name</v>
      <v>LearnMoreOnLink</v>
    </spb>
    <spb s="0">
      <v xml:space="preserve">Wikipedia	Cia	travel.state.gov	</v>
      <v xml:space="preserve">CC-BY-SA			</v>
      <v xml:space="preserve">http://en.wikipedia.org/wiki/Qatar	https://www.cia.gov/library/publications/the-world-factbook/geos/qa.html?Transportation	https://travel.state.gov/content/travel/en/international-travel/International-Travel-Country-Information-Pages/Qatar.html	</v>
      <v xml:space="preserve">http://creativecommons.org/licenses/by-sa/3.0/			</v>
    </spb>
    <spb s="0">
      <v xml:space="preserve">Wikipedia	</v>
      <v xml:space="preserve">CC BY-SA 3.0	</v>
      <v xml:space="preserve">https://en.wikipedia.org/wiki/Qatar	</v>
      <v xml:space="preserve">https://creativecommons.org/licenses/by-sa/3.0	</v>
    </spb>
    <spb s="0">
      <v xml:space="preserve">Wikipedia	</v>
      <v xml:space="preserve">CC-BY-SA	</v>
      <v xml:space="preserve">http://en.wikipedia.org/wiki/Qatar	</v>
      <v xml:space="preserve">http://creativecommons.org/licenses/by-sa/3.0/	</v>
    </spb>
    <spb s="0">
      <v xml:space="preserve">Cia	</v>
      <v xml:space="preserve">	</v>
      <v xml:space="preserve">https://www.cia.gov/library/publications/the-world-factbook/geos/qa.html?Transportation	</v>
      <v xml:space="preserve">	</v>
    </spb>
    <spb s="89">
      <v>0</v>
      <v>731</v>
      <v>732</v>
      <v>732</v>
      <v>3</v>
      <v>732</v>
      <v>732</v>
      <v>732</v>
      <v>733</v>
      <v>732</v>
      <v>732</v>
      <v>732</v>
      <v>732</v>
      <v>734</v>
      <v>6</v>
      <v>731</v>
      <v>734</v>
      <v>8</v>
      <v>732</v>
      <v>734</v>
      <v>9</v>
      <v>10</v>
      <v>11</v>
      <v>734</v>
      <v>734</v>
      <v>732</v>
      <v>734</v>
      <v>12</v>
      <v>13</v>
      <v>14</v>
      <v>15</v>
      <v>734</v>
      <v>731</v>
      <v>734</v>
      <v>734</v>
      <v>734</v>
      <v>16</v>
    </spb>
    <spb s="2">
      <v>66</v>
      <v>Name</v>
      <v>LearnMoreOnLink</v>
    </spb>
    <spb s="41">
      <v>2019</v>
      <v>2019</v>
      <v>square km</v>
      <v>per thousand (2018)</v>
      <v>2022</v>
      <v>2019</v>
      <v>2018</v>
      <v>per liter (2016)</v>
      <v>2019</v>
      <v>years (2018)</v>
      <v>2010</v>
      <v>per thousand (2018)</v>
      <v>2019</v>
      <v>2017</v>
      <v>2016</v>
      <v>2019</v>
      <v>2016</v>
      <v>2018</v>
      <v>kilotons per year (2016)</v>
      <v>deaths per 100,000 (2017)</v>
      <v>kWh (2014)</v>
      <v>2014</v>
      <v>2019</v>
      <v>2015</v>
      <v>2018</v>
      <v>2018</v>
      <v>2019</v>
    </spb>
    <spb s="0">
      <v xml:space="preserve">Wikipedia	</v>
      <v xml:space="preserve">CC-BY-SA	</v>
      <v xml:space="preserve">http://en.wikipedia.org/wiki/Doha	</v>
      <v xml:space="preserve">http://creativecommons.org/licenses/by-sa/3.0/	</v>
    </spb>
    <spb s="0">
      <v xml:space="preserve">Wikipedia	</v>
      <v xml:space="preserve">CC BY-SA 3.0	</v>
      <v xml:space="preserve">https://en.wikipedia.org/wiki/Doha	</v>
      <v xml:space="preserve">https://creativecommons.org/licenses/by-sa/3.0	</v>
    </spb>
    <spb s="32">
      <v>738</v>
      <v>739</v>
      <v>739</v>
      <v>739</v>
      <v>739</v>
      <v>738</v>
      <v>739</v>
    </spb>
    <spb s="13">
      <v>45</v>
      <v>45</v>
      <v>1</v>
      <v>45</v>
      <v>45</v>
      <v>45</v>
      <v>11</v>
      <v>45</v>
      <v>45</v>
      <v>45</v>
      <v>14</v>
      <v>5</v>
    </spb>
    <spb s="0">
      <v xml:space="preserve">Wikipedia	Cia	travel.state.gov	</v>
      <v xml:space="preserve">CC-BY-SA			</v>
      <v xml:space="preserve">http://en.wikipedia.org/wiki/Romania	https://www.cia.gov/library/publications/the-world-factbook/geos/ro.html?Transportation	https://travel.state.gov/content/travel/en/international-travel/International-Travel-Country-Information-Pages/Romania.html	</v>
      <v xml:space="preserve">http://creativecommons.org/licenses/by-sa/3.0/			</v>
    </spb>
    <spb s="0">
      <v xml:space="preserve">Wikipedia	</v>
      <v xml:space="preserve">CC BY-SA 3.0	</v>
      <v xml:space="preserve">https://en.wikipedia.org/wiki/Romania	</v>
      <v xml:space="preserve">https://creativecommons.org/licenses/by-sa/3.0	</v>
    </spb>
    <spb s="0">
      <v xml:space="preserve">Wikipedia	</v>
      <v xml:space="preserve">CC-BY-SA	</v>
      <v xml:space="preserve">http://en.wikipedia.org/wiki/Romania	</v>
      <v xml:space="preserve">http://creativecommons.org/licenses/by-sa/3.0/	</v>
    </spb>
    <spb s="0">
      <v xml:space="preserve">Cia	</v>
      <v xml:space="preserve">	</v>
      <v xml:space="preserve">https://www.cia.gov/library/publications/the-world-factbook/geos/ro.html?Transportation	</v>
      <v xml:space="preserve">	</v>
    </spb>
    <spb s="1">
      <v>0</v>
      <v>742</v>
      <v>743</v>
      <v>743</v>
      <v>3</v>
      <v>743</v>
      <v>743</v>
      <v>743</v>
      <v>744</v>
      <v>743</v>
      <v>743</v>
      <v>744</v>
      <v>743</v>
      <v>743</v>
      <v>745</v>
      <v>6</v>
      <v>742</v>
      <v>745</v>
      <v>8</v>
      <v>743</v>
      <v>745</v>
      <v>9</v>
      <v>10</v>
      <v>11</v>
      <v>745</v>
      <v>745</v>
      <v>743</v>
      <v>745</v>
      <v>12</v>
      <v>13</v>
      <v>14</v>
      <v>15</v>
      <v>745</v>
      <v>742</v>
      <v>745</v>
      <v>745</v>
      <v>745</v>
      <v>745</v>
      <v>745</v>
      <v>745</v>
      <v>745</v>
      <v>745</v>
      <v>745</v>
      <v>745</v>
      <v>16</v>
    </spb>
    <spb s="7">
      <v>2019</v>
      <v>2019</v>
      <v>square km</v>
      <v>per thousand (2018)</v>
      <v>2022</v>
      <v>2019</v>
      <v>2018</v>
      <v>per liter (2016)</v>
      <v>2019</v>
      <v>years (2018)</v>
      <v>2018</v>
      <v>per thousand (2018)</v>
      <v>2019</v>
      <v>2017</v>
      <v>2016</v>
      <v>2019</v>
      <v>2016</v>
      <v>2017</v>
      <v>kilotons per year (2016)</v>
      <v>deaths per 100,000 (2017)</v>
      <v>kWh (2014)</v>
      <v>2014</v>
      <v>2019</v>
      <v>2017</v>
      <v>2017</v>
      <v>2017</v>
      <v>2017</v>
      <v>2017</v>
      <v>2015</v>
      <v>2017</v>
      <v>2017</v>
      <v>2017</v>
      <v>2017</v>
      <v>2019</v>
    </spb>
    <spb s="0">
      <v xml:space="preserve">Wikipedia	</v>
      <v xml:space="preserve">CC BY-SA 3.0	</v>
      <v xml:space="preserve">https://en.wikipedia.org/wiki/Bucharest	</v>
      <v xml:space="preserve">https://creativecommons.org/licenses/by-sa/3.0	</v>
    </spb>
    <spb s="0">
      <v xml:space="preserve">Wikipedia	</v>
      <v xml:space="preserve">CC-BY-SA	</v>
      <v xml:space="preserve">http://en.wikipedia.org/wiki/Bucharest	</v>
      <v xml:space="preserve">http://creativecommons.org/licenses/by-sa/3.0/	</v>
    </spb>
    <spb s="32">
      <v>748</v>
      <v>748</v>
      <v>748</v>
      <v>748</v>
      <v>748</v>
      <v>749</v>
      <v>748</v>
    </spb>
    <spb s="0">
      <v xml:space="preserve">Wikipedia	Cia	travel.state.gov	</v>
      <v xml:space="preserve">CC-BY-SA			</v>
      <v xml:space="preserve">http://en.wikipedia.org/wiki/Russia	https://www.cia.gov/library/publications/the-world-factbook/geos/rs.html?Transportation	https://travel.state.gov/content/travel/en/international-travel/International-Travel-Country-Information-Pages/RussianFederation.html	</v>
      <v xml:space="preserve">http://creativecommons.org/licenses/by-sa/3.0/			</v>
    </spb>
    <spb s="0">
      <v xml:space="preserve">Wikipedia	</v>
      <v xml:space="preserve">CC BY-SA 3.0	</v>
      <v xml:space="preserve">https://en.wikipedia.org/wiki/Russia	</v>
      <v xml:space="preserve">https://creativecommons.org/licenses/by-sa/3.0	</v>
    </spb>
    <spb s="0">
      <v xml:space="preserve">Wikipedia	</v>
      <v xml:space="preserve">CC-BY-SA	</v>
      <v xml:space="preserve">http://en.wikipedia.org/wiki/Russia	</v>
      <v xml:space="preserve">http://creativecommons.org/licenses/by-sa/3.0/	</v>
    </spb>
    <spb s="0">
      <v xml:space="preserve">Cia	</v>
      <v xml:space="preserve">	</v>
      <v xml:space="preserve">https://www.cia.gov/library/publications/the-world-factbook/geos/rs.html?Transportation	</v>
      <v xml:space="preserve">	</v>
    </spb>
    <spb s="1">
      <v>0</v>
      <v>751</v>
      <v>752</v>
      <v>752</v>
      <v>3</v>
      <v>752</v>
      <v>752</v>
      <v>752</v>
      <v>753</v>
      <v>752</v>
      <v>752</v>
      <v>753</v>
      <v>752</v>
      <v>752</v>
      <v>754</v>
      <v>6</v>
      <v>751</v>
      <v>754</v>
      <v>8</v>
      <v>752</v>
      <v>754</v>
      <v>9</v>
      <v>10</v>
      <v>11</v>
      <v>754</v>
      <v>754</v>
      <v>752</v>
      <v>754</v>
      <v>12</v>
      <v>13</v>
      <v>14</v>
      <v>15</v>
      <v>754</v>
      <v>751</v>
      <v>754</v>
      <v>754</v>
      <v>754</v>
      <v>754</v>
      <v>754</v>
      <v>754</v>
      <v>754</v>
      <v>754</v>
      <v>754</v>
      <v>754</v>
      <v>16</v>
    </spb>
    <spb s="7">
      <v>2019</v>
      <v>2019</v>
      <v>square km</v>
      <v>per thousand (2018)</v>
      <v>2022</v>
      <v>2019</v>
      <v>2018</v>
      <v>per liter (2016)</v>
      <v>2019</v>
      <v>years (2018)</v>
      <v>2018</v>
      <v>per thousand (2018)</v>
      <v>2019</v>
      <v>2017</v>
      <v>2016</v>
      <v>2019</v>
      <v>2016</v>
      <v>2016</v>
      <v>kilotons per year (2016)</v>
      <v>deaths per 100,000 (2017)</v>
      <v>kWh (2014)</v>
      <v>2014</v>
      <v>2018</v>
      <v>2018</v>
      <v>2018</v>
      <v>2018</v>
      <v>2018</v>
      <v>2018</v>
      <v>2015</v>
      <v>2018</v>
      <v>2018</v>
      <v>2017</v>
      <v>2017</v>
      <v>2019</v>
    </spb>
    <spb s="0">
      <v xml:space="preserve">Wikipedia	</v>
      <v xml:space="preserve">CC BY-SA 3.0	</v>
      <v xml:space="preserve">https://en.wikipedia.org/wiki/Moscow	</v>
      <v xml:space="preserve">https://creativecommons.org/licenses/by-sa/3.0	</v>
    </spb>
    <spb s="0">
      <v xml:space="preserve">Wikipedia	</v>
      <v xml:space="preserve">CC-BY-SA	</v>
      <v xml:space="preserve">http://en.wikipedia.org/wiki/Moscow	</v>
      <v xml:space="preserve">http://creativecommons.org/licenses/by-sa/3.0/	</v>
    </spb>
    <spb s="32">
      <v>757</v>
      <v>757</v>
      <v>757</v>
      <v>757</v>
      <v>757</v>
      <v>758</v>
      <v>757</v>
    </spb>
    <spb s="2">
      <v>67</v>
      <v>Name</v>
      <v>LearnMoreOnLink</v>
    </spb>
    <spb s="13">
      <v>46</v>
      <v>46</v>
      <v>1</v>
      <v>46</v>
      <v>46</v>
      <v>46</v>
      <v>11</v>
      <v>46</v>
      <v>46</v>
      <v>46</v>
      <v>14</v>
      <v>5</v>
    </spb>
    <spb s="0">
      <v xml:space="preserve">Wikipedia	Cia	travel.state.gov	</v>
      <v xml:space="preserve">CC-BY-SA			</v>
      <v xml:space="preserve">http://en.wikipedia.org/wiki/Rwanda	https://www.cia.gov/library/publications/the-world-factbook/geos/rw.html?Transportation	https://travel.state.gov/content/travel/en/international-travel/International-Travel-Country-Information-Pages/Rwanda.html	</v>
      <v xml:space="preserve">http://creativecommons.org/licenses/by-sa/3.0/			</v>
    </spb>
    <spb s="0">
      <v xml:space="preserve">Wikipedia	</v>
      <v xml:space="preserve">CC BY-SA 3.0	</v>
      <v xml:space="preserve">https://en.wikipedia.org/wiki/Rwanda	</v>
      <v xml:space="preserve">https://creativecommons.org/licenses/by-sa/3.0	</v>
    </spb>
    <spb s="0">
      <v xml:space="preserve">Wikipedia	</v>
      <v xml:space="preserve">CC-BY-SA	</v>
      <v xml:space="preserve">http://en.wikipedia.org/wiki/Rwanda	</v>
      <v xml:space="preserve">http://creativecommons.org/licenses/by-sa/3.0/	</v>
    </spb>
    <spb s="0">
      <v xml:space="preserve">Cia	</v>
      <v xml:space="preserve">	</v>
      <v xml:space="preserve">https://www.cia.gov/library/publications/the-world-factbook/geos/rw.html?Transportation	</v>
      <v xml:space="preserve">	</v>
    </spb>
    <spb s="90">
      <v>0</v>
      <v>762</v>
      <v>763</v>
      <v>763</v>
      <v>3</v>
      <v>763</v>
      <v>763</v>
      <v>763</v>
      <v>764</v>
      <v>763</v>
      <v>763</v>
      <v>763</v>
      <v>763</v>
      <v>765</v>
      <v>6</v>
      <v>762</v>
      <v>765</v>
      <v>8</v>
      <v>763</v>
      <v>765</v>
      <v>9</v>
      <v>10</v>
      <v>11</v>
      <v>765</v>
      <v>765</v>
      <v>763</v>
      <v>765</v>
      <v>12</v>
      <v>13</v>
      <v>14</v>
      <v>762</v>
      <v>765</v>
      <v>765</v>
      <v>765</v>
      <v>765</v>
      <v>765</v>
      <v>765</v>
      <v>765</v>
      <v>765</v>
      <v>765</v>
      <v>765</v>
      <v>16</v>
    </spb>
    <spb s="2">
      <v>68</v>
      <v>Name</v>
      <v>LearnMoreOnLink</v>
    </spb>
    <spb s="87">
      <v>2019</v>
      <v>2019</v>
      <v>square km</v>
      <v>per thousand (2018)</v>
      <v>2022</v>
      <v>2019</v>
      <v>2018</v>
      <v>per liter (2016)</v>
      <v>2019</v>
      <v>years (2018)</v>
      <v>2018</v>
      <v>per thousand (2018)</v>
      <v>2019</v>
      <v>2017</v>
      <v>2016</v>
      <v>2019</v>
      <v>2016</v>
      <v>2018</v>
      <v>kilotons per year (2016)</v>
      <v>deaths per 100,000 (2017)</v>
      <v>2019</v>
      <v>2016</v>
      <v>2016</v>
      <v>2016</v>
      <v>2016</v>
      <v>2016</v>
      <v>2015</v>
      <v>2016</v>
      <v>2016</v>
      <v>2018</v>
      <v>2018</v>
      <v>2019</v>
    </spb>
    <spb s="0">
      <v xml:space="preserve">Wikipedia	</v>
      <v xml:space="preserve">CC BY-SA 3.0	</v>
      <v xml:space="preserve">https://en.wikipedia.org/wiki/Kigali	</v>
      <v xml:space="preserve">https://creativecommons.org/licenses/by-sa/3.0	</v>
    </spb>
    <spb s="0">
      <v xml:space="preserve">Wikipedia	</v>
      <v xml:space="preserve">CC-BY-SA	</v>
      <v xml:space="preserve">http://en.wikipedia.org/wiki/Kigali	</v>
      <v xml:space="preserve">http://creativecommons.org/licenses/by-sa/3.0/	</v>
    </spb>
    <spb s="32">
      <v>769</v>
      <v>769</v>
      <v>769</v>
      <v>769</v>
      <v>769</v>
      <v>770</v>
      <v>769</v>
    </spb>
    <spb s="0">
      <v xml:space="preserve">Wikipedia	Cia	travel.state.gov	</v>
      <v xml:space="preserve">CC-BY-SA			</v>
      <v xml:space="preserve">http://en.wikipedia.org/wiki/Saint_Kitts_and_Nevis	https://www.cia.gov/library/publications/the-world-factbook/geos/sc.html?Transportation	https://travel.state.gov/content/travel/en/international-travel/International-Travel-Country-Information-Pages/SaintKittsandNevis.html	</v>
      <v xml:space="preserve">http://creativecommons.org/licenses/by-sa/3.0/			</v>
    </spb>
    <spb s="0">
      <v xml:space="preserve">Wikipedia	</v>
      <v xml:space="preserve">CC BY-SA 3.0	</v>
      <v xml:space="preserve">https://en.wikipedia.org/wiki/Saint_Kitts_and_Nevis	</v>
      <v xml:space="preserve">https://creativecommons.org/licenses/by-sa/3.0	</v>
    </spb>
    <spb s="0">
      <v xml:space="preserve">Wikipedia	</v>
      <v xml:space="preserve">CC-BY-SA	</v>
      <v xml:space="preserve">http://en.wikipedia.org/wiki/Saint_Kitts_and_Nevis	</v>
      <v xml:space="preserve">http://creativecommons.org/licenses/by-sa/3.0/	</v>
    </spb>
    <spb s="0">
      <v xml:space="preserve">Cia	</v>
      <v xml:space="preserve">	</v>
      <v xml:space="preserve">https://www.cia.gov/library/publications/the-world-factbook/geos/sc.html?Transportation	</v>
      <v xml:space="preserve">	</v>
    </spb>
    <spb s="82">
      <v>0</v>
      <v>772</v>
      <v>773</v>
      <v>773</v>
      <v>3</v>
      <v>773</v>
      <v>773</v>
      <v>773</v>
      <v>774</v>
      <v>773</v>
      <v>773</v>
      <v>774</v>
      <v>773</v>
      <v>773</v>
      <v>775</v>
      <v>6</v>
      <v>775</v>
      <v>8</v>
      <v>773</v>
      <v>775</v>
      <v>9</v>
      <v>10</v>
      <v>775</v>
      <v>773</v>
      <v>775</v>
      <v>12</v>
      <v>13</v>
      <v>775</v>
      <v>775</v>
      <v>775</v>
      <v>775</v>
    </spb>
    <spb s="83">
      <v>2018</v>
      <v>2019</v>
      <v>square km</v>
      <v>per thousand (2014)</v>
      <v>2022</v>
      <v>2018</v>
      <v>2002</v>
      <v>2019</v>
      <v>years (2002)</v>
      <v>2017</v>
      <v>per thousand (2018)</v>
      <v>2019</v>
      <v>2016</v>
      <v>2016</v>
      <v>2015</v>
      <v>kilotons per year (2016)</v>
      <v>2007</v>
      <v>2015</v>
      <v>2016</v>
      <v>2015</v>
    </spb>
    <spb s="0">
      <v xml:space="preserve">Wikipedia	</v>
      <v xml:space="preserve">CC-BY-SA	</v>
      <v xml:space="preserve">http://en.wikipedia.org/wiki/Basseterre	</v>
      <v xml:space="preserve">http://creativecommons.org/licenses/by-sa/3.0/	</v>
    </spb>
    <spb s="0">
      <v xml:space="preserve">Wikipedia	</v>
      <v xml:space="preserve">CC BY-SA 3.0	</v>
      <v xml:space="preserve">https://en.wikipedia.org/wiki/Basseterre	</v>
      <v xml:space="preserve">https://creativecommons.org/licenses/by-sa/3.0	</v>
    </spb>
    <spb s="29">
      <v>778</v>
      <v>779</v>
      <v>779</v>
      <v>779</v>
      <v>779</v>
      <v>779</v>
      <v>779</v>
      <v>779</v>
      <v>779</v>
      <v>779</v>
    </spb>
    <spb s="2">
      <v>69</v>
      <v>Name</v>
      <v>LearnMoreOnLink</v>
    </spb>
    <spb s="10">
      <v>square km</v>
      <v>2001</v>
    </spb>
    <spb s="13">
      <v>47</v>
      <v>47</v>
      <v>1</v>
      <v>47</v>
      <v>47</v>
      <v>47</v>
      <v>11</v>
      <v>47</v>
      <v>47</v>
      <v>47</v>
      <v>14</v>
      <v>5</v>
    </spb>
    <spb s="0">
      <v xml:space="preserve">Wikipedia	Cia	travel.state.gov	</v>
      <v xml:space="preserve">CC-BY-SA			</v>
      <v xml:space="preserve">http://en.wikipedia.org/wiki/Saint_Lucia	https://www.cia.gov/library/publications/the-world-factbook/geos/st.html?Transportation	https://travel.state.gov/content/travel/en/international-travel/International-Travel-Country-Information-Pages/SaintLucia.html	</v>
      <v xml:space="preserve">http://creativecommons.org/licenses/by-sa/3.0/			</v>
    </spb>
    <spb s="0">
      <v xml:space="preserve">Wikipedia	</v>
      <v xml:space="preserve">CC BY-SA 3.0	</v>
      <v xml:space="preserve">https://en.wikipedia.org/wiki/Saint_Lucia	</v>
      <v xml:space="preserve">https://creativecommons.org/licenses/by-sa/3.0	</v>
    </spb>
    <spb s="0">
      <v xml:space="preserve">Wikipedia	</v>
      <v xml:space="preserve">CC-BY-SA	</v>
      <v xml:space="preserve">http://en.wikipedia.org/wiki/Saint_Lucia	</v>
      <v xml:space="preserve">http://creativecommons.org/licenses/by-sa/3.0/	</v>
    </spb>
    <spb s="0">
      <v xml:space="preserve">Cia	</v>
      <v xml:space="preserve">	</v>
      <v xml:space="preserve">https://www.cia.gov/library/publications/the-world-factbook/geos/st.html?Transportation	</v>
      <v xml:space="preserve">	</v>
    </spb>
    <spb s="91">
      <v>0</v>
      <v>784</v>
      <v>785</v>
      <v>785</v>
      <v>3</v>
      <v>785</v>
      <v>785</v>
      <v>785</v>
      <v>786</v>
      <v>785</v>
      <v>785</v>
      <v>785</v>
      <v>785</v>
      <v>787</v>
      <v>6</v>
      <v>784</v>
      <v>787</v>
      <v>8</v>
      <v>785</v>
      <v>787</v>
      <v>9</v>
      <v>10</v>
      <v>787</v>
      <v>787</v>
      <v>785</v>
      <v>787</v>
      <v>12</v>
      <v>13</v>
      <v>14</v>
      <v>787</v>
      <v>787</v>
      <v>787</v>
      <v>787</v>
      <v>787</v>
      <v>787</v>
      <v>787</v>
      <v>787</v>
      <v>787</v>
      <v>787</v>
      <v>787</v>
      <v>16</v>
    </spb>
    <spb s="2">
      <v>70</v>
      <v>Name</v>
      <v>LearnMoreOnLink</v>
    </spb>
    <spb s="92">
      <v>2018</v>
      <v>2019</v>
      <v>square km</v>
      <v>per thousand (2018)</v>
      <v>2022</v>
      <v>2018</v>
      <v>2018</v>
      <v>per liter (2014)</v>
      <v>2019</v>
      <v>years (2018)</v>
      <v>2017</v>
      <v>per thousand (2018)</v>
      <v>2019</v>
      <v>2016</v>
      <v>2019</v>
      <v>2016</v>
      <v>2017</v>
      <v>kilotons per year (2016)</v>
      <v>deaths per 100,000 (2017)</v>
      <v>2007</v>
      <v>2016</v>
      <v>2016</v>
      <v>2016</v>
      <v>2016</v>
      <v>2016</v>
      <v>2015</v>
      <v>2016</v>
      <v>2016</v>
      <v>2018</v>
      <v>2018</v>
      <v>2019</v>
    </spb>
    <spb s="0">
      <v xml:space="preserve">Wikipedia	</v>
      <v xml:space="preserve">CC BY-SA 3.0	</v>
      <v xml:space="preserve">https://en.wikipedia.org/wiki/Castries	</v>
      <v xml:space="preserve">https://creativecommons.org/licenses/by-sa/3.0	</v>
    </spb>
    <spb s="22">
      <v>791</v>
      <v>791</v>
      <v>791</v>
      <v>791</v>
      <v>791</v>
      <v>791</v>
      <v>791</v>
      <v>791</v>
      <v>791</v>
    </spb>
    <spb s="0">
      <v xml:space="preserve">Wikipedia	Cia	travel.state.gov	</v>
      <v xml:space="preserve">CC-BY-SA			</v>
      <v xml:space="preserve">http://en.wikipedia.org/wiki/Saint_Vincent_and_the_Grenadines	https://www.cia.gov/library/publications/the-world-factbook/geos/vc.html?Transportation	https://travel.state.gov/content/travel/en/international-travel/International-Travel-Country-Information-Pages/SaintVincentandtheGrenadines.html	</v>
      <v xml:space="preserve">http://creativecommons.org/licenses/by-sa/3.0/			</v>
    </spb>
    <spb s="0">
      <v xml:space="preserve">Wikipedia	</v>
      <v xml:space="preserve">CC BY-SA 3.0	</v>
      <v xml:space="preserve">https://en.wikipedia.org/wiki/Saint_Vincent_and_the_Grenadines	</v>
      <v xml:space="preserve">https://creativecommons.org/licenses/by-sa/3.0	</v>
    </spb>
    <spb s="0">
      <v xml:space="preserve">Wikipedia	</v>
      <v xml:space="preserve">CC-BY-SA	</v>
      <v xml:space="preserve">http://en.wikipedia.org/wiki/Saint_Vincent_and_the_Grenadines	</v>
      <v xml:space="preserve">http://creativecommons.org/licenses/by-sa/3.0/	</v>
    </spb>
    <spb s="0">
      <v xml:space="preserve">Cia	</v>
      <v xml:space="preserve">	</v>
      <v xml:space="preserve">https://www.cia.gov/library/publications/the-world-factbook/geos/vc.html?Transportation	</v>
      <v xml:space="preserve">	</v>
    </spb>
    <spb s="93">
      <v>0</v>
      <v>793</v>
      <v>794</v>
      <v>794</v>
      <v>3</v>
      <v>794</v>
      <v>794</v>
      <v>794</v>
      <v>795</v>
      <v>794</v>
      <v>794</v>
      <v>795</v>
      <v>794</v>
      <v>794</v>
      <v>796</v>
      <v>6</v>
      <v>796</v>
      <v>8</v>
      <v>794</v>
      <v>796</v>
      <v>9</v>
      <v>10</v>
      <v>796</v>
      <v>796</v>
      <v>794</v>
      <v>796</v>
      <v>12</v>
      <v>13</v>
      <v>14</v>
      <v>796</v>
      <v>796</v>
      <v>796</v>
      <v>796</v>
      <v>16</v>
    </spb>
    <spb s="2">
      <v>71</v>
      <v>Name</v>
      <v>LearnMoreOnLink</v>
    </spb>
    <spb s="94">
      <v>2018</v>
      <v>2019</v>
      <v>square km</v>
      <v>per thousand (2018)</v>
      <v>2022</v>
      <v>2018</v>
      <v>2018</v>
      <v>2019</v>
      <v>years (2018)</v>
      <v>2017</v>
      <v>per thousand (2018)</v>
      <v>2019</v>
      <v>2016</v>
      <v>2019</v>
      <v>2016</v>
      <v>2010</v>
      <v>kilotons per year (2016)</v>
      <v>deaths per 100,000 (2017)</v>
      <v>2007</v>
      <v>2015</v>
      <v>2018</v>
      <v>2015</v>
      <v>2019</v>
    </spb>
    <spb s="0">
      <v xml:space="preserve">Wikipedia	</v>
      <v xml:space="preserve">CC BY-SA 3.0	</v>
      <v xml:space="preserve">https://en.wikipedia.org/wiki/Kingstown	</v>
      <v xml:space="preserve">https://creativecommons.org/licenses/by-sa/3.0	</v>
    </spb>
    <spb s="68">
      <v>800</v>
      <v>800</v>
      <v>800</v>
      <v>800</v>
      <v>800</v>
      <v>800</v>
      <v>800</v>
      <v>800</v>
    </spb>
    <spb s="69">
      <v>2012</v>
    </spb>
    <spb s="13">
      <v>48</v>
      <v>48</v>
      <v>1</v>
      <v>48</v>
      <v>48</v>
      <v>48</v>
      <v>11</v>
      <v>48</v>
      <v>48</v>
      <v>48</v>
      <v>14</v>
      <v>5</v>
    </spb>
    <spb s="0">
      <v xml:space="preserve">Wikipedia	Cia	travel.state.gov	</v>
      <v xml:space="preserve">CC-BY-SA			</v>
      <v xml:space="preserve">http://en.wikipedia.org/wiki/Samoa	https://www.cia.gov/library/publications/the-world-factbook/geos/ws.html?Transportation	https://travel.state.gov/content/travel/en/international-travel/International-Travel-Country-Information-Pages/Samoa.html	</v>
      <v xml:space="preserve">http://creativecommons.org/licenses/by-sa/3.0/			</v>
    </spb>
    <spb s="0">
      <v xml:space="preserve">Wikipedia	</v>
      <v xml:space="preserve">CC BY-SA 3.0	</v>
      <v xml:space="preserve">https://en.wikipedia.org/wiki/Samoa	</v>
      <v xml:space="preserve">https://creativecommons.org/licenses/by-sa/3.0	</v>
    </spb>
    <spb s="0">
      <v xml:space="preserve">Wikipedia	</v>
      <v xml:space="preserve">CC-BY-SA	</v>
      <v xml:space="preserve">http://en.wikipedia.org/wiki/Samoa	</v>
      <v xml:space="preserve">http://creativecommons.org/licenses/by-sa/3.0/	</v>
    </spb>
    <spb s="0">
      <v xml:space="preserve">Cia	</v>
      <v xml:space="preserve">	</v>
      <v xml:space="preserve">https://www.cia.gov/library/publications/the-world-factbook/geos/ws.html?Transportation	</v>
      <v xml:space="preserve">	</v>
    </spb>
    <spb s="95">
      <v>0</v>
      <v>804</v>
      <v>805</v>
      <v>805</v>
      <v>3</v>
      <v>805</v>
      <v>805</v>
      <v>805</v>
      <v>806</v>
      <v>805</v>
      <v>805</v>
      <v>806</v>
      <v>805</v>
      <v>805</v>
      <v>807</v>
      <v>6</v>
      <v>804</v>
      <v>807</v>
      <v>8</v>
      <v>805</v>
      <v>807</v>
      <v>9</v>
      <v>10</v>
      <v>807</v>
      <v>807</v>
      <v>805</v>
      <v>807</v>
      <v>12</v>
      <v>13</v>
      <v>14</v>
      <v>807</v>
      <v>807</v>
      <v>807</v>
      <v>807</v>
      <v>807</v>
      <v>807</v>
      <v>807</v>
      <v>807</v>
      <v>807</v>
      <v>807</v>
      <v>807</v>
      <v>16</v>
    </spb>
    <spb s="2">
      <v>72</v>
      <v>Name</v>
      <v>LearnMoreOnLink</v>
    </spb>
    <spb s="92">
      <v>2019</v>
      <v>2019</v>
      <v>square km</v>
      <v>per thousand (2018)</v>
      <v>2022</v>
      <v>2019</v>
      <v>2018</v>
      <v>per liter (2016)</v>
      <v>2019</v>
      <v>years (2018)</v>
      <v>2018</v>
      <v>per thousand (2018)</v>
      <v>2019</v>
      <v>2016</v>
      <v>2019</v>
      <v>2016</v>
      <v>2016</v>
      <v>kilotons per year (2016)</v>
      <v>deaths per 100,000 (2017)</v>
      <v>2007</v>
      <v>2013</v>
      <v>2013</v>
      <v>2013</v>
      <v>2013</v>
      <v>2013</v>
      <v>2015</v>
      <v>2013</v>
      <v>2013</v>
      <v>2018</v>
      <v>2000</v>
      <v>2019</v>
    </spb>
    <spb s="0">
      <v xml:space="preserve">Wikipedia	</v>
      <v xml:space="preserve">CC BY-SA 3.0	</v>
      <v xml:space="preserve">https://en.wikipedia.org/wiki/Apia	</v>
      <v xml:space="preserve">https://creativecommons.org/licenses/by-sa/3.0	</v>
    </spb>
    <spb s="22">
      <v>811</v>
      <v>811</v>
      <v>811</v>
      <v>811</v>
      <v>811</v>
      <v>811</v>
      <v>811</v>
      <v>811</v>
      <v>811</v>
    </spb>
    <spb s="10">
      <v>square km</v>
      <v>2006</v>
    </spb>
    <spb s="0">
      <v xml:space="preserve">Wikipedia	Cia	</v>
      <v xml:space="preserve">CC-BY-SA		</v>
      <v xml:space="preserve">http://en.wikipedia.org/wiki/San_Marino	https://www.cia.gov/library/publications/the-world-factbook/geos/sm.html?Transportation	</v>
      <v xml:space="preserve">http://creativecommons.org/licenses/by-sa/3.0/		</v>
    </spb>
    <spb s="0">
      <v xml:space="preserve">Wikipedia	</v>
      <v xml:space="preserve">CC BY-SA 3.0	</v>
      <v xml:space="preserve">https://en.wikipedia.org/wiki/San_Marino	</v>
      <v xml:space="preserve">https://creativecommons.org/licenses/by-sa/3.0	</v>
    </spb>
    <spb s="0">
      <v xml:space="preserve">Wikipedia	</v>
      <v xml:space="preserve">CC-BY-SA	</v>
      <v xml:space="preserve">http://en.wikipedia.org/wiki/San_Marino	</v>
      <v xml:space="preserve">http://creativecommons.org/licenses/by-sa/3.0/	</v>
    </spb>
    <spb s="0">
      <v xml:space="preserve">Cia	</v>
      <v xml:space="preserve">	</v>
      <v xml:space="preserve">https://www.cia.gov/library/publications/the-world-factbook/geos/sm.html?Transportation	</v>
      <v xml:space="preserve">	</v>
    </spb>
    <spb s="96">
      <v>0</v>
      <v>814</v>
      <v>815</v>
      <v>815</v>
      <v>3</v>
      <v>815</v>
      <v>815</v>
      <v>815</v>
      <v>816</v>
      <v>815</v>
      <v>815</v>
      <v>815</v>
      <v>815</v>
      <v>817</v>
      <v>6</v>
      <v>817</v>
      <v>8</v>
      <v>815</v>
      <v>817</v>
      <v>9</v>
      <v>10</v>
      <v>817</v>
      <v>815</v>
      <v>817</v>
      <v>12</v>
      <v>817</v>
      <v>817</v>
      <v>817</v>
    </spb>
    <spb s="2">
      <v>73</v>
      <v>Name</v>
      <v>LearnMoreOnLink</v>
    </spb>
    <spb s="97">
      <v>2017</v>
      <v>2018</v>
      <v>square km</v>
      <v>per thousand (2018)</v>
      <v>2022</v>
      <v>2017</v>
      <v>2012</v>
      <v>2019</v>
      <v>years (2012)</v>
      <v>2018</v>
      <v>per thousand (2018)</v>
      <v>2019</v>
      <v>2016</v>
      <v>2016</v>
      <v>2014</v>
      <v>2015</v>
      <v>2018</v>
      <v>2018</v>
    </spb>
    <spb s="0">
      <v xml:space="preserve">Wikipedia	</v>
      <v xml:space="preserve">CC BY-SA 3.0	</v>
      <v xml:space="preserve">https://en.wikipedia.org/wiki/City_of_San_Marino	</v>
      <v xml:space="preserve">https://creativecommons.org/licenses/by-sa/3.0	</v>
    </spb>
    <spb s="0">
      <v xml:space="preserve">Wikipedia	</v>
      <v xml:space="preserve">CC-BY-SA	</v>
      <v xml:space="preserve">http://en.wikipedia.org/wiki/City_of_San_Marino	</v>
      <v xml:space="preserve">http://creativecommons.org/licenses/by-sa/3.0/	</v>
    </spb>
    <spb s="32">
      <v>821</v>
      <v>821</v>
      <v>821</v>
      <v>821</v>
      <v>821</v>
      <v>822</v>
      <v>821</v>
    </spb>
    <spb s="2">
      <v>74</v>
      <v>Name</v>
      <v>LearnMoreOnLink</v>
    </spb>
    <spb s="13">
      <v>49</v>
      <v>49</v>
      <v>1</v>
      <v>49</v>
      <v>49</v>
      <v>49</v>
      <v>11</v>
      <v>49</v>
      <v>49</v>
      <v>49</v>
      <v>14</v>
      <v>5</v>
    </spb>
    <spb s="0">
      <v xml:space="preserve">Wikipedia	Wikipedia	Cia	travel.state.gov	</v>
      <v xml:space="preserve">CC-BY-SA	CC-BY-SA			</v>
      <v xml:space="preserve">http://en.wikipedia.org/wiki/São_Tomé_and_Príncipe	http://lv.wikipedia.org/wiki/Santome_un_Prinsipi	https://www.cia.gov/library/publications/the-world-factbook/geos/tp.html?Transportation	https://travel.state.gov/content/travel/en/international-travel/International-Travel-Country-Information-Pages/SaoTomeandPrincipe.html	</v>
      <v xml:space="preserve">http://creativecommons.org/licenses/by-sa/3.0/	http://creativecommons.org/licenses/by-sa/3.0/			</v>
    </spb>
    <spb s="0">
      <v xml:space="preserve">Wikipedia	</v>
      <v xml:space="preserve">CC BY-SA 3.0	</v>
      <v xml:space="preserve">https://en.wikipedia.org/wiki/S%C3%A3o_Tom%C3%A9_and_Pr%C3%ADncipe	</v>
      <v xml:space="preserve">https://creativecommons.org/licenses/by-sa/3.0	</v>
    </spb>
    <spb s="0">
      <v xml:space="preserve">Wikipedia	</v>
      <v xml:space="preserve">CC-BY-SA	</v>
      <v xml:space="preserve">http://en.wikipedia.org/wiki/São_Tomé_and_Príncipe	</v>
      <v xml:space="preserve">http://creativecommons.org/licenses/by-sa/3.0/	</v>
    </spb>
    <spb s="0">
      <v xml:space="preserve">Cia	</v>
      <v xml:space="preserve">	</v>
      <v xml:space="preserve">https://www.cia.gov/library/publications/the-world-factbook/geos/tp.html?Transportation	</v>
      <v xml:space="preserve">	</v>
    </spb>
    <spb s="98">
      <v>0</v>
      <v>826</v>
      <v>827</v>
      <v>827</v>
      <v>3</v>
      <v>827</v>
      <v>827</v>
      <v>827</v>
      <v>828</v>
      <v>827</v>
      <v>827</v>
      <v>827</v>
      <v>827</v>
      <v>829</v>
      <v>6</v>
      <v>829</v>
      <v>8</v>
      <v>827</v>
      <v>829</v>
      <v>9</v>
      <v>10</v>
      <v>11</v>
      <v>829</v>
      <v>829</v>
      <v>827</v>
      <v>829</v>
      <v>12</v>
      <v>13</v>
      <v>14</v>
      <v>829</v>
      <v>829</v>
      <v>829</v>
      <v>829</v>
      <v>829</v>
      <v>829</v>
      <v>829</v>
      <v>829</v>
      <v>829</v>
      <v>829</v>
      <v>829</v>
      <v>16</v>
    </spb>
    <spb s="2">
      <v>75</v>
      <v>Name</v>
      <v>LearnMoreOnLink</v>
    </spb>
    <spb s="99">
      <v>2018</v>
      <v>2019</v>
      <v>square km</v>
      <v>per thousand (2018)</v>
      <v>2022</v>
      <v>2018</v>
      <v>2018</v>
      <v>2019</v>
      <v>years (2018)</v>
      <v>2012</v>
      <v>per thousand (2018)</v>
      <v>2019</v>
      <v>1999</v>
      <v>2016</v>
      <v>2019</v>
      <v>2016</v>
      <v>2017</v>
      <v>kilotons per year (2016)</v>
      <v>deaths per 100,000 (2017)</v>
      <v>2007</v>
      <v>2017</v>
      <v>2017</v>
      <v>2017</v>
      <v>2017</v>
      <v>2017</v>
      <v>2015</v>
      <v>2017</v>
      <v>2017</v>
      <v>2017</v>
      <v>2015</v>
      <v>2019</v>
    </spb>
    <spb s="0">
      <v xml:space="preserve">Wikipedia	</v>
      <v xml:space="preserve">CC BY-SA 3.0	</v>
      <v xml:space="preserve">https://en.wikipedia.org/wiki/S%C3%A3o_Tom%C3%A9	</v>
      <v xml:space="preserve">https://creativecommons.org/licenses/by-sa/3.0	</v>
    </spb>
    <spb s="22">
      <v>833</v>
      <v>833</v>
      <v>833</v>
      <v>833</v>
      <v>833</v>
      <v>833</v>
      <v>833</v>
      <v>833</v>
      <v>833</v>
    </spb>
    <spb s="0">
      <v xml:space="preserve">Wikipedia	Cia	travel.state.gov	</v>
      <v xml:space="preserve">CC-BY-SA			</v>
      <v xml:space="preserve">http://en.wikipedia.org/wiki/Saudi_Arabia	https://www.cia.gov/library/publications/the-world-factbook/geos/sa.html?Transportation	https://travel.state.gov/content/travel/en/international-travel/International-Travel-Country-Information-Pages/SaudiArabia.html	</v>
      <v xml:space="preserve">http://creativecommons.org/licenses/by-sa/3.0/			</v>
    </spb>
    <spb s="0">
      <v xml:space="preserve">Wikipedia	</v>
      <v xml:space="preserve">CC BY-SA 3.0	</v>
      <v xml:space="preserve">https://en.wikipedia.org/wiki/Saudi_Arabia	</v>
      <v xml:space="preserve">https://creativecommons.org/licenses/by-sa/3.0	</v>
    </spb>
    <spb s="0">
      <v xml:space="preserve">Wikipedia	</v>
      <v xml:space="preserve">CC-BY-SA	</v>
      <v xml:space="preserve">http://en.wikipedia.org/wiki/Saudi_Arabia	</v>
      <v xml:space="preserve">http://creativecommons.org/licenses/by-sa/3.0/	</v>
    </spb>
    <spb s="0">
      <v xml:space="preserve">Cia	</v>
      <v xml:space="preserve">	</v>
      <v xml:space="preserve">https://www.cia.gov/library/publications/the-world-factbook/geos/sa.html?Transportation	</v>
      <v xml:space="preserve">	</v>
    </spb>
    <spb s="40">
      <v>0</v>
      <v>835</v>
      <v>836</v>
      <v>836</v>
      <v>3</v>
      <v>836</v>
      <v>836</v>
      <v>836</v>
      <v>837</v>
      <v>836</v>
      <v>836</v>
      <v>837</v>
      <v>836</v>
      <v>836</v>
      <v>838</v>
      <v>6</v>
      <v>835</v>
      <v>838</v>
      <v>8</v>
      <v>836</v>
      <v>838</v>
      <v>9</v>
      <v>10</v>
      <v>11</v>
      <v>838</v>
      <v>838</v>
      <v>836</v>
      <v>838</v>
      <v>12</v>
      <v>13</v>
      <v>14</v>
      <v>15</v>
      <v>838</v>
      <v>835</v>
      <v>838</v>
      <v>838</v>
      <v>838</v>
      <v>16</v>
    </spb>
    <spb s="41">
      <v>2019</v>
      <v>2019</v>
      <v>square km</v>
      <v>per thousand (2018)</v>
      <v>2022</v>
      <v>2019</v>
      <v>2018</v>
      <v>per liter (2016)</v>
      <v>2019</v>
      <v>years (2018)</v>
      <v>2018</v>
      <v>per thousand (2018)</v>
      <v>2019</v>
      <v>2017</v>
      <v>2016</v>
      <v>2019</v>
      <v>2016</v>
      <v>2018</v>
      <v>kilotons per year (2016)</v>
      <v>deaths per 100,000 (2017)</v>
      <v>kWh (2014)</v>
      <v>2014</v>
      <v>2019</v>
      <v>2015</v>
      <v>2018</v>
      <v>2018</v>
      <v>2019</v>
    </spb>
    <spb s="0">
      <v xml:space="preserve">Wikipedia	</v>
      <v xml:space="preserve">CC BY-SA 3.0	</v>
      <v xml:space="preserve">https://en.wikipedia.org/wiki/Riyadh	</v>
      <v xml:space="preserve">https://creativecommons.org/licenses/by-sa/3.0	</v>
    </spb>
    <spb s="22">
      <v>841</v>
      <v>841</v>
      <v>841</v>
      <v>841</v>
      <v>841</v>
      <v>841</v>
      <v>841</v>
      <v>841</v>
      <v>841</v>
    </spb>
    <spb s="13">
      <v>50</v>
      <v>50</v>
      <v>1</v>
      <v>50</v>
      <v>50</v>
      <v>50</v>
      <v>11</v>
      <v>50</v>
      <v>50</v>
      <v>50</v>
      <v>14</v>
      <v>5</v>
    </spb>
    <spb s="0">
      <v xml:space="preserve">Wikipedia	Cia	travel.state.gov	</v>
      <v xml:space="preserve">CC-BY-SA			</v>
      <v xml:space="preserve">http://en.wikipedia.org/wiki/Senegal	https://www.cia.gov/library/publications/the-world-factbook/geos/sg.html?Transportation	https://travel.state.gov/content/travel/en/international-travel/International-Travel-Country-Information-Pages/Senegal.html	</v>
      <v xml:space="preserve">http://creativecommons.org/licenses/by-sa/3.0/			</v>
    </spb>
    <spb s="0">
      <v xml:space="preserve">Wikipedia	</v>
      <v xml:space="preserve">CC BY-SA 3.0	</v>
      <v xml:space="preserve">https://en.wikipedia.org/wiki/Senegal	</v>
      <v xml:space="preserve">https://creativecommons.org/licenses/by-sa/3.0	</v>
    </spb>
    <spb s="0">
      <v xml:space="preserve">Wikipedia	</v>
      <v xml:space="preserve">CC-BY-SA	</v>
      <v xml:space="preserve">http://en.wikipedia.org/wiki/Senegal	</v>
      <v xml:space="preserve">http://creativecommons.org/licenses/by-sa/3.0/	</v>
    </spb>
    <spb s="0">
      <v xml:space="preserve">Cia	</v>
      <v xml:space="preserve">	</v>
      <v xml:space="preserve">https://www.cia.gov/library/publications/the-world-factbook/geos/sg.html?Transportation	</v>
      <v xml:space="preserve">	</v>
    </spb>
    <spb s="20">
      <v>0</v>
      <v>844</v>
      <v>845</v>
      <v>845</v>
      <v>3</v>
      <v>845</v>
      <v>845</v>
      <v>845</v>
      <v>846</v>
      <v>845</v>
      <v>845</v>
      <v>846</v>
      <v>845</v>
      <v>845</v>
      <v>847</v>
      <v>6</v>
      <v>844</v>
      <v>847</v>
      <v>8</v>
      <v>845</v>
      <v>847</v>
      <v>9</v>
      <v>10</v>
      <v>11</v>
      <v>847</v>
      <v>847</v>
      <v>845</v>
      <v>847</v>
      <v>12</v>
      <v>13</v>
      <v>14</v>
      <v>15</v>
      <v>847</v>
      <v>847</v>
      <v>847</v>
      <v>847</v>
      <v>847</v>
      <v>847</v>
      <v>847</v>
      <v>847</v>
      <v>847</v>
      <v>847</v>
      <v>847</v>
      <v>16</v>
    </spb>
    <spb s="21">
      <v>2019</v>
      <v>2019</v>
      <v>square km</v>
      <v>per thousand (2018)</v>
      <v>2022</v>
      <v>2019</v>
      <v>2018</v>
      <v>per liter (2016)</v>
      <v>2019</v>
      <v>years (2018)</v>
      <v>2018</v>
      <v>per thousand (2018)</v>
      <v>2019</v>
      <v>2017</v>
      <v>2016</v>
      <v>2019</v>
      <v>2016</v>
      <v>2017</v>
      <v>kilotons per year (2016)</v>
      <v>deaths per 100,000 (2017)</v>
      <v>kWh (2014)</v>
      <v>2014</v>
      <v>2011</v>
      <v>2011</v>
      <v>2011</v>
      <v>2011</v>
      <v>2011</v>
      <v>2015</v>
      <v>2011</v>
      <v>2011</v>
      <v>2018</v>
      <v>2018</v>
      <v>2019</v>
    </spb>
    <spb s="0">
      <v xml:space="preserve">Wikipedia	</v>
      <v xml:space="preserve">CC BY-SA 3.0	</v>
      <v xml:space="preserve">https://en.wikipedia.org/wiki/Dakar	</v>
      <v xml:space="preserve">https://creativecommons.org/licenses/by-sa/3.0	</v>
    </spb>
    <spb s="29">
      <v>850</v>
      <v>850</v>
      <v>850</v>
      <v>850</v>
      <v>850</v>
      <v>850</v>
      <v>850</v>
      <v>850</v>
      <v>850</v>
      <v>850</v>
    </spb>
    <spb s="0">
      <v xml:space="preserve">Wikipedia	Cia	</v>
      <v xml:space="preserve">CC-BY-SA		</v>
      <v xml:space="preserve">http://en.wikipedia.org/wiki/Serbia	https://www.cia.gov/library/publications/the-world-factbook/geos/ri.html?Transportation	</v>
      <v xml:space="preserve">http://creativecommons.org/licenses/by-sa/3.0/		</v>
    </spb>
    <spb s="0">
      <v xml:space="preserve">Wikipedia	</v>
      <v xml:space="preserve">CC BY-SA 3.0	</v>
      <v xml:space="preserve">https://en.wikipedia.org/wiki/Serbia	</v>
      <v xml:space="preserve">https://creativecommons.org/licenses/by-sa/3.0	</v>
    </spb>
    <spb s="0">
      <v xml:space="preserve">Wikipedia	</v>
      <v xml:space="preserve">CC-BY-SA	</v>
      <v xml:space="preserve">http://en.wikipedia.org/wiki/Serbia	</v>
      <v xml:space="preserve">http://creativecommons.org/licenses/by-sa/3.0/	</v>
    </spb>
    <spb s="0">
      <v xml:space="preserve">Cia	</v>
      <v xml:space="preserve">	</v>
      <v xml:space="preserve">https://www.cia.gov/library/publications/the-world-factbook/geos/ri.html?Transportation	</v>
      <v xml:space="preserve">	</v>
    </spb>
    <spb s="1">
      <v>0</v>
      <v>852</v>
      <v>853</v>
      <v>853</v>
      <v>3</v>
      <v>853</v>
      <v>853</v>
      <v>853</v>
      <v>854</v>
      <v>853</v>
      <v>853</v>
      <v>854</v>
      <v>853</v>
      <v>853</v>
      <v>855</v>
      <v>6</v>
      <v>852</v>
      <v>855</v>
      <v>8</v>
      <v>853</v>
      <v>855</v>
      <v>9</v>
      <v>10</v>
      <v>11</v>
      <v>855</v>
      <v>855</v>
      <v>853</v>
      <v>855</v>
      <v>12</v>
      <v>13</v>
      <v>14</v>
      <v>15</v>
      <v>855</v>
      <v>852</v>
      <v>855</v>
      <v>855</v>
      <v>855</v>
      <v>855</v>
      <v>855</v>
      <v>855</v>
      <v>855</v>
      <v>855</v>
      <v>855</v>
      <v>855</v>
      <v>16</v>
    </spb>
    <spb s="7">
      <v>2019</v>
      <v>2019</v>
      <v>square km</v>
      <v>per thousand (2018)</v>
      <v>2022</v>
      <v>2019</v>
      <v>2018</v>
      <v>per liter (2016)</v>
      <v>2019</v>
      <v>years (2018)</v>
      <v>2012</v>
      <v>per thousand (2018)</v>
      <v>2019</v>
      <v>2017</v>
      <v>2016</v>
      <v>2019</v>
      <v>2016</v>
      <v>2016</v>
      <v>kilotons per year (2016)</v>
      <v>deaths per 100,000 (2017)</v>
      <v>kWh (2014)</v>
      <v>2014</v>
      <v>2011</v>
      <v>2017</v>
      <v>2017</v>
      <v>2017</v>
      <v>2017</v>
      <v>2017</v>
      <v>2015</v>
      <v>2017</v>
      <v>2017</v>
      <v>2018</v>
      <v>2018</v>
      <v>2019</v>
    </spb>
    <spb s="0">
      <v xml:space="preserve">Wikipedia	</v>
      <v xml:space="preserve">CC BY-SA 3.0	</v>
      <v xml:space="preserve">https://en.wikipedia.org/wiki/Belgrade	</v>
      <v xml:space="preserve">https://creativecommons.org/licenses/by-sa/3.0	</v>
    </spb>
    <spb s="0">
      <v xml:space="preserve">Wikipedia	</v>
      <v xml:space="preserve">CC-BY-SA	</v>
      <v xml:space="preserve">http://en.wikipedia.org/wiki/Belgrade	</v>
      <v xml:space="preserve">http://creativecommons.org/licenses/by-sa/3.0/	</v>
    </spb>
    <spb s="32">
      <v>858</v>
      <v>858</v>
      <v>858</v>
      <v>858</v>
      <v>858</v>
      <v>859</v>
      <v>858</v>
    </spb>
    <spb s="13">
      <v>51</v>
      <v>51</v>
      <v>1</v>
      <v>51</v>
      <v>51</v>
      <v>51</v>
      <v>11</v>
      <v>51</v>
      <v>51</v>
      <v>51</v>
      <v>14</v>
      <v>5</v>
    </spb>
    <spb s="0">
      <v xml:space="preserve">Wikipedia	Cia	travel.state.gov	</v>
      <v xml:space="preserve">CC-BY-SA			</v>
      <v xml:space="preserve">http://en.wikipedia.org/wiki/Seychelles	https://www.cia.gov/library/publications/the-world-factbook/geos/se.html?Transportation	https://travel.state.gov/content/travel/en/international-travel/International-Travel-Country-Information-Pages/Seychelles.html	</v>
      <v xml:space="preserve">http://creativecommons.org/licenses/by-sa/3.0/			</v>
    </spb>
    <spb s="0">
      <v xml:space="preserve">Wikipedia	</v>
      <v xml:space="preserve">CC BY-SA 3.0	</v>
      <v xml:space="preserve">https://en.wikipedia.org/wiki/Seychelles	</v>
      <v xml:space="preserve">https://creativecommons.org/licenses/by-sa/3.0	</v>
    </spb>
    <spb s="0">
      <v xml:space="preserve">Wikipedia	</v>
      <v xml:space="preserve">CC-BY-SA	</v>
      <v xml:space="preserve">http://en.wikipedia.org/wiki/Seychelles	</v>
      <v xml:space="preserve">http://creativecommons.org/licenses/by-sa/3.0/	</v>
    </spb>
    <spb s="0">
      <v xml:space="preserve">Cia	</v>
      <v xml:space="preserve">	</v>
      <v xml:space="preserve">https://www.cia.gov/library/publications/the-world-factbook/geos/se.html?Transportation	</v>
      <v xml:space="preserve">	</v>
    </spb>
    <spb s="100">
      <v>0</v>
      <v>862</v>
      <v>863</v>
      <v>863</v>
      <v>3</v>
      <v>863</v>
      <v>863</v>
      <v>863</v>
      <v>864</v>
      <v>863</v>
      <v>863</v>
      <v>864</v>
      <v>863</v>
      <v>863</v>
      <v>865</v>
      <v>6</v>
      <v>865</v>
      <v>8</v>
      <v>863</v>
      <v>865</v>
      <v>9</v>
      <v>10</v>
      <v>11</v>
      <v>865</v>
      <v>863</v>
      <v>865</v>
      <v>12</v>
      <v>13</v>
      <v>14</v>
      <v>865</v>
      <v>862</v>
      <v>865</v>
      <v>865</v>
      <v>865</v>
      <v>865</v>
      <v>865</v>
      <v>865</v>
      <v>865</v>
      <v>865</v>
      <v>865</v>
      <v>865</v>
    </spb>
    <spb s="2">
      <v>76</v>
      <v>Name</v>
      <v>LearnMoreOnLink</v>
    </spb>
    <spb s="101">
      <v>2019</v>
      <v>2019</v>
      <v>square km</v>
      <v>per thousand (2018)</v>
      <v>2022</v>
      <v>2019</v>
      <v>2018</v>
      <v>2019</v>
      <v>years (2018)</v>
      <v>2018</v>
      <v>per thousand (2018)</v>
      <v>2019</v>
      <v>2017</v>
      <v>2016</v>
      <v>2016</v>
      <v>2016</v>
      <v>kilotons per year (2016)</v>
      <v>deaths per 100,000 (2017)</v>
      <v>2007</v>
      <v>2019</v>
      <v>2013</v>
      <v>2013</v>
      <v>2013</v>
      <v>2013</v>
      <v>2013</v>
      <v>2015</v>
      <v>2013</v>
      <v>2013</v>
      <v>2018</v>
      <v>2018</v>
    </spb>
    <spb s="0">
      <v xml:space="preserve">Wikipedia	</v>
      <v xml:space="preserve">CC BY-SA 3.0	</v>
      <v xml:space="preserve">https://en.wikipedia.org/wiki/Victoria,_Seychelles	</v>
      <v xml:space="preserve">https://creativecommons.org/licenses/by-sa/3.0	</v>
    </spb>
    <spb s="9">
      <v>869</v>
      <v>869</v>
      <v>869</v>
      <v>869</v>
      <v>869</v>
      <v>869</v>
      <v>869</v>
      <v>869</v>
    </spb>
    <spb s="0">
      <v xml:space="preserve">Wikipedia	Cia	travel.state.gov	</v>
      <v xml:space="preserve">CC-BY-SA			</v>
      <v xml:space="preserve">http://en.wikipedia.org/wiki/Sierra_Leone	https://www.cia.gov/library/publications/the-world-factbook/geos/sl.html?Transportation	https://travel.state.gov/content/travel/en/international-travel/International-Travel-Country-Information-Pages/SierraLeone.html	</v>
      <v xml:space="preserve">http://creativecommons.org/licenses/by-sa/3.0/			</v>
    </spb>
    <spb s="0">
      <v xml:space="preserve">Wikipedia	</v>
      <v xml:space="preserve">CC BY-SA 3.0	</v>
      <v xml:space="preserve">https://en.wikipedia.org/wiki/Sierra_Leone	</v>
      <v xml:space="preserve">https://creativecommons.org/licenses/by-sa/3.0	</v>
    </spb>
    <spb s="0">
      <v xml:space="preserve">Wikipedia	</v>
      <v xml:space="preserve">CC-BY-SA	</v>
      <v xml:space="preserve">http://en.wikipedia.org/wiki/Sierra_Leone	</v>
      <v xml:space="preserve">http://creativecommons.org/licenses/by-sa/3.0/	</v>
    </spb>
    <spb s="0">
      <v xml:space="preserve">Cia	</v>
      <v xml:space="preserve">	</v>
      <v xml:space="preserve">https://www.cia.gov/library/publications/the-world-factbook/geos/sl.html?Transportation	</v>
      <v xml:space="preserve">	</v>
    </spb>
    <spb s="44">
      <v>0</v>
      <v>871</v>
      <v>872</v>
      <v>872</v>
      <v>3</v>
      <v>872</v>
      <v>872</v>
      <v>872</v>
      <v>873</v>
      <v>872</v>
      <v>872</v>
      <v>873</v>
      <v>872</v>
      <v>872</v>
      <v>874</v>
      <v>6</v>
      <v>871</v>
      <v>874</v>
      <v>8</v>
      <v>872</v>
      <v>874</v>
      <v>9</v>
      <v>10</v>
      <v>11</v>
      <v>874</v>
      <v>874</v>
      <v>872</v>
      <v>874</v>
      <v>12</v>
      <v>13</v>
      <v>14</v>
      <v>874</v>
      <v>874</v>
      <v>874</v>
      <v>874</v>
      <v>874</v>
      <v>874</v>
      <v>874</v>
      <v>874</v>
      <v>874</v>
      <v>874</v>
      <v>16</v>
    </spb>
    <spb s="45">
      <v>2019</v>
      <v>2019</v>
      <v>square km</v>
      <v>per thousand (2018)</v>
      <v>2022</v>
      <v>2019</v>
      <v>2018</v>
      <v>per liter (2016)</v>
      <v>2019</v>
      <v>years (2018)</v>
      <v>2014</v>
      <v>per thousand (2018)</v>
      <v>2019</v>
      <v>2017</v>
      <v>2016</v>
      <v>2019</v>
      <v>2016</v>
      <v>2011</v>
      <v>kilotons per year (2016)</v>
      <v>deaths per 100,000 (2017)</v>
      <v>2018</v>
      <v>2018</v>
      <v>2018</v>
      <v>2018</v>
      <v>2018</v>
      <v>2015</v>
      <v>2018</v>
      <v>2018</v>
      <v>2018</v>
      <v>2002</v>
      <v>2019</v>
    </spb>
    <spb s="0">
      <v xml:space="preserve">Wikipedia	</v>
      <v xml:space="preserve">CC-BY-SA	</v>
      <v xml:space="preserve">http://en.wikipedia.org/wiki/Freetown	</v>
      <v xml:space="preserve">http://creativecommons.org/licenses/by-sa/3.0/	</v>
    </spb>
    <spb s="0">
      <v xml:space="preserve">Wikipedia	</v>
      <v xml:space="preserve">CC BY-SA 3.0	</v>
      <v xml:space="preserve">https://en.wikipedia.org/wiki/Freetown	</v>
      <v xml:space="preserve">https://creativecommons.org/licenses/by-sa/3.0	</v>
    </spb>
    <spb s="22">
      <v>877</v>
      <v>878</v>
      <v>878</v>
      <v>878</v>
      <v>878</v>
      <v>878</v>
      <v>878</v>
      <v>878</v>
      <v>878</v>
    </spb>
    <spb s="13">
      <v>52</v>
      <v>52</v>
      <v>1</v>
      <v>52</v>
      <v>52</v>
      <v>52</v>
      <v>11</v>
      <v>52</v>
      <v>52</v>
      <v>52</v>
      <v>14</v>
      <v>5</v>
    </spb>
    <spb s="0">
      <v xml:space="preserve">Wikipedia	Cia	travel.state.gov	</v>
      <v xml:space="preserve">CC-BY-SA			</v>
      <v xml:space="preserve">http://en.wikipedia.org/wiki/Singapore	https://www.cia.gov/library/publications/the-world-factbook/geos/sn.html?Transportation	https://travel.state.gov/content/travel/en/international-travel/International-Travel-Country-Information-Pages/Singapore.html	</v>
      <v xml:space="preserve">http://creativecommons.org/licenses/by-sa/3.0/			</v>
    </spb>
    <spb s="0">
      <v xml:space="preserve">Wikipedia	</v>
      <v xml:space="preserve">CC BY-SA 3.0	</v>
      <v xml:space="preserve">https://en.wikipedia.org/wiki/Singapore	</v>
      <v xml:space="preserve">https://creativecommons.org/licenses/by-sa/3.0	</v>
    </spb>
    <spb s="0">
      <v xml:space="preserve">Wikipedia	</v>
      <v xml:space="preserve">CC-BY-SA	</v>
      <v xml:space="preserve">http://en.wikipedia.org/wiki/Singapore	</v>
      <v xml:space="preserve">http://creativecommons.org/licenses/by-sa/3.0/	</v>
    </spb>
    <spb s="0">
      <v xml:space="preserve">Cia	</v>
      <v xml:space="preserve">	</v>
      <v xml:space="preserve">https://www.cia.gov/library/publications/the-world-factbook/geos/sn.html?Transportation	</v>
      <v xml:space="preserve">	</v>
    </spb>
    <spb s="102">
      <v>0</v>
      <v>881</v>
      <v>882</v>
      <v>882</v>
      <v>3</v>
      <v>882</v>
      <v>882</v>
      <v>882</v>
      <v>883</v>
      <v>882</v>
      <v>882</v>
      <v>882</v>
      <v>884</v>
      <v>6</v>
      <v>881</v>
      <v>884</v>
      <v>8</v>
      <v>882</v>
      <v>884</v>
      <v>9</v>
      <v>10</v>
      <v>11</v>
      <v>884</v>
      <v>884</v>
      <v>882</v>
      <v>884</v>
      <v>12</v>
      <v>13</v>
      <v>14</v>
      <v>15</v>
      <v>884</v>
      <v>881</v>
      <v>884</v>
      <v>884</v>
      <v>884</v>
      <v>16</v>
    </spb>
    <spb s="2">
      <v>77</v>
      <v>Name</v>
      <v>LearnMoreOnLink</v>
    </spb>
    <spb s="41">
      <v>2019</v>
      <v>2019</v>
      <v>square km</v>
      <v>per thousand (2018)</v>
      <v>2022</v>
      <v>2019</v>
      <v>2018</v>
      <v>per liter (2016)</v>
      <v>2019</v>
      <v>years (2018)</v>
      <v>2018</v>
      <v>per thousand (2018)</v>
      <v>2019</v>
      <v>2017</v>
      <v>2016</v>
      <v>2019</v>
      <v>2016</v>
      <v>2016</v>
      <v>kilotons per year (2016)</v>
      <v>deaths per 100,000 (2017)</v>
      <v>kWh (2014)</v>
      <v>2014</v>
      <v>2019</v>
      <v>2015</v>
      <v>2017</v>
      <v>2017</v>
      <v>2019</v>
    </spb>
    <spb s="0">
      <v xml:space="preserve">Wikipedia	Cia	travel.state.gov	</v>
      <v xml:space="preserve">CC-BY-SA			</v>
      <v xml:space="preserve">http://en.wikipedia.org/wiki/Slovakia	https://www.cia.gov/library/publications/the-world-factbook/geos/lo.html?Transportation	https://travel.state.gov/content/travel/en/international-travel/International-Travel-Country-Information-Pages/Slovakia.html	</v>
      <v xml:space="preserve">http://creativecommons.org/licenses/by-sa/3.0/			</v>
    </spb>
    <spb s="0">
      <v xml:space="preserve">Wikipedia	</v>
      <v xml:space="preserve">CC BY-SA 3.0	</v>
      <v xml:space="preserve">https://en.wikipedia.org/wiki/Slovakia	</v>
      <v xml:space="preserve">https://creativecommons.org/licenses/by-sa/3.0	</v>
    </spb>
    <spb s="0">
      <v xml:space="preserve">Wikipedia	</v>
      <v xml:space="preserve">CC-BY-SA	</v>
      <v xml:space="preserve">http://en.wikipedia.org/wiki/Slovakia	</v>
      <v xml:space="preserve">http://creativecommons.org/licenses/by-sa/3.0/	</v>
    </spb>
    <spb s="0">
      <v xml:space="preserve">Cia	</v>
      <v xml:space="preserve">	</v>
      <v xml:space="preserve">https://www.cia.gov/library/publications/the-world-factbook/geos/lo.html?Transportation	</v>
      <v xml:space="preserve">	</v>
    </spb>
    <spb s="1">
      <v>0</v>
      <v>888</v>
      <v>889</v>
      <v>889</v>
      <v>3</v>
      <v>889</v>
      <v>889</v>
      <v>889</v>
      <v>890</v>
      <v>889</v>
      <v>889</v>
      <v>890</v>
      <v>889</v>
      <v>889</v>
      <v>891</v>
      <v>6</v>
      <v>888</v>
      <v>891</v>
      <v>8</v>
      <v>889</v>
      <v>891</v>
      <v>9</v>
      <v>10</v>
      <v>11</v>
      <v>891</v>
      <v>891</v>
      <v>889</v>
      <v>891</v>
      <v>12</v>
      <v>13</v>
      <v>14</v>
      <v>15</v>
      <v>891</v>
      <v>888</v>
      <v>891</v>
      <v>891</v>
      <v>891</v>
      <v>891</v>
      <v>891</v>
      <v>891</v>
      <v>891</v>
      <v>891</v>
      <v>891</v>
      <v>891</v>
      <v>16</v>
    </spb>
    <spb s="7">
      <v>2019</v>
      <v>2019</v>
      <v>square km</v>
      <v>per thousand (2018)</v>
      <v>2022</v>
      <v>2019</v>
      <v>2018</v>
      <v>per liter (2016)</v>
      <v>2019</v>
      <v>years (2018)</v>
      <v>2018</v>
      <v>per thousand (2018)</v>
      <v>2019</v>
      <v>2017</v>
      <v>2016</v>
      <v>2019</v>
      <v>2016</v>
      <v>2017</v>
      <v>kilotons per year (2016)</v>
      <v>deaths per 100,000 (2017)</v>
      <v>kWh (2014)</v>
      <v>2015</v>
      <v>2013</v>
      <v>2016</v>
      <v>2016</v>
      <v>2016</v>
      <v>2016</v>
      <v>2016</v>
      <v>2015</v>
      <v>2016</v>
      <v>2016</v>
      <v>2017</v>
      <v>2017</v>
      <v>2019</v>
    </spb>
    <spb s="0">
      <v xml:space="preserve">Wikipedia	</v>
      <v xml:space="preserve">CC BY-SA 3.0	</v>
      <v xml:space="preserve">https://en.wikipedia.org/wiki/Bratislava	</v>
      <v xml:space="preserve">https://creativecommons.org/licenses/by-sa/3.0	</v>
    </spb>
    <spb s="29">
      <v>894</v>
      <v>894</v>
      <v>894</v>
      <v>894</v>
      <v>894</v>
      <v>894</v>
      <v>894</v>
      <v>894</v>
      <v>894</v>
      <v>894</v>
    </spb>
    <spb s="13">
      <v>53</v>
      <v>53</v>
      <v>1</v>
      <v>53</v>
      <v>53</v>
      <v>53</v>
      <v>11</v>
      <v>53</v>
      <v>53</v>
      <v>53</v>
      <v>14</v>
      <v>5</v>
    </spb>
    <spb s="0">
      <v xml:space="preserve">Wikipedia	Cia	travel.state.gov	</v>
      <v xml:space="preserve">CC-BY-SA			</v>
      <v xml:space="preserve">http://en.wikipedia.org/wiki/Slovenia	https://www.cia.gov/library/publications/the-world-factbook/geos/si.html?Transportation	https://travel.state.gov/content/travel/en/international-travel/International-Travel-Country-Information-Pages/Slovenia.html	</v>
      <v xml:space="preserve">http://creativecommons.org/licenses/by-sa/3.0/			</v>
    </spb>
    <spb s="0">
      <v xml:space="preserve">Wikipedia	</v>
      <v xml:space="preserve">CC BY-SA 3.0	</v>
      <v xml:space="preserve">https://en.wikipedia.org/wiki/Slovenia	</v>
      <v xml:space="preserve">https://creativecommons.org/licenses/by-sa/3.0	</v>
    </spb>
    <spb s="0">
      <v xml:space="preserve">Wikipedia	</v>
      <v xml:space="preserve">CC-BY-SA	</v>
      <v xml:space="preserve">http://en.wikipedia.org/wiki/Slovenia	</v>
      <v xml:space="preserve">http://creativecommons.org/licenses/by-sa/3.0/	</v>
    </spb>
    <spb s="0">
      <v xml:space="preserve">Cia	</v>
      <v xml:space="preserve">	</v>
      <v xml:space="preserve">https://www.cia.gov/library/publications/the-world-factbook/geos/si.html?Transportation	</v>
      <v xml:space="preserve">	</v>
    </spb>
    <spb s="1">
      <v>0</v>
      <v>897</v>
      <v>898</v>
      <v>898</v>
      <v>3</v>
      <v>898</v>
      <v>898</v>
      <v>898</v>
      <v>899</v>
      <v>898</v>
      <v>898</v>
      <v>899</v>
      <v>898</v>
      <v>898</v>
      <v>900</v>
      <v>6</v>
      <v>897</v>
      <v>900</v>
      <v>8</v>
      <v>898</v>
      <v>900</v>
      <v>9</v>
      <v>10</v>
      <v>11</v>
      <v>900</v>
      <v>900</v>
      <v>898</v>
      <v>900</v>
      <v>12</v>
      <v>13</v>
      <v>14</v>
      <v>15</v>
      <v>900</v>
      <v>897</v>
      <v>900</v>
      <v>900</v>
      <v>900</v>
      <v>900</v>
      <v>900</v>
      <v>900</v>
      <v>900</v>
      <v>900</v>
      <v>900</v>
      <v>900</v>
      <v>16</v>
    </spb>
    <spb s="0">
      <v xml:space="preserve">Wikipedia	</v>
      <v xml:space="preserve">CC BY-SA 3.0	</v>
      <v xml:space="preserve">https://en.wikipedia.org/wiki/Ljubljana	</v>
      <v xml:space="preserve">https://creativecommons.org/licenses/by-sa/3.0	</v>
    </spb>
    <spb s="9">
      <v>902</v>
      <v>902</v>
      <v>902</v>
      <v>902</v>
      <v>902</v>
      <v>902</v>
      <v>902</v>
      <v>902</v>
    </spb>
    <spb s="0">
      <v xml:space="preserve">Wikipedia	Cia	travel.state.gov	</v>
      <v xml:space="preserve">CC-BY-SA			</v>
      <v xml:space="preserve">http://en.wikipedia.org/wiki/Solomon_Islands	https://www.cia.gov/library/publications/the-world-factbook/geos/bp.html?Transportation	https://travel.state.gov/content/travel/en/international-travel/International-Travel-Country-Information-Pages/SolomonIslands.html	</v>
      <v xml:space="preserve">http://creativecommons.org/licenses/by-sa/3.0/			</v>
    </spb>
    <spb s="0">
      <v xml:space="preserve">Wikipedia	</v>
      <v xml:space="preserve">CC BY-SA 3.0	</v>
      <v xml:space="preserve">https://en.wikipedia.org/wiki/Solomon_Islands	</v>
      <v xml:space="preserve">https://creativecommons.org/licenses/by-sa/3.0	</v>
    </spb>
    <spb s="0">
      <v xml:space="preserve">Wikipedia	</v>
      <v xml:space="preserve">CC-BY-SA	</v>
      <v xml:space="preserve">http://en.wikipedia.org/wiki/Solomon_Islands	</v>
      <v xml:space="preserve">http://creativecommons.org/licenses/by-sa/3.0/	</v>
    </spb>
    <spb s="0">
      <v xml:space="preserve">Cia	</v>
      <v xml:space="preserve">	</v>
      <v xml:space="preserve">https://www.cia.gov/library/publications/the-world-factbook/geos/bp.html?Transportation	</v>
      <v xml:space="preserve">	</v>
    </spb>
    <spb s="103">
      <v>0</v>
      <v>904</v>
      <v>905</v>
      <v>905</v>
      <v>3</v>
      <v>905</v>
      <v>905</v>
      <v>905</v>
      <v>906</v>
      <v>905</v>
      <v>905</v>
      <v>906</v>
      <v>905</v>
      <v>905</v>
      <v>907</v>
      <v>6</v>
      <v>907</v>
      <v>8</v>
      <v>905</v>
      <v>907</v>
      <v>9</v>
      <v>10</v>
      <v>907</v>
      <v>907</v>
      <v>905</v>
      <v>907</v>
      <v>12</v>
      <v>13</v>
      <v>14</v>
      <v>907</v>
      <v>907</v>
      <v>907</v>
      <v>907</v>
      <v>907</v>
      <v>907</v>
      <v>907</v>
      <v>907</v>
      <v>907</v>
      <v>907</v>
      <v>16</v>
    </spb>
    <spb s="2">
      <v>78</v>
      <v>Name</v>
      <v>LearnMoreOnLink</v>
    </spb>
    <spb s="104">
      <v>2019</v>
      <v>2019</v>
      <v>square km</v>
      <v>per thousand (2018)</v>
      <v>2022</v>
      <v>2019</v>
      <v>2018</v>
      <v>2019</v>
      <v>years (2018)</v>
      <v>2018</v>
      <v>per thousand (2018)</v>
      <v>2019</v>
      <v>2016</v>
      <v>2019</v>
      <v>2016</v>
      <v>2016</v>
      <v>kilotons per year (2016)</v>
      <v>deaths per 100,000 (2017)</v>
      <v>2007</v>
      <v>2013</v>
      <v>2013</v>
      <v>2013</v>
      <v>2013</v>
      <v>2013</v>
      <v>2015</v>
      <v>2013</v>
      <v>2013</v>
      <v>2018</v>
      <v>2019</v>
    </spb>
    <spb s="0">
      <v xml:space="preserve">Wikipedia	</v>
      <v xml:space="preserve">CC-BY-SA	</v>
      <v xml:space="preserve">http://en.wikipedia.org/wiki/Honiara	</v>
      <v xml:space="preserve">http://creativecommons.org/licenses/by-sa/3.0/	</v>
    </spb>
    <spb s="0">
      <v xml:space="preserve">Wikipedia	</v>
      <v xml:space="preserve">CC BY-SA 3.0	</v>
      <v xml:space="preserve">https://en.wikipedia.org/wiki/Honiara	</v>
      <v xml:space="preserve">https://creativecommons.org/licenses/by-sa/3.0	</v>
    </spb>
    <spb s="32">
      <v>911</v>
      <v>912</v>
      <v>912</v>
      <v>912</v>
      <v>912</v>
      <v>911</v>
      <v>912</v>
    </spb>
    <spb s="13">
      <v>54</v>
      <v>54</v>
      <v>1</v>
      <v>54</v>
      <v>54</v>
      <v>54</v>
      <v>11</v>
      <v>54</v>
      <v>54</v>
      <v>54</v>
      <v>14</v>
      <v>5</v>
    </spb>
    <spb s="0">
      <v xml:space="preserve">Wikipedia	Cia	travel.state.gov	</v>
      <v xml:space="preserve">CC-BY-SA			</v>
      <v xml:space="preserve">http://en.wikipedia.org/wiki/Somalia	https://www.cia.gov/library/publications/the-world-factbook/geos/so.html?Transportation	https://travel.state.gov/content/travel/en/international-travel/International-Travel-Country-Information-Pages/Somalia.html	</v>
      <v xml:space="preserve">http://creativecommons.org/licenses/by-sa/3.0/			</v>
    </spb>
    <spb s="0">
      <v xml:space="preserve">Wikipedia	</v>
      <v xml:space="preserve">CC BY-SA 3.0	</v>
      <v xml:space="preserve">https://en.wikipedia.org/wiki/Somalia	</v>
      <v xml:space="preserve">https://creativecommons.org/licenses/by-sa/3.0	</v>
    </spb>
    <spb s="0">
      <v xml:space="preserve">Wikipedia	</v>
      <v xml:space="preserve">CC-BY-SA	</v>
      <v xml:space="preserve">http://en.wikipedia.org/wiki/Somalia	</v>
      <v xml:space="preserve">http://creativecommons.org/licenses/by-sa/3.0/	</v>
    </spb>
    <spb s="0">
      <v xml:space="preserve">Cia	</v>
      <v xml:space="preserve">	</v>
      <v xml:space="preserve">https://www.cia.gov/library/publications/the-world-factbook/geos/so.html?Transportation	</v>
      <v xml:space="preserve">	</v>
    </spb>
    <spb s="105">
      <v>915</v>
      <v>916</v>
      <v>916</v>
      <v>3</v>
      <v>916</v>
      <v>916</v>
      <v>916</v>
      <v>917</v>
      <v>916</v>
      <v>916</v>
      <v>916</v>
      <v>916</v>
      <v>6</v>
      <v>915</v>
      <v>8</v>
      <v>916</v>
      <v>918</v>
      <v>9</v>
      <v>10</v>
      <v>11</v>
      <v>918</v>
      <v>918</v>
      <v>916</v>
      <v>918</v>
      <v>12</v>
      <v>13</v>
      <v>14</v>
      <v>918</v>
      <v>918</v>
      <v>16</v>
    </spb>
    <spb s="2">
      <v>79</v>
      <v>Name</v>
      <v>LearnMoreOnLink</v>
    </spb>
    <spb s="106">
      <v>2018</v>
      <v>square km</v>
      <v>per thousand (2018)</v>
      <v>2022</v>
      <v>2018</v>
      <v>per liter (2016)</v>
      <v>years (2018)</v>
      <v>2018</v>
      <v>per thousand (2018)</v>
      <v>2019</v>
      <v>2017</v>
      <v>2016</v>
      <v>2019</v>
      <v>2016</v>
      <v>2014</v>
      <v>kilotons per year (2016)</v>
      <v>deaths per 100,000 (2017)</v>
      <v>2007</v>
      <v>1987</v>
      <v>2019</v>
    </spb>
    <spb s="0">
      <v xml:space="preserve">Wikipedia	</v>
      <v xml:space="preserve">CC BY-SA 3.0	</v>
      <v xml:space="preserve">https://en.wikipedia.org/wiki/Mogadishu	</v>
      <v xml:space="preserve">https://creativecommons.org/licenses/by-sa/3.0	</v>
    </spb>
    <spb s="22">
      <v>922</v>
      <v>922</v>
      <v>922</v>
      <v>922</v>
      <v>922</v>
      <v>922</v>
      <v>922</v>
      <v>922</v>
      <v>922</v>
    </spb>
    <spb s="0">
      <v xml:space="preserve">Wikipedia	Cia	travel.state.gov	</v>
      <v xml:space="preserve">CC-BY-SA			</v>
      <v xml:space="preserve">http://en.wikipedia.org/wiki/South_Africa	https://www.cia.gov/library/publications/the-world-factbook/geos/sf.html?Transportation	https://travel.state.gov/content/travel/en/international-travel/International-Travel-Country-Information-Pages/SouthAfrica.html	</v>
      <v xml:space="preserve">http://creativecommons.org/licenses/by-sa/3.0/			</v>
    </spb>
    <spb s="0">
      <v xml:space="preserve">Wikipedia	</v>
      <v xml:space="preserve">CC BY-SA 3.0	</v>
      <v xml:space="preserve">https://en.wikipedia.org/wiki/South_Africa	</v>
      <v xml:space="preserve">https://creativecommons.org/licenses/by-sa/3.0	</v>
    </spb>
    <spb s="0">
      <v xml:space="preserve">Wikipedia	</v>
      <v xml:space="preserve">CC-BY-SA	</v>
      <v xml:space="preserve">http://en.wikipedia.org/wiki/South_Africa	</v>
      <v xml:space="preserve">http://creativecommons.org/licenses/by-sa/3.0/	</v>
    </spb>
    <spb s="0">
      <v xml:space="preserve">Cia	</v>
      <v xml:space="preserve">	</v>
      <v xml:space="preserve">https://www.cia.gov/library/publications/the-world-factbook/geos/sf.html?Transportation	</v>
      <v xml:space="preserve">	</v>
    </spb>
    <spb s="28">
      <v>0</v>
      <v>924</v>
      <v>925</v>
      <v>925</v>
      <v>3</v>
      <v>925</v>
      <v>925</v>
      <v>925</v>
      <v>926</v>
      <v>925</v>
      <v>925</v>
      <v>925</v>
      <v>925</v>
      <v>927</v>
      <v>6</v>
      <v>924</v>
      <v>927</v>
      <v>8</v>
      <v>925</v>
      <v>927</v>
      <v>9</v>
      <v>10</v>
      <v>11</v>
      <v>927</v>
      <v>927</v>
      <v>925</v>
      <v>927</v>
      <v>12</v>
      <v>13</v>
      <v>14</v>
      <v>15</v>
      <v>927</v>
      <v>924</v>
      <v>927</v>
      <v>927</v>
      <v>927</v>
      <v>927</v>
      <v>927</v>
      <v>927</v>
      <v>927</v>
      <v>927</v>
      <v>927</v>
      <v>927</v>
      <v>16</v>
    </spb>
    <spb s="7">
      <v>2019</v>
      <v>2019</v>
      <v>square km</v>
      <v>per thousand (2018)</v>
      <v>2022</v>
      <v>2019</v>
      <v>2018</v>
      <v>per liter (2016)</v>
      <v>2019</v>
      <v>years (2018)</v>
      <v>2018</v>
      <v>per thousand (2018)</v>
      <v>2019</v>
      <v>2017</v>
      <v>2016</v>
      <v>2019</v>
      <v>2016</v>
      <v>2017</v>
      <v>kilotons per year (2016)</v>
      <v>deaths per 100,000 (2017)</v>
      <v>kWh (2014)</v>
      <v>2014</v>
      <v>2019</v>
      <v>2014</v>
      <v>2014</v>
      <v>2014</v>
      <v>2014</v>
      <v>2014</v>
      <v>2015</v>
      <v>2014</v>
      <v>2014</v>
      <v>2017</v>
      <v>2017</v>
      <v>2019</v>
    </spb>
    <spb s="0">
      <v xml:space="preserve">Wikipedia	</v>
      <v xml:space="preserve">CC BY-SA 3.0	</v>
      <v xml:space="preserve">https://en.wikipedia.org/wiki/Pretoria	</v>
      <v xml:space="preserve">https://creativecommons.org/licenses/by-sa/3.0	</v>
    </spb>
    <spb s="29">
      <v>930</v>
      <v>930</v>
      <v>930</v>
      <v>930</v>
      <v>930</v>
      <v>930</v>
      <v>930</v>
      <v>930</v>
      <v>930</v>
      <v>930</v>
    </spb>
    <spb s="0">
      <v xml:space="preserve">Wikipedia	</v>
      <v xml:space="preserve">CC BY-SA 3.0	</v>
      <v xml:space="preserve">https://en.wikipedia.org/wiki/Johannesburg	</v>
      <v xml:space="preserve">https://creativecommons.org/licenses/by-sa/3.0	</v>
    </spb>
    <spb s="29">
      <v>932</v>
      <v>932</v>
      <v>932</v>
      <v>932</v>
      <v>932</v>
      <v>932</v>
      <v>932</v>
      <v>932</v>
      <v>932</v>
      <v>932</v>
    </spb>
    <spb s="75">
      <v>1</v>
      <v>55</v>
      <v>55</v>
      <v>11</v>
      <v>55</v>
      <v>55</v>
      <v>55</v>
      <v>14</v>
      <v>5</v>
    </spb>
    <spb s="0">
      <v xml:space="preserve">Wikipedia	travel.state.gov	</v>
      <v xml:space="preserve">CC-BY-SA		</v>
      <v xml:space="preserve">http://en.wikipedia.org/wiki/South_Korea	https://travel.state.gov/content/travel/en/international-travel/International-Travel-Country-Information-Pages/SouthKorea.html	</v>
      <v xml:space="preserve">http://creativecommons.org/licenses/by-sa/3.0/		</v>
    </spb>
    <spb s="0">
      <v xml:space="preserve">Wikipedia	</v>
      <v xml:space="preserve">CC BY-SA 3.0	</v>
      <v xml:space="preserve">https://en.wikipedia.org/wiki/South_Korea	</v>
      <v xml:space="preserve">https://creativecommons.org/licenses/by-sa/3.0	</v>
    </spb>
    <spb s="0">
      <v xml:space="preserve">Wikipedia	</v>
      <v xml:space="preserve">CC-BY-SA	</v>
      <v xml:space="preserve">http://en.wikipedia.org/wiki/South_Korea	</v>
      <v xml:space="preserve">http://creativecommons.org/licenses/by-sa/3.0/	</v>
    </spb>
    <spb s="0">
      <v xml:space="preserve">Cia	</v>
      <v xml:space="preserve">	</v>
      <v xml:space="preserve">https://www.cia.gov/library/publications/the-world-factbook/geos/ks.html?Transportation	</v>
      <v xml:space="preserve">	</v>
    </spb>
    <spb s="0">
      <v xml:space="preserve">Wikipedia	Cia	travel.state.gov	</v>
      <v xml:space="preserve">CC-BY-SA			</v>
      <v xml:space="preserve">http://en.wikipedia.org/wiki/South_Korea	https://www.cia.gov/library/publications/the-world-factbook/geos/ks.html?Transportation	https://travel.state.gov/content/travel/en/international-travel/International-Travel-Country-Information-Pages/SouthKorea.html	</v>
      <v xml:space="preserve">http://creativecommons.org/licenses/by-sa/3.0/			</v>
    </spb>
    <spb s="1">
      <v>0</v>
      <v>935</v>
      <v>936</v>
      <v>936</v>
      <v>3</v>
      <v>936</v>
      <v>936</v>
      <v>936</v>
      <v>937</v>
      <v>936</v>
      <v>936</v>
      <v>937</v>
      <v>936</v>
      <v>936</v>
      <v>938</v>
      <v>6</v>
      <v>939</v>
      <v>938</v>
      <v>8</v>
      <v>936</v>
      <v>938</v>
      <v>9</v>
      <v>10</v>
      <v>11</v>
      <v>938</v>
      <v>938</v>
      <v>936</v>
      <v>938</v>
      <v>12</v>
      <v>13</v>
      <v>14</v>
      <v>15</v>
      <v>938</v>
      <v>939</v>
      <v>938</v>
      <v>938</v>
      <v>938</v>
      <v>938</v>
      <v>938</v>
      <v>938</v>
      <v>938</v>
      <v>938</v>
      <v>938</v>
      <v>938</v>
      <v>16</v>
    </spb>
    <spb s="7">
      <v>2019</v>
      <v>2017</v>
      <v>square km</v>
      <v>per thousand (2018)</v>
      <v>2022</v>
      <v>2019</v>
      <v>2018</v>
      <v>per liter (2016)</v>
      <v>2019</v>
      <v>years (2018)</v>
      <v>2018</v>
      <v>per thousand (2018)</v>
      <v>2019</v>
      <v>2017</v>
      <v>2016</v>
      <v>2019</v>
      <v>2016</v>
      <v>2017</v>
      <v>kilotons per year (2016)</v>
      <v>deaths per 100,000 (2017)</v>
      <v>kWh (2014)</v>
      <v>2015</v>
      <v>2018</v>
      <v>2012</v>
      <v>2012</v>
      <v>2012</v>
      <v>2012</v>
      <v>2012</v>
      <v>2015</v>
      <v>2012</v>
      <v>2012</v>
      <v>2017</v>
      <v>2017</v>
      <v>2019</v>
    </spb>
    <spb s="0">
      <v xml:space="preserve">Wikipedia	</v>
      <v xml:space="preserve">CC BY-SA 3.0	</v>
      <v xml:space="preserve">https://en.wikipedia.org/wiki/Seoul	</v>
      <v xml:space="preserve">https://creativecommons.org/licenses/by-sa/3.0	</v>
    </spb>
    <spb s="0">
      <v xml:space="preserve">Kosis	</v>
      <v xml:space="preserve">	</v>
      <v xml:space="preserve">http://kosis.kr/statHtml/statHtml.do?orgId=101&amp;tblId=DT_1IN0001_ENG&amp;conn_path=I2&amp;language=en	</v>
      <v xml:space="preserve">	</v>
    </spb>
    <spb s="0">
      <v xml:space="preserve">Wikipedia	</v>
      <v xml:space="preserve">CC-BY-SA	</v>
      <v xml:space="preserve">http://en.wikipedia.org/wiki/Seoul	</v>
      <v xml:space="preserve">http://creativecommons.org/licenses/by-sa/3.0/	</v>
    </spb>
    <spb s="107">
      <v>942</v>
      <v>942</v>
      <v>943</v>
      <v>942</v>
      <v>942</v>
      <v>942</v>
      <v>944</v>
      <v>943</v>
      <v>942</v>
      <v>942</v>
    </spb>
    <spb s="2">
      <v>80</v>
      <v>Name</v>
      <v>LearnMoreOnLink</v>
    </spb>
    <spb s="108">
      <v>square km</v>
      <v>2016</v>
      <v>2020</v>
      <v>2016</v>
    </spb>
    <spb s="0">
      <v xml:space="preserve">Wikipedia	Cia	travel.state.gov	</v>
      <v xml:space="preserve">CC-BY-SA			</v>
      <v xml:space="preserve">http://en.wikipedia.org/wiki/South_Sudan	https://www.cia.gov/library/publications/the-world-factbook/geos/od.html?Transportation	https://travel.state.gov/content/travel/en/international-travel/International-Travel-Country-Information-Pages/SouthSudan.html	</v>
      <v xml:space="preserve">http://creativecommons.org/licenses/by-sa/3.0/			</v>
    </spb>
    <spb s="0">
      <v xml:space="preserve">Wikipedia	</v>
      <v xml:space="preserve">CC BY-SA 3.0	</v>
      <v xml:space="preserve">https://en.wikipedia.org/wiki/South_Sudan	</v>
      <v xml:space="preserve">https://creativecommons.org/licenses/by-sa/3.0	</v>
    </spb>
    <spb s="0">
      <v xml:space="preserve">Wikipedia	</v>
      <v xml:space="preserve">CC-BY-SA	</v>
      <v xml:space="preserve">http://en.wikipedia.org/wiki/South_Sudan	</v>
      <v xml:space="preserve">http://creativecommons.org/licenses/by-sa/3.0/	</v>
    </spb>
    <spb s="0">
      <v xml:space="preserve">Cia	</v>
      <v xml:space="preserve">	</v>
      <v xml:space="preserve">https://www.cia.gov/library/publications/the-world-factbook/geos/od.html?Transportation	</v>
      <v xml:space="preserve">	</v>
    </spb>
    <spb s="109">
      <v>0</v>
      <v>948</v>
      <v>949</v>
      <v>949</v>
      <v>3</v>
      <v>949</v>
      <v>949</v>
      <v>949</v>
      <v>950</v>
      <v>949</v>
      <v>949</v>
      <v>949</v>
      <v>949</v>
      <v>951</v>
      <v>6</v>
      <v>948</v>
      <v>951</v>
      <v>8</v>
      <v>949</v>
      <v>9</v>
      <v>10</v>
      <v>11</v>
      <v>951</v>
      <v>949</v>
      <v>13</v>
      <v>14</v>
      <v>15</v>
      <v>951</v>
      <v>951</v>
      <v>951</v>
      <v>951</v>
      <v>951</v>
      <v>951</v>
      <v>951</v>
      <v>951</v>
      <v>951</v>
      <v>951</v>
      <v>16</v>
    </spb>
    <spb s="2">
      <v>81</v>
      <v>Name</v>
      <v>LearnMoreOnLink</v>
    </spb>
    <spb s="110">
      <v>2017</v>
      <v>2015</v>
      <v>square km</v>
      <v>per thousand (2018)</v>
      <v>2022</v>
      <v>2017</v>
      <v>2018</v>
      <v>per liter (2016)</v>
      <v>2019</v>
      <v>years (2018)</v>
      <v>per thousand (2018)</v>
      <v>2019</v>
      <v>2017</v>
      <v>2019</v>
      <v>kilotons per year (2016)</v>
      <v>deaths per 100,000 (2017)</v>
      <v>kWh (2014)</v>
      <v>2014</v>
      <v>2009</v>
      <v>2009</v>
      <v>2009</v>
      <v>2009</v>
      <v>2009</v>
      <v>2015</v>
      <v>2009</v>
      <v>2009</v>
      <v>2015</v>
      <v>2019</v>
    </spb>
    <spb s="0">
      <v xml:space="preserve">Wikipedia	</v>
      <v xml:space="preserve">CC BY-SA 3.0	</v>
      <v xml:space="preserve">https://en.wikipedia.org/wiki/Juba	</v>
      <v xml:space="preserve">https://creativecommons.org/licenses/by-sa/3.0	</v>
    </spb>
    <spb s="22">
      <v>955</v>
      <v>955</v>
      <v>955</v>
      <v>955</v>
      <v>955</v>
      <v>955</v>
      <v>955</v>
      <v>955</v>
      <v>955</v>
    </spb>
    <spb s="75">
      <v>1</v>
      <v>56</v>
      <v>56</v>
      <v>11</v>
      <v>56</v>
      <v>56</v>
      <v>56</v>
      <v>14</v>
      <v>5</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
      <v>0</v>
      <v>958</v>
      <v>959</v>
      <v>959</v>
      <v>3</v>
      <v>959</v>
      <v>959</v>
      <v>959</v>
      <v>960</v>
      <v>959</v>
      <v>959</v>
      <v>960</v>
      <v>959</v>
      <v>959</v>
      <v>961</v>
      <v>6</v>
      <v>958</v>
      <v>961</v>
      <v>8</v>
      <v>959</v>
      <v>961</v>
      <v>9</v>
      <v>10</v>
      <v>11</v>
      <v>961</v>
      <v>961</v>
      <v>959</v>
      <v>961</v>
      <v>12</v>
      <v>13</v>
      <v>14</v>
      <v>15</v>
      <v>961</v>
      <v>958</v>
      <v>961</v>
      <v>961</v>
      <v>961</v>
      <v>961</v>
      <v>961</v>
      <v>961</v>
      <v>961</v>
      <v>961</v>
      <v>961</v>
      <v>961</v>
      <v>16</v>
    </spb>
    <spb s="0">
      <v xml:space="preserve">Wikipedia	</v>
      <v xml:space="preserve">CC BY-SA 3.0	</v>
      <v xml:space="preserve">https://en.wikipedia.org/wiki/Madrid	</v>
      <v xml:space="preserve">https://creativecommons.org/licenses/by-sa/3.0	</v>
    </spb>
    <spb s="22">
      <v>963</v>
      <v>963</v>
      <v>963</v>
      <v>963</v>
      <v>963</v>
      <v>963</v>
      <v>963</v>
      <v>963</v>
      <v>963</v>
    </spb>
    <spb s="0">
      <v xml:space="preserve">Wikipedia	Cia	travel.state.gov	</v>
      <v xml:space="preserve">CC-BY-SA			</v>
      <v xml:space="preserve">http://en.wikipedia.org/wiki/Sri_Lanka	https://www.cia.gov/library/publications/the-world-factbook/geos/ce.html?Transportation	https://travel.state.gov/content/travel/en/international-travel/International-Travel-Country-Information-Pages/SriLanka.html	</v>
      <v xml:space="preserve">http://creativecommons.org/licenses/by-sa/3.0/			</v>
    </spb>
    <spb s="0">
      <v xml:space="preserve">Wikipedia	</v>
      <v xml:space="preserve">CC BY-SA 3.0	</v>
      <v xml:space="preserve">https://en.wikipedia.org/wiki/Sri_Lanka	</v>
      <v xml:space="preserve">https://creativecommons.org/licenses/by-sa/3.0	</v>
    </spb>
    <spb s="0">
      <v xml:space="preserve">Wikipedia	</v>
      <v xml:space="preserve">CC-BY-SA	</v>
      <v xml:space="preserve">http://en.wikipedia.org/wiki/Sri_Lanka	</v>
      <v xml:space="preserve">http://creativecommons.org/licenses/by-sa/3.0/	</v>
    </spb>
    <spb s="0">
      <v xml:space="preserve">Cia	</v>
      <v xml:space="preserve">	</v>
      <v xml:space="preserve">https://www.cia.gov/library/publications/the-world-factbook/geos/ce.html?Transportation	</v>
      <v xml:space="preserve">	</v>
    </spb>
    <spb s="1">
      <v>0</v>
      <v>965</v>
      <v>966</v>
      <v>966</v>
      <v>3</v>
      <v>966</v>
      <v>966</v>
      <v>966</v>
      <v>967</v>
      <v>966</v>
      <v>966</v>
      <v>967</v>
      <v>966</v>
      <v>966</v>
      <v>968</v>
      <v>6</v>
      <v>965</v>
      <v>968</v>
      <v>8</v>
      <v>966</v>
      <v>968</v>
      <v>9</v>
      <v>10</v>
      <v>11</v>
      <v>968</v>
      <v>968</v>
      <v>966</v>
      <v>968</v>
      <v>12</v>
      <v>13</v>
      <v>14</v>
      <v>15</v>
      <v>968</v>
      <v>965</v>
      <v>968</v>
      <v>968</v>
      <v>968</v>
      <v>968</v>
      <v>968</v>
      <v>968</v>
      <v>968</v>
      <v>968</v>
      <v>968</v>
      <v>968</v>
      <v>16</v>
    </spb>
    <spb s="7">
      <v>2019</v>
      <v>2019</v>
      <v>square km</v>
      <v>per thousand (2018)</v>
      <v>2022</v>
      <v>2019</v>
      <v>2018</v>
      <v>per liter (2016)</v>
      <v>2019</v>
      <v>years (2018)</v>
      <v>2018</v>
      <v>per thousand (2018)</v>
      <v>2019</v>
      <v>2017</v>
      <v>2016</v>
      <v>2019</v>
      <v>2016</v>
      <v>2018</v>
      <v>kilotons per year (2016)</v>
      <v>deaths per 100,000 (2017)</v>
      <v>kWh (2014)</v>
      <v>2014</v>
      <v>2019</v>
      <v>2016</v>
      <v>2016</v>
      <v>2016</v>
      <v>2016</v>
      <v>2016</v>
      <v>2015</v>
      <v>2016</v>
      <v>2016</v>
      <v>2018</v>
      <v>2018</v>
      <v>2019</v>
    </spb>
    <spb s="0">
      <v xml:space="preserve">Wikipedia	Wikipedia	Wikipedia	</v>
      <v xml:space="preserve">CC-BY-SA	CC-BY-SA	CC-BY-SA	</v>
      <v xml:space="preserve">http://en.wikipedia.org/wiki/Colombo	http://es.wikipedia.org/wiki/Colombo	http://fr.wikipedia.org/wiki/Colombo	</v>
      <v xml:space="preserve">http://creativecommons.org/licenses/by-sa/3.0/	http://creativecommons.org/licenses/by-sa/3.0/	http://creativecommons.org/licenses/by-sa/3.0/	</v>
    </spb>
    <spb s="0">
      <v xml:space="preserve">Wikipedia	</v>
      <v xml:space="preserve">CC BY-SA 3.0	</v>
      <v xml:space="preserve">https://en.wikipedia.org/wiki/Colombo	</v>
      <v xml:space="preserve">https://creativecommons.org/licenses/by-sa/3.0	</v>
    </spb>
    <spb s="29">
      <v>971</v>
      <v>972</v>
      <v>972</v>
      <v>972</v>
      <v>972</v>
      <v>972</v>
      <v>972</v>
      <v>972</v>
      <v>972</v>
      <v>972</v>
    </spb>
    <spb s="75">
      <v>1</v>
      <v>57</v>
      <v>57</v>
      <v>11</v>
      <v>57</v>
      <v>57</v>
      <v>57</v>
      <v>14</v>
      <v>5</v>
    </spb>
    <spb s="0">
      <v xml:space="preserve">Wikipedia	Cia	travel.state.gov	</v>
      <v xml:space="preserve">CC-BY-SA			</v>
      <v xml:space="preserve">http://en.wikipedia.org/wiki/Sudan	https://www.cia.gov/library/publications/the-world-factbook/geos/su.html?Transportation	https://travel.state.gov/content/travel/en/international-travel/International-Travel-Country-Information-Pages/Sudan.html	</v>
      <v xml:space="preserve">http://creativecommons.org/licenses/by-sa/3.0/			</v>
    </spb>
    <spb s="0">
      <v xml:space="preserve">Wikipedia	</v>
      <v xml:space="preserve">CC BY-SA 3.0	</v>
      <v xml:space="preserve">https://en.wikipedia.org/wiki/Sudan	</v>
      <v xml:space="preserve">https://creativecommons.org/licenses/by-sa/3.0	</v>
    </spb>
    <spb s="0">
      <v xml:space="preserve">Wikipedia	</v>
      <v xml:space="preserve">CC-BY-SA	</v>
      <v xml:space="preserve">http://en.wikipedia.org/wiki/Sudan	</v>
      <v xml:space="preserve">http://creativecommons.org/licenses/by-sa/3.0/	</v>
    </spb>
    <spb s="0">
      <v xml:space="preserve">Cia	</v>
      <v xml:space="preserve">	</v>
      <v xml:space="preserve">https://www.cia.gov/library/publications/the-world-factbook/geos/su.html?Transportation	</v>
      <v xml:space="preserve">	</v>
    </spb>
    <spb s="20">
      <v>0</v>
      <v>975</v>
      <v>976</v>
      <v>976</v>
      <v>3</v>
      <v>976</v>
      <v>976</v>
      <v>976</v>
      <v>977</v>
      <v>976</v>
      <v>976</v>
      <v>977</v>
      <v>976</v>
      <v>976</v>
      <v>978</v>
      <v>6</v>
      <v>975</v>
      <v>978</v>
      <v>8</v>
      <v>976</v>
      <v>978</v>
      <v>9</v>
      <v>10</v>
      <v>11</v>
      <v>978</v>
      <v>978</v>
      <v>976</v>
      <v>978</v>
      <v>12</v>
      <v>13</v>
      <v>14</v>
      <v>15</v>
      <v>978</v>
      <v>978</v>
      <v>978</v>
      <v>978</v>
      <v>978</v>
      <v>978</v>
      <v>978</v>
      <v>978</v>
      <v>978</v>
      <v>978</v>
      <v>978</v>
      <v>16</v>
    </spb>
    <spb s="21">
      <v>2019</v>
      <v>2019</v>
      <v>square km</v>
      <v>per thousand (2018)</v>
      <v>2022</v>
      <v>2019</v>
      <v>2018</v>
      <v>per liter (2016)</v>
      <v>2019</v>
      <v>years (2018)</v>
      <v>2016</v>
      <v>per thousand (2018)</v>
      <v>2019</v>
      <v>2017</v>
      <v>2015</v>
      <v>2019</v>
      <v>2015</v>
      <v>2017</v>
      <v>kilotons per year (2016)</v>
      <v>deaths per 100,000 (2017)</v>
      <v>kWh (2014)</v>
      <v>2014</v>
      <v>2014</v>
      <v>2014</v>
      <v>2014</v>
      <v>2014</v>
      <v>2014</v>
      <v>2015</v>
      <v>2014</v>
      <v>2014</v>
      <v>2017</v>
      <v>2015</v>
      <v>2019</v>
    </spb>
    <spb s="0">
      <v xml:space="preserve">Wikipedia	</v>
      <v xml:space="preserve">CC BY-SA 3.0	</v>
      <v xml:space="preserve">https://en.wikipedia.org/wiki/Khartoum	</v>
      <v xml:space="preserve">https://creativecommons.org/licenses/by-sa/3.0	</v>
    </spb>
    <spb s="22">
      <v>981</v>
      <v>981</v>
      <v>981</v>
      <v>981</v>
      <v>981</v>
      <v>981</v>
      <v>981</v>
      <v>981</v>
      <v>981</v>
    </spb>
    <spb s="0">
      <v xml:space="preserve">Wikipedia	Cia	travel.state.gov	</v>
      <v xml:space="preserve">CC-BY-SA			</v>
      <v xml:space="preserve">http://en.wikipedia.org/wiki/Suriname	https://www.cia.gov/library/publications/the-world-factbook/geos/ns.html?Transportation	https://travel.state.gov/content/travel/en/international-travel/International-Travel-Country-Information-Pages/Suriname.html	</v>
      <v xml:space="preserve">http://creativecommons.org/licenses/by-sa/3.0/			</v>
    </spb>
    <spb s="0">
      <v xml:space="preserve">Wikipedia	</v>
      <v xml:space="preserve">CC BY-SA 3.0	</v>
      <v xml:space="preserve">https://en.wikipedia.org/wiki/Suriname	</v>
      <v xml:space="preserve">https://creativecommons.org/licenses/by-sa/3.0	</v>
    </spb>
    <spb s="0">
      <v xml:space="preserve">Wikipedia	</v>
      <v xml:space="preserve">CC-BY-SA	</v>
      <v xml:space="preserve">http://en.wikipedia.org/wiki/Suriname	</v>
      <v xml:space="preserve">http://creativecommons.org/licenses/by-sa/3.0/	</v>
    </spb>
    <spb s="0">
      <v xml:space="preserve">Cia	</v>
      <v xml:space="preserve">	</v>
      <v xml:space="preserve">https://www.cia.gov/library/publications/the-world-factbook/geos/ns.html?Transportation	</v>
      <v xml:space="preserve">	</v>
    </spb>
    <spb s="111">
      <v>0</v>
      <v>983</v>
      <v>984</v>
      <v>984</v>
      <v>3</v>
      <v>984</v>
      <v>984</v>
      <v>984</v>
      <v>985</v>
      <v>984</v>
      <v>984</v>
      <v>984</v>
      <v>984</v>
      <v>986</v>
      <v>6</v>
      <v>983</v>
      <v>986</v>
      <v>8</v>
      <v>984</v>
      <v>986</v>
      <v>9</v>
      <v>10</v>
      <v>11</v>
      <v>986</v>
      <v>986</v>
      <v>984</v>
      <v>986</v>
      <v>12</v>
      <v>13</v>
      <v>14</v>
      <v>15</v>
      <v>986</v>
      <v>986</v>
      <v>986</v>
      <v>986</v>
      <v>986</v>
      <v>986</v>
      <v>986</v>
      <v>986</v>
      <v>986</v>
      <v>986</v>
      <v>16</v>
    </spb>
    <spb s="2">
      <v>82</v>
      <v>Name</v>
      <v>LearnMoreOnLink</v>
    </spb>
    <spb s="112">
      <v>2019</v>
      <v>2019</v>
      <v>square km</v>
      <v>per thousand (2018)</v>
      <v>2022</v>
      <v>2017</v>
      <v>2018</v>
      <v>per liter (2014)</v>
      <v>2019</v>
      <v>years (2018)</v>
      <v>2012</v>
      <v>per thousand (2018)</v>
      <v>2019</v>
      <v>2017</v>
      <v>2016</v>
      <v>2019</v>
      <v>2016</v>
      <v>2018</v>
      <v>kilotons per year (2016)</v>
      <v>deaths per 100,000 (2017)</v>
      <v>kWh (2014)</v>
      <v>2014</v>
      <v>1999</v>
      <v>1999</v>
      <v>1999</v>
      <v>1999</v>
      <v>2015</v>
      <v>1999</v>
      <v>1999</v>
      <v>2018</v>
      <v>2002</v>
      <v>2019</v>
    </spb>
    <spb s="0">
      <v xml:space="preserve">Wikipedia	</v>
      <v xml:space="preserve">CC BY-SA 3.0	</v>
      <v xml:space="preserve">https://en.wikipedia.org/wiki/Paramaribo	</v>
      <v xml:space="preserve">https://creativecommons.org/licenses/by-sa/3.0	</v>
    </spb>
    <spb s="29">
      <v>990</v>
      <v>990</v>
      <v>990</v>
      <v>990</v>
      <v>990</v>
      <v>990</v>
      <v>990</v>
      <v>990</v>
      <v>990</v>
      <v>990</v>
    </spb>
    <spb s="2">
      <v>83</v>
      <v>Name</v>
      <v>LearnMoreOnLink</v>
    </spb>
    <spb s="75">
      <v>1</v>
      <v>58</v>
      <v>58</v>
      <v>11</v>
      <v>58</v>
      <v>58</v>
      <v>58</v>
      <v>14</v>
      <v>5</v>
    </spb>
    <spb s="0">
      <v xml:space="preserve">Wikipedia	Cia	travel.state.gov	</v>
      <v xml:space="preserve">CC-BY-SA			</v>
      <v xml:space="preserve">http://en.wikipedia.org/wiki/Sweden	https://www.cia.gov/library/publications/the-world-factbook/geos/sw.html?Transportation	https://travel.state.gov/content/travel/en/international-travel/International-Travel-Country-Information-Pages/Sweden.html	</v>
      <v xml:space="preserve">http://creativecommons.org/licenses/by-sa/3.0/			</v>
    </spb>
    <spb s="0">
      <v xml:space="preserve">Wikipedia	</v>
      <v xml:space="preserve">CC BY-SA 3.0	</v>
      <v xml:space="preserve">https://en.wikipedia.org/wiki/Sweden	</v>
      <v xml:space="preserve">https://creativecommons.org/licenses/by-sa/3.0	</v>
    </spb>
    <spb s="0">
      <v xml:space="preserve">Wikipedia	</v>
      <v xml:space="preserve">CC-BY-SA	</v>
      <v xml:space="preserve">http://en.wikipedia.org/wiki/Sweden	</v>
      <v xml:space="preserve">http://creativecommons.org/licenses/by-sa/3.0/	</v>
    </spb>
    <spb s="0">
      <v xml:space="preserve">Cia	</v>
      <v xml:space="preserve">	</v>
      <v xml:space="preserve">https://www.cia.gov/library/publications/the-world-factbook/geos/sw.html?Transportation	</v>
      <v xml:space="preserve">	</v>
    </spb>
    <spb s="28">
      <v>0</v>
      <v>994</v>
      <v>995</v>
      <v>995</v>
      <v>3</v>
      <v>995</v>
      <v>995</v>
      <v>995</v>
      <v>996</v>
      <v>995</v>
      <v>995</v>
      <v>995</v>
      <v>995</v>
      <v>997</v>
      <v>6</v>
      <v>994</v>
      <v>997</v>
      <v>8</v>
      <v>995</v>
      <v>997</v>
      <v>9</v>
      <v>10</v>
      <v>11</v>
      <v>997</v>
      <v>997</v>
      <v>995</v>
      <v>997</v>
      <v>12</v>
      <v>13</v>
      <v>14</v>
      <v>15</v>
      <v>997</v>
      <v>994</v>
      <v>997</v>
      <v>997</v>
      <v>997</v>
      <v>997</v>
      <v>997</v>
      <v>997</v>
      <v>997</v>
      <v>997</v>
      <v>997</v>
      <v>997</v>
      <v>16</v>
    </spb>
    <spb s="7">
      <v>2019</v>
      <v>2019</v>
      <v>square km</v>
      <v>per thousand (2018)</v>
      <v>2022</v>
      <v>2019</v>
      <v>2018</v>
      <v>per liter (2016)</v>
      <v>2019</v>
      <v>years (2018)</v>
      <v>2018</v>
      <v>per thousand (2018)</v>
      <v>2019</v>
      <v>2017</v>
      <v>2016</v>
      <v>2019</v>
      <v>2016</v>
      <v>2016</v>
      <v>kilotons per year (2016)</v>
      <v>deaths per 100,000 (2017)</v>
      <v>kWh (2014)</v>
      <v>2015</v>
      <v>2003</v>
      <v>2017</v>
      <v>2017</v>
      <v>2017</v>
      <v>2017</v>
      <v>2017</v>
      <v>2015</v>
      <v>2017</v>
      <v>2017</v>
      <v>2017</v>
      <v>2017</v>
      <v>2019</v>
    </spb>
    <spb s="0">
      <v xml:space="preserve">Wikipedia	</v>
      <v xml:space="preserve">CC BY-SA 3.0	</v>
      <v xml:space="preserve">https://en.wikipedia.org/wiki/Stockholm	</v>
      <v xml:space="preserve">https://creativecommons.org/licenses/by-sa/3.0	</v>
    </spb>
    <spb s="22">
      <v>1000</v>
      <v>1000</v>
      <v>1000</v>
      <v>1000</v>
      <v>1000</v>
      <v>1000</v>
      <v>1000</v>
      <v>1000</v>
      <v>1000</v>
    </spb>
    <spb s="0">
      <v xml:space="preserve">Wikipedia	Cia	travel.state.gov	</v>
      <v xml:space="preserve">CC-BY-SA			</v>
      <v xml:space="preserve">http://en.wikipedia.org/wiki/Switzerland	https://www.cia.gov/library/publications/the-world-factbook/geos/sz.html?Transportation	https://travel.state.gov/content/travel/en/international-travel/International-Travel-Country-Information-Pages/Switzerland.html.html	</v>
      <v xml:space="preserve">http://creativecommons.org/licenses/by-sa/3.0/			</v>
    </spb>
    <spb s="0">
      <v xml:space="preserve">Wikipedia	</v>
      <v xml:space="preserve">CC BY-SA 3.0	</v>
      <v xml:space="preserve">https://en.wikipedia.org/wiki/Switzerland	</v>
      <v xml:space="preserve">https://creativecommons.org/licenses/by-sa/3.0	</v>
    </spb>
    <spb s="0">
      <v xml:space="preserve">Wikipedia	</v>
      <v xml:space="preserve">CC-BY-SA	</v>
      <v xml:space="preserve">http://en.wikipedia.org/wiki/Switzerland	</v>
      <v xml:space="preserve">http://creativecommons.org/licenses/by-sa/3.0/	</v>
    </spb>
    <spb s="0">
      <v xml:space="preserve">Cia	</v>
      <v xml:space="preserve">	</v>
      <v xml:space="preserve">https://www.cia.gov/library/publications/the-world-factbook/geos/sz.html?Transportation	</v>
      <v xml:space="preserve">	</v>
    </spb>
    <spb s="28">
      <v>0</v>
      <v>1002</v>
      <v>1003</v>
      <v>1003</v>
      <v>3</v>
      <v>1003</v>
      <v>1003</v>
      <v>1003</v>
      <v>1004</v>
      <v>1003</v>
      <v>1003</v>
      <v>1003</v>
      <v>1003</v>
      <v>1005</v>
      <v>6</v>
      <v>1002</v>
      <v>1005</v>
      <v>8</v>
      <v>1003</v>
      <v>1005</v>
      <v>9</v>
      <v>10</v>
      <v>11</v>
      <v>1005</v>
      <v>1005</v>
      <v>1003</v>
      <v>1005</v>
      <v>12</v>
      <v>13</v>
      <v>14</v>
      <v>15</v>
      <v>1005</v>
      <v>1002</v>
      <v>1005</v>
      <v>1005</v>
      <v>1005</v>
      <v>1005</v>
      <v>1005</v>
      <v>1005</v>
      <v>1005</v>
      <v>1005</v>
      <v>1005</v>
      <v>1005</v>
      <v>16</v>
    </spb>
    <spb s="0">
      <v xml:space="preserve">Wikipedia	</v>
      <v xml:space="preserve">CC BY-SA 3.0	</v>
      <v xml:space="preserve">https://en.wikipedia.org/wiki/Bern	</v>
      <v xml:space="preserve">https://creativecommons.org/licenses/by-sa/3.0	</v>
    </spb>
    <spb s="55">
      <v>1007</v>
      <v>1007</v>
      <v>1007</v>
      <v>1007</v>
      <v>1007</v>
      <v>1007</v>
      <v>1007</v>
      <v>1007</v>
      <v>1007</v>
    </spb>
    <spb s="0">
      <v xml:space="preserve">Wikipedia	</v>
      <v xml:space="preserve">CC BY-SA 3.0	</v>
      <v xml:space="preserve">https://en.wikipedia.org/wiki/Z%C3%BCrich	</v>
      <v xml:space="preserve">https://creativecommons.org/licenses/by-sa/3.0	</v>
    </spb>
    <spb s="22">
      <v>1009</v>
      <v>1009</v>
      <v>1009</v>
      <v>1009</v>
      <v>1009</v>
      <v>1009</v>
      <v>1009</v>
      <v>1009</v>
      <v>1009</v>
    </spb>
    <spb s="13">
      <v>59</v>
      <v>59</v>
      <v>1</v>
      <v>59</v>
      <v>59</v>
      <v>59</v>
      <v>11</v>
      <v>59</v>
      <v>59</v>
      <v>59</v>
      <v>14</v>
      <v>5</v>
    </spb>
    <spb s="0">
      <v xml:space="preserve">Wikipedia	Cia	travel.state.gov	</v>
      <v xml:space="preserve">CC-BY-SA			</v>
      <v xml:space="preserve">http://en.wikipedia.org/wiki/Syria	https://www.cia.gov/library/publications/the-world-factbook/geos/sy.html?Transportation	https://travel.state.gov/content/travel/en/international-travel/International-Travel-Country-Information-Pages/SyrianArabRepublic.html	</v>
      <v xml:space="preserve">http://creativecommons.org/licenses/by-sa/3.0/			</v>
    </spb>
    <spb s="0">
      <v xml:space="preserve">Wikipedia	</v>
      <v xml:space="preserve">CC BY-SA 3.0	</v>
      <v xml:space="preserve">https://en.wikipedia.org/wiki/Syria	</v>
      <v xml:space="preserve">https://creativecommons.org/licenses/by-sa/3.0	</v>
    </spb>
    <spb s="0">
      <v xml:space="preserve">Wikipedia	</v>
      <v xml:space="preserve">CC-BY-SA	</v>
      <v xml:space="preserve">http://en.wikipedia.org/wiki/Syria	</v>
      <v xml:space="preserve">http://creativecommons.org/licenses/by-sa/3.0/	</v>
    </spb>
    <spb s="0">
      <v xml:space="preserve">Cia	</v>
      <v xml:space="preserve">	</v>
      <v xml:space="preserve">https://www.cia.gov/library/publications/the-world-factbook/geos/sy.html?Transportation	</v>
      <v xml:space="preserve">	</v>
    </spb>
    <spb s="20">
      <v>0</v>
      <v>1012</v>
      <v>1013</v>
      <v>1013</v>
      <v>3</v>
      <v>1013</v>
      <v>1013</v>
      <v>1013</v>
      <v>1014</v>
      <v>1013</v>
      <v>1013</v>
      <v>1014</v>
      <v>1013</v>
      <v>1013</v>
      <v>1015</v>
      <v>6</v>
      <v>1012</v>
      <v>1015</v>
      <v>8</v>
      <v>1013</v>
      <v>1015</v>
      <v>9</v>
      <v>10</v>
      <v>11</v>
      <v>1015</v>
      <v>1015</v>
      <v>1013</v>
      <v>1015</v>
      <v>12</v>
      <v>13</v>
      <v>14</v>
      <v>15</v>
      <v>1015</v>
      <v>1015</v>
      <v>1015</v>
      <v>1015</v>
      <v>1015</v>
      <v>1015</v>
      <v>1015</v>
      <v>1015</v>
      <v>1015</v>
      <v>1015</v>
      <v>1015</v>
      <v>16</v>
    </spb>
    <spb s="21">
      <v>2012</v>
      <v>2007</v>
      <v>square km</v>
      <v>per thousand (2018)</v>
      <v>2022</v>
      <v>2012</v>
      <v>2018</v>
      <v>per liter (2014)</v>
      <v>2019</v>
      <v>years (2018)</v>
      <v>2007</v>
      <v>per thousand (2018)</v>
      <v>2019</v>
      <v>2017</v>
      <v>2016</v>
      <v>2019</v>
      <v>2016</v>
      <v>2016</v>
      <v>kilotons per year (2016)</v>
      <v>deaths per 100,000 (2017)</v>
      <v>kWh (2014)</v>
      <v>2014</v>
      <v>2004</v>
      <v>2004</v>
      <v>2004</v>
      <v>2004</v>
      <v>2004</v>
      <v>2012</v>
      <v>2004</v>
      <v>2004</v>
      <v>2013</v>
      <v>2016</v>
      <v>2019</v>
    </spb>
    <spb s="0">
      <v xml:space="preserve">Wikipedia	</v>
      <v xml:space="preserve">CC BY-SA 3.0	</v>
      <v xml:space="preserve">https://en.wikipedia.org/wiki/Damascus	</v>
      <v xml:space="preserve">https://creativecommons.org/licenses/by-sa/3.0	</v>
    </spb>
    <spb s="22">
      <v>1018</v>
      <v>1018</v>
      <v>1018</v>
      <v>1018</v>
      <v>1018</v>
      <v>1018</v>
      <v>1018</v>
      <v>1018</v>
      <v>1018</v>
    </spb>
    <spb s="0">
      <v xml:space="preserve">Wikipedia	travel.state.gov	</v>
      <v xml:space="preserve">CC-BY-SA		</v>
      <v xml:space="preserve">http://en.wikipedia.org/wiki/Taiwan	https://travel.state.gov/content/travel/en/international-travel/International-Travel-Country-Information-Pages/Taiwan.html	</v>
      <v xml:space="preserve">http://creativecommons.org/licenses/by-sa/3.0/		</v>
    </spb>
    <spb s="0">
      <v xml:space="preserve">Wikipedia	</v>
      <v xml:space="preserve">CC BY-SA 3.0	</v>
      <v xml:space="preserve">https://en.wikipedia.org/wiki/Taiwan	</v>
      <v xml:space="preserve">https://creativecommons.org/licenses/by-sa/3.0	</v>
    </spb>
    <spb s="0">
      <v xml:space="preserve">Wikipedia	</v>
      <v xml:space="preserve">CC-BY-SA	</v>
      <v xml:space="preserve">http://en.wikipedia.org/wiki/Taiwan	</v>
      <v xml:space="preserve">http://creativecommons.org/licenses/by-sa/3.0/	</v>
    </spb>
    <spb s="36">
      <v>1020</v>
      <v>1021</v>
      <v>1021</v>
      <v>1021</v>
      <v>1021</v>
      <v>1021</v>
      <v>1021</v>
      <v>1021</v>
      <v>1022</v>
      <v>1021</v>
      <v>1021</v>
      <v>1021</v>
      <v>1021</v>
    </spb>
    <spb s="2">
      <v>84</v>
      <v>Name</v>
      <v>LearnMoreOnLink</v>
    </spb>
    <spb s="37">
      <v>2012</v>
      <v>square km</v>
      <v>2019</v>
    </spb>
    <spb s="0">
      <v xml:space="preserve">Wikipedia	</v>
      <v xml:space="preserve">CC BY-SA 3.0	</v>
      <v xml:space="preserve">https://en.wikipedia.org/wiki/Taipei	</v>
      <v xml:space="preserve">https://creativecommons.org/licenses/by-sa/3.0	</v>
    </spb>
    <spb s="0">
      <v xml:space="preserve">Wikipedia	</v>
      <v xml:space="preserve">CC-BY-SA	</v>
      <v xml:space="preserve">http://en.wikipedia.org/wiki/Taipei	</v>
      <v xml:space="preserve">http://creativecommons.org/licenses/by-sa/3.0/	</v>
    </spb>
    <spb s="54">
      <v>1026</v>
      <v>1026</v>
      <v>1026</v>
      <v>1026</v>
      <v>1026</v>
      <v>1027</v>
      <v>1026</v>
      <v>1026</v>
    </spb>
    <spb s="2">
      <v>85</v>
      <v>Name</v>
      <v>LearnMoreOnLink</v>
    </spb>
    <spb s="0">
      <v xml:space="preserve">Wikipedia	</v>
      <v xml:space="preserve">CC BY-SA 3.0	</v>
      <v xml:space="preserve">https://en.wikipedia.org/wiki/New_Taipei_City	</v>
      <v xml:space="preserve">https://creativecommons.org/licenses/by-sa/3.0	</v>
    </spb>
    <spb s="0">
      <v xml:space="preserve">Wikipedia	</v>
      <v xml:space="preserve">CC-BY-SA	</v>
      <v xml:space="preserve">http://en.wikipedia.org/wiki/New_Taipei_City	</v>
      <v xml:space="preserve">http://creativecommons.org/licenses/by-sa/3.0/	</v>
    </spb>
    <spb s="54">
      <v>1030</v>
      <v>1030</v>
      <v>1030</v>
      <v>1030</v>
      <v>1030</v>
      <v>1031</v>
      <v>1030</v>
      <v>1030</v>
    </spb>
    <spb s="75">
      <v>1</v>
      <v>60</v>
      <v>60</v>
      <v>11</v>
      <v>60</v>
      <v>60</v>
      <v>60</v>
      <v>14</v>
      <v>5</v>
    </spb>
    <spb s="0">
      <v xml:space="preserve">Wikipedia	Cia	travel.state.gov	</v>
      <v xml:space="preserve">CC-BY-SA			</v>
      <v xml:space="preserve">http://en.wikipedia.org/wiki/Tajikistan	https://www.cia.gov/library/publications/the-world-factbook/geos/ti.html?Transportation	https://travel.state.gov/content/travel/en/international-travel/International-Travel-Country-Information-Pages/Tajikistan.html	</v>
      <v xml:space="preserve">http://creativecommons.org/licenses/by-sa/3.0/			</v>
    </spb>
    <spb s="0">
      <v xml:space="preserve">Wikipedia	</v>
      <v xml:space="preserve">CC BY-SA 3.0	</v>
      <v xml:space="preserve">https://en.wikipedia.org/wiki/Tajikistan	</v>
      <v xml:space="preserve">https://creativecommons.org/licenses/by-sa/3.0	</v>
    </spb>
    <spb s="0">
      <v xml:space="preserve">Wikipedia	</v>
      <v xml:space="preserve">CC-BY-SA	</v>
      <v xml:space="preserve">http://en.wikipedia.org/wiki/Tajikistan	</v>
      <v xml:space="preserve">http://creativecommons.org/licenses/by-sa/3.0/	</v>
    </spb>
    <spb s="0">
      <v xml:space="preserve">Cia	</v>
      <v xml:space="preserve">	</v>
      <v xml:space="preserve">https://www.cia.gov/library/publications/the-world-factbook/geos/ti.html?Transportation	</v>
      <v xml:space="preserve">	</v>
    </spb>
    <spb s="20">
      <v>0</v>
      <v>1034</v>
      <v>1035</v>
      <v>1035</v>
      <v>3</v>
      <v>1035</v>
      <v>1035</v>
      <v>1035</v>
      <v>1036</v>
      <v>1035</v>
      <v>1035</v>
      <v>1036</v>
      <v>1035</v>
      <v>1035</v>
      <v>1037</v>
      <v>6</v>
      <v>1034</v>
      <v>1037</v>
      <v>8</v>
      <v>1035</v>
      <v>1037</v>
      <v>9</v>
      <v>10</v>
      <v>11</v>
      <v>1037</v>
      <v>1037</v>
      <v>1035</v>
      <v>1037</v>
      <v>12</v>
      <v>13</v>
      <v>14</v>
      <v>15</v>
      <v>1037</v>
      <v>1037</v>
      <v>1037</v>
      <v>1037</v>
      <v>1037</v>
      <v>1037</v>
      <v>1037</v>
      <v>1037</v>
      <v>1037</v>
      <v>1037</v>
      <v>1037</v>
      <v>16</v>
    </spb>
    <spb s="21">
      <v>2016</v>
      <v>2019</v>
      <v>square km</v>
      <v>per thousand (2018)</v>
      <v>2022</v>
      <v>2016</v>
      <v>2018</v>
      <v>per liter (2016)</v>
      <v>2019</v>
      <v>years (2018)</v>
      <v>2004</v>
      <v>per thousand (2018)</v>
      <v>2019</v>
      <v>2017</v>
      <v>2016</v>
      <v>2019</v>
      <v>2016</v>
      <v>2014</v>
      <v>kilotons per year (2016)</v>
      <v>deaths per 100,000 (2017)</v>
      <v>kWh (2014)</v>
      <v>2014</v>
      <v>2015</v>
      <v>2015</v>
      <v>2015</v>
      <v>2015</v>
      <v>2015</v>
      <v>2015</v>
      <v>2015</v>
      <v>2015</v>
      <v>2017</v>
      <v>2017</v>
      <v>2019</v>
    </spb>
    <spb s="0">
      <v xml:space="preserve">Wikipedia	</v>
      <v xml:space="preserve">CC-BY-SA	</v>
      <v xml:space="preserve">http://en.wikipedia.org/wiki/Dushanbe	</v>
      <v xml:space="preserve">http://creativecommons.org/licenses/by-sa/3.0/	</v>
    </spb>
    <spb s="0">
      <v xml:space="preserve">Wikipedia	</v>
      <v xml:space="preserve">CC BY-SA 3.0	</v>
      <v xml:space="preserve">https://en.wikipedia.org/wiki/Dushanbe	</v>
      <v xml:space="preserve">https://creativecommons.org/licenses/by-sa/3.0	</v>
    </spb>
    <spb s="32">
      <v>1040</v>
      <v>1041</v>
      <v>1041</v>
      <v>1041</v>
      <v>1041</v>
      <v>1040</v>
      <v>1041</v>
    </spb>
    <spb s="0">
      <v xml:space="preserve">Wikipedia	Cia	travel.state.gov	</v>
      <v xml:space="preserve">CC-BY-SA			</v>
      <v xml:space="preserve">http://en.wikipedia.org/wiki/Tanzania	https://www.cia.gov/library/publications/the-world-factbook/geos/tz.html?Transportation	https://travel.state.gov/content/travel/en/international-travel/International-Travel-Country-Information-Pages/Tanzania.html	</v>
      <v xml:space="preserve">http://creativecommons.org/licenses/by-sa/3.0/			</v>
    </spb>
    <spb s="0">
      <v xml:space="preserve">Wikipedia	</v>
      <v xml:space="preserve">CC BY-SA 3.0	</v>
      <v xml:space="preserve">https://en.wikipedia.org/wiki/Tanzania	</v>
      <v xml:space="preserve">https://creativecommons.org/licenses/by-sa/3.0	</v>
    </spb>
    <spb s="0">
      <v xml:space="preserve">Wikipedia	</v>
      <v xml:space="preserve">CC-BY-SA	</v>
      <v xml:space="preserve">http://en.wikipedia.org/wiki/Tanzania	</v>
      <v xml:space="preserve">http://creativecommons.org/licenses/by-sa/3.0/	</v>
    </spb>
    <spb s="0">
      <v xml:space="preserve">Cia	</v>
      <v xml:space="preserve">	</v>
      <v xml:space="preserve">https://www.cia.gov/library/publications/the-world-factbook/geos/tz.html?Transportation	</v>
      <v xml:space="preserve">	</v>
    </spb>
    <spb s="1">
      <v>0</v>
      <v>1043</v>
      <v>1044</v>
      <v>1044</v>
      <v>3</v>
      <v>1044</v>
      <v>1044</v>
      <v>1044</v>
      <v>1045</v>
      <v>1044</v>
      <v>1044</v>
      <v>1045</v>
      <v>1044</v>
      <v>1044</v>
      <v>1046</v>
      <v>6</v>
      <v>1043</v>
      <v>1046</v>
      <v>8</v>
      <v>1044</v>
      <v>1046</v>
      <v>9</v>
      <v>10</v>
      <v>11</v>
      <v>1046</v>
      <v>1046</v>
      <v>1044</v>
      <v>1046</v>
      <v>12</v>
      <v>13</v>
      <v>14</v>
      <v>15</v>
      <v>1046</v>
      <v>1043</v>
      <v>1046</v>
      <v>1046</v>
      <v>1046</v>
      <v>1046</v>
      <v>1046</v>
      <v>1046</v>
      <v>1046</v>
      <v>1046</v>
      <v>1046</v>
      <v>1046</v>
      <v>16</v>
    </spb>
    <spb s="7">
      <v>2019</v>
      <v>2019</v>
      <v>square km</v>
      <v>per thousand (2018)</v>
      <v>2022</v>
      <v>2019</v>
      <v>2018</v>
      <v>per liter (2016)</v>
      <v>2019</v>
      <v>years (2018)</v>
      <v>2018</v>
      <v>per thousand (2018)</v>
      <v>2019</v>
      <v>2017</v>
      <v>2016</v>
      <v>2019</v>
      <v>2016</v>
      <v>2016</v>
      <v>kilotons per year (2016)</v>
      <v>deaths per 100,000 (2017)</v>
      <v>kWh (2014)</v>
      <v>2014</v>
      <v>2001</v>
      <v>2017</v>
      <v>2017</v>
      <v>2017</v>
      <v>2017</v>
      <v>2017</v>
      <v>2015</v>
      <v>2017</v>
      <v>2017</v>
      <v>2018</v>
      <v>2015</v>
      <v>2019</v>
    </spb>
    <spb s="0">
      <v xml:space="preserve">Wikipedia	</v>
      <v xml:space="preserve">CC BY-SA 3.0	</v>
      <v xml:space="preserve">https://en.wikipedia.org/wiki/Dodoma	</v>
      <v xml:space="preserve">https://creativecommons.org/licenses/by-sa/3.0	</v>
    </spb>
    <spb s="22">
      <v>1049</v>
      <v>1049</v>
      <v>1049</v>
      <v>1049</v>
      <v>1049</v>
      <v>1049</v>
      <v>1049</v>
      <v>1049</v>
      <v>1049</v>
    </spb>
    <spb s="0">
      <v xml:space="preserve">Wikipedia	</v>
      <v xml:space="preserve">CC BY-SA 3.0	</v>
      <v xml:space="preserve">https://en.wikipedia.org/wiki/Dar_es_Salaam	</v>
      <v xml:space="preserve">https://creativecommons.org/licenses/by-sa/3.0	</v>
    </spb>
    <spb s="0">
      <v xml:space="preserve">Wikipedia	</v>
      <v xml:space="preserve">CC-BY-SA	</v>
      <v xml:space="preserve">http://en.wikipedia.org/wiki/Dar_es_Salaam	</v>
      <v xml:space="preserve">http://creativecommons.org/licenses/by-sa/3.0/	</v>
    </spb>
    <spb s="54">
      <v>1051</v>
      <v>1051</v>
      <v>1051</v>
      <v>1051</v>
      <v>1051</v>
      <v>1052</v>
      <v>1051</v>
      <v>1052</v>
    </spb>
    <spb s="2">
      <v>86</v>
      <v>Name</v>
      <v>LearnMoreOnLink</v>
    </spb>
    <spb s="13">
      <v>61</v>
      <v>61</v>
      <v>1</v>
      <v>61</v>
      <v>61</v>
      <v>61</v>
      <v>11</v>
      <v>61</v>
      <v>61</v>
      <v>61</v>
      <v>14</v>
      <v>5</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1">
      <v>0</v>
      <v>1056</v>
      <v>1057</v>
      <v>1057</v>
      <v>3</v>
      <v>1057</v>
      <v>1057</v>
      <v>1057</v>
      <v>1058</v>
      <v>1057</v>
      <v>1057</v>
      <v>1058</v>
      <v>1057</v>
      <v>1057</v>
      <v>1059</v>
      <v>6</v>
      <v>1056</v>
      <v>1059</v>
      <v>8</v>
      <v>1057</v>
      <v>1059</v>
      <v>9</v>
      <v>10</v>
      <v>11</v>
      <v>1059</v>
      <v>1059</v>
      <v>1057</v>
      <v>1059</v>
      <v>12</v>
      <v>13</v>
      <v>14</v>
      <v>15</v>
      <v>1059</v>
      <v>1056</v>
      <v>1059</v>
      <v>1059</v>
      <v>1059</v>
      <v>1059</v>
      <v>1059</v>
      <v>1059</v>
      <v>1059</v>
      <v>1059</v>
      <v>1059</v>
      <v>1059</v>
      <v>16</v>
    </spb>
    <spb s="7">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0">
      <v xml:space="preserve">Wikipedia	</v>
      <v xml:space="preserve">CC BY-SA 3.0	</v>
      <v xml:space="preserve">https://en.wikipedia.org/wiki/Bangkok	</v>
      <v xml:space="preserve">https://creativecommons.org/licenses/by-sa/3.0	</v>
    </spb>
    <spb s="0">
      <v xml:space="preserve">Wikipedia	</v>
      <v xml:space="preserve">CC-BY-SA	</v>
      <v xml:space="preserve">http://en.wikipedia.org/wiki/Bangkok	</v>
      <v xml:space="preserve">http://creativecommons.org/licenses/by-sa/3.0/	</v>
    </spb>
    <spb s="32">
      <v>1062</v>
      <v>1062</v>
      <v>1062</v>
      <v>1062</v>
      <v>1062</v>
      <v>1063</v>
      <v>1062</v>
    </spb>
    <spb s="0">
      <v xml:space="preserve">Wikipedia	Cia	travel.state.gov	</v>
      <v xml:space="preserve">CC-BY-SA			</v>
      <v xml:space="preserve">http://en.wikipedia.org/wiki/Togo	https://www.cia.gov/library/publications/the-world-factbook/geos/to.html?Transportation	https://travel.state.gov/content/travel/en/international-travel/International-Travel-Country-Information-Pages/Togo.html	</v>
      <v xml:space="preserve">http://creativecommons.org/licenses/by-sa/3.0/			</v>
    </spb>
    <spb s="0">
      <v xml:space="preserve">Wikipedia	</v>
      <v xml:space="preserve">CC BY-SA 3.0	</v>
      <v xml:space="preserve">https://en.wikipedia.org/wiki/Togo	</v>
      <v xml:space="preserve">https://creativecommons.org/licenses/by-sa/3.0	</v>
    </spb>
    <spb s="0">
      <v xml:space="preserve">Wikipedia	</v>
      <v xml:space="preserve">CC-BY-SA	</v>
      <v xml:space="preserve">http://en.wikipedia.org/wiki/Togo	</v>
      <v xml:space="preserve">http://creativecommons.org/licenses/by-sa/3.0/	</v>
    </spb>
    <spb s="0">
      <v xml:space="preserve">Cia	</v>
      <v xml:space="preserve">	</v>
      <v xml:space="preserve">https://www.cia.gov/library/publications/the-world-factbook/geos/to.html?Transportation	</v>
      <v xml:space="preserve">	</v>
    </spb>
    <spb s="20">
      <v>0</v>
      <v>1065</v>
      <v>1066</v>
      <v>1066</v>
      <v>3</v>
      <v>1066</v>
      <v>1066</v>
      <v>1066</v>
      <v>1067</v>
      <v>1066</v>
      <v>1066</v>
      <v>1067</v>
      <v>1066</v>
      <v>1066</v>
      <v>1068</v>
      <v>6</v>
      <v>1065</v>
      <v>1068</v>
      <v>8</v>
      <v>1066</v>
      <v>1068</v>
      <v>9</v>
      <v>10</v>
      <v>11</v>
      <v>1068</v>
      <v>1068</v>
      <v>1066</v>
      <v>1068</v>
      <v>12</v>
      <v>13</v>
      <v>14</v>
      <v>15</v>
      <v>1068</v>
      <v>1068</v>
      <v>1068</v>
      <v>1068</v>
      <v>1068</v>
      <v>1068</v>
      <v>1068</v>
      <v>1068</v>
      <v>1068</v>
      <v>1068</v>
      <v>1068</v>
      <v>16</v>
    </spb>
    <spb s="21">
      <v>2019</v>
      <v>2019</v>
      <v>square km</v>
      <v>per thousand (2018)</v>
      <v>2022</v>
      <v>2019</v>
      <v>2018</v>
      <v>per liter (2016)</v>
      <v>2019</v>
      <v>years (2018)</v>
      <v>2018</v>
      <v>per thousand (2018)</v>
      <v>2019</v>
      <v>2017</v>
      <v>2016</v>
      <v>2019</v>
      <v>2016</v>
      <v>2018</v>
      <v>kilotons per year (2016)</v>
      <v>deaths per 100,000 (2017)</v>
      <v>kWh (2014)</v>
      <v>2014</v>
      <v>2015</v>
      <v>2015</v>
      <v>2015</v>
      <v>2015</v>
      <v>2015</v>
      <v>2015</v>
      <v>2015</v>
      <v>2015</v>
      <v>2018</v>
      <v>2018</v>
      <v>2019</v>
    </spb>
    <spb s="0">
      <v xml:space="preserve">Wikipedia	</v>
      <v xml:space="preserve">CC-BY-SA	</v>
      <v xml:space="preserve">http://en.wikipedia.org/wiki/Lomé	</v>
      <v xml:space="preserve">http://creativecommons.org/licenses/by-sa/3.0/	</v>
    </spb>
    <spb s="0">
      <v xml:space="preserve">Wikipedia	</v>
      <v xml:space="preserve">CC BY-SA 3.0	</v>
      <v xml:space="preserve">https://en.wikipedia.org/wiki/Lom%C3%A9	</v>
      <v xml:space="preserve">https://creativecommons.org/licenses/by-sa/3.0	</v>
    </spb>
    <spb s="22">
      <v>1071</v>
      <v>1072</v>
      <v>1072</v>
      <v>1072</v>
      <v>1072</v>
      <v>1072</v>
      <v>1072</v>
      <v>1072</v>
      <v>1072</v>
    </spb>
    <spb s="13">
      <v>62</v>
      <v>62</v>
      <v>1</v>
      <v>62</v>
      <v>62</v>
      <v>62</v>
      <v>11</v>
      <v>62</v>
      <v>62</v>
      <v>62</v>
      <v>14</v>
      <v>5</v>
    </spb>
    <spb s="0">
      <v xml:space="preserve">Wikipedia	Cia	travel.state.gov	</v>
      <v xml:space="preserve">CC-BY-SA			</v>
      <v xml:space="preserve">http://en.wikipedia.org/wiki/Tonga	https://www.cia.gov/library/publications/the-world-factbook/geos/tn.html?Transportation	https://travel.state.gov/content/travel/en/international-travel/International-Travel-Country-Information-Pages/Tonga.html	</v>
      <v xml:space="preserve">http://creativecommons.org/licenses/by-sa/3.0/			</v>
    </spb>
    <spb s="0">
      <v xml:space="preserve">Wikipedia	</v>
      <v xml:space="preserve">CC BY-SA 3.0	</v>
      <v xml:space="preserve">https://en.wikipedia.org/wiki/Tonga	</v>
      <v xml:space="preserve">https://creativecommons.org/licenses/by-sa/3.0	</v>
    </spb>
    <spb s="0">
      <v xml:space="preserve">Wikipedia	</v>
      <v xml:space="preserve">CC-BY-SA	</v>
      <v xml:space="preserve">http://en.wikipedia.org/wiki/Tonga	</v>
      <v xml:space="preserve">http://creativecommons.org/licenses/by-sa/3.0/	</v>
    </spb>
    <spb s="0">
      <v xml:space="preserve">Cia	</v>
      <v xml:space="preserve">	</v>
      <v xml:space="preserve">https://www.cia.gov/library/publications/the-world-factbook/geos/tn.html?Transportation	</v>
      <v xml:space="preserve">	</v>
    </spb>
    <spb s="113">
      <v>0</v>
      <v>1075</v>
      <v>1076</v>
      <v>1076</v>
      <v>3</v>
      <v>1076</v>
      <v>1076</v>
      <v>1076</v>
      <v>1077</v>
      <v>1076</v>
      <v>1076</v>
      <v>1076</v>
      <v>1076</v>
      <v>1078</v>
      <v>6</v>
      <v>1078</v>
      <v>8</v>
      <v>1076</v>
      <v>1078</v>
      <v>9</v>
      <v>10</v>
      <v>1078</v>
      <v>1078</v>
      <v>1076</v>
      <v>1078</v>
      <v>12</v>
      <v>13</v>
      <v>14</v>
      <v>1078</v>
      <v>1078</v>
      <v>1078</v>
      <v>1078</v>
      <v>1078</v>
      <v>1078</v>
      <v>1078</v>
      <v>1078</v>
      <v>1078</v>
      <v>1078</v>
      <v>1078</v>
      <v>16</v>
    </spb>
    <spb s="2">
      <v>87</v>
      <v>Name</v>
      <v>LearnMoreOnLink</v>
    </spb>
    <spb s="114">
      <v>2017</v>
      <v>2018</v>
      <v>square km</v>
      <v>per thousand (2018)</v>
      <v>2022</v>
      <v>2017</v>
      <v>2018</v>
      <v>2019</v>
      <v>years (2018)</v>
      <v>2017</v>
      <v>per thousand (2018)</v>
      <v>2019</v>
      <v>2016</v>
      <v>2019</v>
      <v>2016</v>
      <v>2013</v>
      <v>kilotons per year (2016)</v>
      <v>deaths per 100,000 (2017)</v>
      <v>2007</v>
      <v>2015</v>
      <v>2015</v>
      <v>2015</v>
      <v>2015</v>
      <v>2015</v>
      <v>2015</v>
      <v>2015</v>
      <v>2015</v>
      <v>2015</v>
      <v>2003</v>
      <v>2019</v>
    </spb>
    <spb s="0">
      <v xml:space="preserve">Wikipedia	</v>
      <v xml:space="preserve">CC BY-SA 3.0	</v>
      <v xml:space="preserve">https://en.wikipedia.org/wiki/Nuku%CA%BBalofa	</v>
      <v xml:space="preserve">https://creativecommons.org/licenses/by-sa/3.0	</v>
    </spb>
    <spb s="9">
      <v>1082</v>
      <v>1082</v>
      <v>1082</v>
      <v>1082</v>
      <v>1082</v>
      <v>1082</v>
      <v>1082</v>
      <v>1082</v>
    </spb>
    <spb s="0">
      <v xml:space="preserve">Wikipedia	Cia	travel.state.gov	</v>
      <v xml:space="preserve">CC-BY-SA			</v>
      <v xml:space="preserve">http://en.wikipedia.org/wiki/Trinidad_and_Tobago	https://www.cia.gov/library/publications/the-world-factbook/geos/td.html?Transportation	https://travel.state.gov/content/travel/en/international-travel/International-Travel-Country-Information-Pages/TrinidadandTobago.html	</v>
      <v xml:space="preserve">http://creativecommons.org/licenses/by-sa/3.0/			</v>
    </spb>
    <spb s="0">
      <v xml:space="preserve">Wikipedia	</v>
      <v xml:space="preserve">CC BY-SA 3.0	</v>
      <v xml:space="preserve">https://en.wikipedia.org/wiki/Trinidad_and_Tobago	</v>
      <v xml:space="preserve">https://creativecommons.org/licenses/by-sa/3.0	</v>
    </spb>
    <spb s="0">
      <v xml:space="preserve">Wikipedia	</v>
      <v xml:space="preserve">CC-BY-SA	</v>
      <v xml:space="preserve">http://en.wikipedia.org/wiki/Trinidad_and_Tobago	</v>
      <v xml:space="preserve">http://creativecommons.org/licenses/by-sa/3.0/	</v>
    </spb>
    <spb s="0">
      <v xml:space="preserve">Cia	</v>
      <v xml:space="preserve">	</v>
      <v xml:space="preserve">https://www.cia.gov/library/publications/the-world-factbook/geos/td.html?Transportation	</v>
      <v xml:space="preserve">	</v>
    </spb>
    <spb s="1">
      <v>0</v>
      <v>1084</v>
      <v>1085</v>
      <v>1085</v>
      <v>3</v>
      <v>1085</v>
      <v>1085</v>
      <v>1085</v>
      <v>1086</v>
      <v>1085</v>
      <v>1085</v>
      <v>1086</v>
      <v>1085</v>
      <v>1085</v>
      <v>1087</v>
      <v>6</v>
      <v>1084</v>
      <v>1087</v>
      <v>8</v>
      <v>1085</v>
      <v>1087</v>
      <v>9</v>
      <v>10</v>
      <v>11</v>
      <v>1087</v>
      <v>1087</v>
      <v>1085</v>
      <v>1087</v>
      <v>12</v>
      <v>13</v>
      <v>14</v>
      <v>15</v>
      <v>1087</v>
      <v>1084</v>
      <v>1087</v>
      <v>1087</v>
      <v>1087</v>
      <v>1087</v>
      <v>1087</v>
      <v>1087</v>
      <v>1087</v>
      <v>1087</v>
      <v>1087</v>
      <v>1087</v>
      <v>16</v>
    </spb>
    <spb s="7">
      <v>2018</v>
      <v>2019</v>
      <v>square km</v>
      <v>per thousand (2018)</v>
      <v>2022</v>
      <v>2018</v>
      <v>2018</v>
      <v>per liter (2016)</v>
      <v>2019</v>
      <v>years (2018)</v>
      <v>2017</v>
      <v>per thousand (2018)</v>
      <v>2019</v>
      <v>2017</v>
      <v>2016</v>
      <v>2019</v>
      <v>2016</v>
      <v>2018</v>
      <v>kilotons per year (2016)</v>
      <v>deaths per 100,000 (2017)</v>
      <v>kWh (2014)</v>
      <v>2014</v>
      <v>2001</v>
      <v>1992</v>
      <v>1992</v>
      <v>1992</v>
      <v>1992</v>
      <v>1992</v>
      <v>2015</v>
      <v>1992</v>
      <v>1992</v>
      <v>2010</v>
      <v>2004</v>
      <v>2019</v>
    </spb>
    <spb s="0">
      <v xml:space="preserve">Wikipedia	</v>
      <v xml:space="preserve">CC BY-SA 3.0	</v>
      <v xml:space="preserve">https://en.wikipedia.org/wiki/Port_of_Spain	</v>
      <v xml:space="preserve">https://creativecommons.org/licenses/by-sa/3.0	</v>
    </spb>
    <spb s="0">
      <v xml:space="preserve">Wikipedia	</v>
      <v xml:space="preserve">CC-BY-SA	</v>
      <v xml:space="preserve">http://en.wikipedia.org/wiki/Port_of_Spain	</v>
      <v xml:space="preserve">http://creativecommons.org/licenses/by-sa/3.0/	</v>
    </spb>
    <spb s="32">
      <v>1090</v>
      <v>1090</v>
      <v>1091</v>
      <v>1090</v>
      <v>1090</v>
      <v>1091</v>
      <v>1090</v>
    </spb>
    <spb s="0">
      <v xml:space="preserve">Wikipedia	</v>
      <v xml:space="preserve">CC BY-SA 3.0	</v>
      <v xml:space="preserve">https://en.wikipedia.org/wiki/San_Fernando,_Trinidad_and_Tobago	</v>
      <v xml:space="preserve">https://creativecommons.org/licenses/by-sa/3.0	</v>
    </spb>
    <spb s="0">
      <v xml:space="preserve">Wikipedia	</v>
      <v xml:space="preserve">CC-BY-SA	</v>
      <v xml:space="preserve">http://en.wikipedia.org/wiki/San_Fernando,_Trinidad_and_Tobago	</v>
      <v xml:space="preserve">http://creativecommons.org/licenses/by-sa/3.0/	</v>
    </spb>
    <spb s="32">
      <v>1093</v>
      <v>1093</v>
      <v>1093</v>
      <v>1093</v>
      <v>1093</v>
      <v>1094</v>
      <v>1093</v>
    </spb>
    <spb s="10">
      <v>square km</v>
      <v>2000</v>
    </spb>
    <spb s="0">
      <v xml:space="preserve">Wikipedia	Cia	travel.state.gov	</v>
      <v xml:space="preserve">CC-BY-SA			</v>
      <v xml:space="preserve">http://en.wikipedia.org/wiki/Tunisia	https://www.cia.gov/library/publications/the-world-factbook/geos/ts.html?Transportation	https://travel.state.gov/content/travel/en/international-travel/International-Travel-Country-Information-Pages/Tunisia.html	</v>
      <v xml:space="preserve">http://creativecommons.org/licenses/by-sa/3.0/			</v>
    </spb>
    <spb s="0">
      <v xml:space="preserve">Wikipedia	</v>
      <v xml:space="preserve">CC BY-SA 3.0	</v>
      <v xml:space="preserve">https://en.wikipedia.org/wiki/Tunisia	</v>
      <v xml:space="preserve">https://creativecommons.org/licenses/by-sa/3.0	</v>
    </spb>
    <spb s="0">
      <v xml:space="preserve">Wikipedia	</v>
      <v xml:space="preserve">CC-BY-SA	</v>
      <v xml:space="preserve">http://en.wikipedia.org/wiki/Tunisia	</v>
      <v xml:space="preserve">http://creativecommons.org/licenses/by-sa/3.0/	</v>
    </spb>
    <spb s="0">
      <v xml:space="preserve">Cia	</v>
      <v xml:space="preserve">	</v>
      <v xml:space="preserve">https://www.cia.gov/library/publications/the-world-factbook/geos/ts.html?Transportation	</v>
      <v xml:space="preserve">	</v>
    </spb>
    <spb s="1">
      <v>0</v>
      <v>1097</v>
      <v>1098</v>
      <v>1098</v>
      <v>3</v>
      <v>1098</v>
      <v>1098</v>
      <v>1098</v>
      <v>1099</v>
      <v>1098</v>
      <v>1098</v>
      <v>1099</v>
      <v>1098</v>
      <v>1098</v>
      <v>1100</v>
      <v>6</v>
      <v>1097</v>
      <v>1100</v>
      <v>8</v>
      <v>1098</v>
      <v>1100</v>
      <v>9</v>
      <v>10</v>
      <v>11</v>
      <v>1100</v>
      <v>1100</v>
      <v>1098</v>
      <v>1100</v>
      <v>12</v>
      <v>13</v>
      <v>14</v>
      <v>15</v>
      <v>1100</v>
      <v>1097</v>
      <v>1100</v>
      <v>1100</v>
      <v>1100</v>
      <v>1100</v>
      <v>1100</v>
      <v>1100</v>
      <v>1100</v>
      <v>1100</v>
      <v>1100</v>
      <v>1100</v>
      <v>16</v>
    </spb>
    <spb s="7">
      <v>2019</v>
      <v>2019</v>
      <v>square km</v>
      <v>per thousand (2018)</v>
      <v>2022</v>
      <v>2019</v>
      <v>2018</v>
      <v>per liter (2016)</v>
      <v>2019</v>
      <v>years (2018)</v>
      <v>2012</v>
      <v>per thousand (2018)</v>
      <v>2019</v>
      <v>2017</v>
      <v>2016</v>
      <v>2019</v>
      <v>2016</v>
      <v>2017</v>
      <v>kilotons per year (2016)</v>
      <v>deaths per 100,000 (2017)</v>
      <v>kWh (2014)</v>
      <v>2014</v>
      <v>2019</v>
      <v>2015</v>
      <v>2015</v>
      <v>2015</v>
      <v>2015</v>
      <v>2015</v>
      <v>2015</v>
      <v>2015</v>
      <v>2015</v>
      <v>2018</v>
      <v>2018</v>
      <v>2019</v>
    </spb>
    <spb s="0">
      <v xml:space="preserve">Wikipedia	</v>
      <v xml:space="preserve">CC-BY-SA	</v>
      <v xml:space="preserve">http://en.wikipedia.org/wiki/Tunis	</v>
      <v xml:space="preserve">http://creativecommons.org/licenses/by-sa/3.0/	</v>
    </spb>
    <spb s="0">
      <v xml:space="preserve">Wikipedia	</v>
      <v xml:space="preserve">CC BY-SA 3.0	</v>
      <v xml:space="preserve">https://en.wikipedia.org/wiki/Tunis	</v>
      <v xml:space="preserve">https://creativecommons.org/licenses/by-sa/3.0	</v>
    </spb>
    <spb s="29">
      <v>1103</v>
      <v>1104</v>
      <v>1104</v>
      <v>1104</v>
      <v>1104</v>
      <v>1104</v>
      <v>1104</v>
      <v>1104</v>
      <v>1104</v>
      <v>1104</v>
    </spb>
    <spb s="0">
      <v xml:space="preserve">Wikipedia	Cia	travel.state.gov	</v>
      <v xml:space="preserve">CC-BY-SA			</v>
      <v xml:space="preserve">http://en.wikipedia.org/wiki/Turkey	https://www.cia.gov/library/publications/the-world-factbook/geos/tu.html?Transportation	https://travel.state.gov/content/travel/en/international-travel/International-Travel-Country-Information-Pages/Turkey.html	</v>
      <v xml:space="preserve">http://creativecommons.org/licenses/by-sa/3.0/			</v>
    </spb>
    <spb s="0">
      <v xml:space="preserve">Wikipedia	</v>
      <v xml:space="preserve">CC BY-SA 3.0	</v>
      <v xml:space="preserve">https://en.wikipedia.org/wiki/Turkey	</v>
      <v xml:space="preserve">https://creativecommons.org/licenses/by-sa/3.0	</v>
    </spb>
    <spb s="0">
      <v xml:space="preserve">Wikipedia	</v>
      <v xml:space="preserve">CC-BY-SA	</v>
      <v xml:space="preserve">http://en.wikipedia.org/wiki/Turkey	</v>
      <v xml:space="preserve">http://creativecommons.org/licenses/by-sa/3.0/	</v>
    </spb>
    <spb s="0">
      <v xml:space="preserve">Cia	</v>
      <v xml:space="preserve">	</v>
      <v xml:space="preserve">https://www.cia.gov/library/publications/the-world-factbook/geos/tu.html?Transportation	</v>
      <v xml:space="preserve">	</v>
    </spb>
    <spb s="1">
      <v>0</v>
      <v>1106</v>
      <v>1107</v>
      <v>1107</v>
      <v>3</v>
      <v>1107</v>
      <v>1107</v>
      <v>1107</v>
      <v>1108</v>
      <v>1107</v>
      <v>1107</v>
      <v>1108</v>
      <v>1107</v>
      <v>1107</v>
      <v>1109</v>
      <v>6</v>
      <v>1106</v>
      <v>1109</v>
      <v>8</v>
      <v>1107</v>
      <v>1109</v>
      <v>9</v>
      <v>10</v>
      <v>11</v>
      <v>1109</v>
      <v>1109</v>
      <v>1107</v>
      <v>1109</v>
      <v>12</v>
      <v>13</v>
      <v>14</v>
      <v>15</v>
      <v>1109</v>
      <v>1106</v>
      <v>1109</v>
      <v>1109</v>
      <v>1109</v>
      <v>1109</v>
      <v>1109</v>
      <v>1109</v>
      <v>1109</v>
      <v>1109</v>
      <v>1109</v>
      <v>1109</v>
      <v>16</v>
    </spb>
    <spb s="7">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1999</v>
      <v>2019</v>
    </spb>
    <spb s="0">
      <v xml:space="preserve">Wikipedia	</v>
      <v xml:space="preserve">CC BY-SA 3.0	</v>
      <v xml:space="preserve">https://en.wikipedia.org/wiki/Ankara	</v>
      <v xml:space="preserve">https://creativecommons.org/licenses/by-sa/3.0	</v>
    </spb>
    <spb s="22">
      <v>1112</v>
      <v>1112</v>
      <v>1112</v>
      <v>1112</v>
      <v>1112</v>
      <v>1112</v>
      <v>1112</v>
      <v>1112</v>
      <v>1112</v>
    </spb>
    <spb s="0">
      <v xml:space="preserve">Wikipedia	</v>
      <v xml:space="preserve">CC BY-SA 3.0	</v>
      <v xml:space="preserve">https://en.wikipedia.org/wiki/Istanbul	</v>
      <v xml:space="preserve">https://creativecommons.org/licenses/by-sa/3.0	</v>
    </spb>
    <spb s="22">
      <v>1114</v>
      <v>1114</v>
      <v>1114</v>
      <v>1114</v>
      <v>1114</v>
      <v>1114</v>
      <v>1114</v>
      <v>1114</v>
      <v>1114</v>
    </spb>
    <spb s="13">
      <v>63</v>
      <v>63</v>
      <v>1</v>
      <v>63</v>
      <v>63</v>
      <v>63</v>
      <v>11</v>
      <v>63</v>
      <v>63</v>
      <v>63</v>
      <v>14</v>
      <v>5</v>
    </spb>
    <spb s="0">
      <v xml:space="preserve">Wikipedia	Cia	travel.state.gov	</v>
      <v xml:space="preserve">CC-BY-SA			</v>
      <v xml:space="preserve">http://en.wikipedia.org/wiki/Turkmenistan	https://www.cia.gov/library/publications/the-world-factbook/geos/tx.html?Transportation	https://travel.state.gov/content/travel/en/international-travel/International-Travel-Country-Information-Pages/Turkmenistan.html	</v>
      <v xml:space="preserve">http://creativecommons.org/licenses/by-sa/3.0/			</v>
    </spb>
    <spb s="0">
      <v xml:space="preserve">Wikipedia	</v>
      <v xml:space="preserve">CC BY-SA 3.0	</v>
      <v xml:space="preserve">https://en.wikipedia.org/wiki/Turkmenistan	</v>
      <v xml:space="preserve">https://creativecommons.org/licenses/by-sa/3.0	</v>
    </spb>
    <spb s="0">
      <v xml:space="preserve">Wikipedia	</v>
      <v xml:space="preserve">CC-BY-SA	</v>
      <v xml:space="preserve">http://en.wikipedia.org/wiki/Turkmenistan	</v>
      <v xml:space="preserve">http://creativecommons.org/licenses/by-sa/3.0/	</v>
    </spb>
    <spb s="0">
      <v xml:space="preserve">Cia	</v>
      <v xml:space="preserve">	</v>
      <v xml:space="preserve">https://www.cia.gov/library/publications/the-world-factbook/geos/tx.html?Transportation	</v>
      <v xml:space="preserve">	</v>
    </spb>
    <spb s="115">
      <v>1117</v>
      <v>1118</v>
      <v>1118</v>
      <v>3</v>
      <v>1118</v>
      <v>1118</v>
      <v>1118</v>
      <v>1119</v>
      <v>1118</v>
      <v>1118</v>
      <v>1119</v>
      <v>1118</v>
      <v>1118</v>
      <v>6</v>
      <v>1117</v>
      <v>8</v>
      <v>1118</v>
      <v>9</v>
      <v>10</v>
      <v>11</v>
      <v>1120</v>
      <v>1120</v>
      <v>1118</v>
      <v>1120</v>
      <v>12</v>
      <v>13</v>
      <v>14</v>
      <v>15</v>
      <v>1120</v>
      <v>1120</v>
      <v>1120</v>
      <v>1120</v>
      <v>1120</v>
      <v>1120</v>
      <v>1120</v>
      <v>1120</v>
      <v>1120</v>
      <v>1120</v>
      <v>16</v>
    </spb>
    <spb s="2">
      <v>88</v>
      <v>Name</v>
      <v>LearnMoreOnLink</v>
    </spb>
    <spb s="116">
      <v>2018</v>
      <v>square km</v>
      <v>per thousand (2018)</v>
      <v>2022</v>
      <v>2018</v>
      <v>per liter (2016)</v>
      <v>years (2018)</v>
      <v>per thousand (2018)</v>
      <v>2019</v>
      <v>2017</v>
      <v>2016</v>
      <v>2019</v>
      <v>2016</v>
      <v>2014</v>
      <v>kilotons per year (2016)</v>
      <v>deaths per 100,000 (2017)</v>
      <v>kWh (2014)</v>
      <v>1998</v>
      <v>1998</v>
      <v>1998</v>
      <v>1998</v>
      <v>1998</v>
      <v>2015</v>
      <v>1998</v>
      <v>1998</v>
      <v>2014</v>
      <v>2014</v>
      <v>2019</v>
    </spb>
    <spb s="0">
      <v xml:space="preserve">Wikipedia	</v>
      <v xml:space="preserve">CC BY-SA 3.0	</v>
      <v xml:space="preserve">https://en.wikipedia.org/wiki/Ashgabat	</v>
      <v xml:space="preserve">https://creativecommons.org/licenses/by-sa/3.0	</v>
    </spb>
    <spb s="0">
      <v xml:space="preserve">Wikipedia	</v>
      <v xml:space="preserve">CC-BY-SA	</v>
      <v xml:space="preserve">http://en.wikipedia.org/wiki/Ashgabat	</v>
      <v xml:space="preserve">http://creativecommons.org/licenses/by-sa/3.0/	</v>
    </spb>
    <spb s="32">
      <v>1124</v>
      <v>1124</v>
      <v>1124</v>
      <v>1124</v>
      <v>1124</v>
      <v>1125</v>
      <v>1124</v>
    </spb>
    <spb s="0">
      <v xml:space="preserve">Wikipedia	Cia	travel.state.gov	</v>
      <v xml:space="preserve">CC-BY-SA			</v>
      <v xml:space="preserve">http://en.wikipedia.org/wiki/Tuvalu	https://www.cia.gov/library/publications/the-world-factbook/geos/tv.html?Transportation	https://travel.state.gov/content/travel/en/international-travel/International-Travel-Country-Information-Pages/Tuvalu.html	</v>
      <v xml:space="preserve">http://creativecommons.org/licenses/by-sa/3.0/			</v>
    </spb>
    <spb s="0">
      <v xml:space="preserve">Wikipedia	</v>
      <v xml:space="preserve">CC BY-SA 3.0	</v>
      <v xml:space="preserve">https://en.wikipedia.org/wiki/Tuvalu	</v>
      <v xml:space="preserve">https://creativecommons.org/licenses/by-sa/3.0	</v>
    </spb>
    <spb s="0">
      <v xml:space="preserve">Wikipedia	</v>
      <v xml:space="preserve">CC-BY-SA	</v>
      <v xml:space="preserve">http://en.wikipedia.org/wiki/Tuvalu	</v>
      <v xml:space="preserve">http://creativecommons.org/licenses/by-sa/3.0/	</v>
    </spb>
    <spb s="0">
      <v xml:space="preserve">Cia	</v>
      <v xml:space="preserve">	</v>
      <v xml:space="preserve">https://www.cia.gov/library/publications/the-world-factbook/geos/tv.html?Transportation	</v>
      <v xml:space="preserve">	</v>
    </spb>
    <spb s="117">
      <v>1127</v>
      <v>1128</v>
      <v>1128</v>
      <v>1128</v>
      <v>1128</v>
      <v>1128</v>
      <v>1129</v>
      <v>1128</v>
      <v>1128</v>
      <v>1128</v>
      <v>1128</v>
      <v>1128</v>
      <v>9</v>
      <v>10</v>
      <v>1130</v>
      <v>1128</v>
      <v>1130</v>
      <v>12</v>
      <v>13</v>
      <v>1130</v>
      <v>1130</v>
      <v>1130</v>
      <v>1130</v>
      <v>1130</v>
      <v>1130</v>
      <v>1130</v>
      <v>1130</v>
      <v>1130</v>
    </spb>
    <spb s="2">
      <v>89</v>
      <v>Name</v>
      <v>LearnMoreOnLink</v>
    </spb>
    <spb s="118">
      <v>2019</v>
      <v>square km</v>
      <v>2022</v>
      <v>per thousand (2018)</v>
      <v>2019</v>
      <v>2016</v>
      <v>2016</v>
      <v>2014</v>
      <v>kilotons per year (2016)</v>
      <v>2010</v>
      <v>2010</v>
      <v>2010</v>
      <v>2010</v>
      <v>2010</v>
      <v>2015</v>
      <v>2010</v>
      <v>2010</v>
      <v>2018</v>
    </spb>
    <spb s="0">
      <v xml:space="preserve">Wikipedia	</v>
      <v xml:space="preserve">CC BY-SA 3.0	</v>
      <v xml:space="preserve">https://en.wikipedia.org/wiki/Funafuti	</v>
      <v xml:space="preserve">https://creativecommons.org/licenses/by-sa/3.0	</v>
    </spb>
    <spb s="0">
      <v xml:space="preserve">Wikipedia	</v>
      <v xml:space="preserve">CC-BY-SA	</v>
      <v xml:space="preserve">http://en.wikipedia.org/wiki/Funafuti	</v>
      <v xml:space="preserve">http://creativecommons.org/licenses/by-sa/3.0/	</v>
    </spb>
    <spb s="32">
      <v>1134</v>
      <v>1134</v>
      <v>1134</v>
      <v>1134</v>
      <v>1134</v>
      <v>1135</v>
      <v>1134</v>
    </spb>
    <spb s="2">
      <v>90</v>
      <v>Name</v>
      <v>LearnMoreOnLink</v>
    </spb>
    <spb s="0">
      <v xml:space="preserve">Wikipedia	Cia	travel.state.gov	</v>
      <v xml:space="preserve">CC-BY-SA			</v>
      <v xml:space="preserve">http://en.wikipedia.org/wiki/Uganda	https://www.cia.gov/library/publications/the-world-factbook/geos/ug.html?Transportation	https://travel.state.gov/content/travel/en/international-travel/International-Travel-Country-Information-Pages/Uganda.html	</v>
      <v xml:space="preserve">http://creativecommons.org/licenses/by-sa/3.0/			</v>
    </spb>
    <spb s="0">
      <v xml:space="preserve">Wikipedia	</v>
      <v xml:space="preserve">CC BY-SA 3.0	</v>
      <v xml:space="preserve">https://en.wikipedia.org/wiki/Uganda	</v>
      <v xml:space="preserve">https://creativecommons.org/licenses/by-sa/3.0	</v>
    </spb>
    <spb s="0">
      <v xml:space="preserve">Wikipedia	</v>
      <v xml:space="preserve">CC-BY-SA	</v>
      <v xml:space="preserve">http://en.wikipedia.org/wiki/Uganda	</v>
      <v xml:space="preserve">http://creativecommons.org/licenses/by-sa/3.0/	</v>
    </spb>
    <spb s="0">
      <v xml:space="preserve">Cia	</v>
      <v xml:space="preserve">	</v>
      <v xml:space="preserve">https://www.cia.gov/library/publications/the-world-factbook/geos/ug.html?Transportation	</v>
      <v xml:space="preserve">	</v>
    </spb>
    <spb s="44">
      <v>0</v>
      <v>1138</v>
      <v>1139</v>
      <v>1139</v>
      <v>3</v>
      <v>1139</v>
      <v>1139</v>
      <v>1139</v>
      <v>1140</v>
      <v>1139</v>
      <v>1139</v>
      <v>1140</v>
      <v>1139</v>
      <v>1139</v>
      <v>1141</v>
      <v>6</v>
      <v>1138</v>
      <v>1141</v>
      <v>8</v>
      <v>1139</v>
      <v>1141</v>
      <v>9</v>
      <v>10</v>
      <v>11</v>
      <v>1141</v>
      <v>1141</v>
      <v>1139</v>
      <v>1141</v>
      <v>12</v>
      <v>13</v>
      <v>14</v>
      <v>1141</v>
      <v>1141</v>
      <v>1141</v>
      <v>1141</v>
      <v>1141</v>
      <v>1141</v>
      <v>1141</v>
      <v>1141</v>
      <v>1141</v>
      <v>1141</v>
      <v>16</v>
    </spb>
    <spb s="45">
      <v>2019</v>
      <v>2019</v>
      <v>square km</v>
      <v>per thousand (2018)</v>
      <v>2022</v>
      <v>2019</v>
      <v>2018</v>
      <v>per liter (2016)</v>
      <v>2019</v>
      <v>years (2018)</v>
      <v>2018</v>
      <v>per thousand (2018)</v>
      <v>2019</v>
      <v>2017</v>
      <v>2016</v>
      <v>2019</v>
      <v>2016</v>
      <v>2017</v>
      <v>kilotons per year (2016)</v>
      <v>deaths per 100,000 (2017)</v>
      <v>2016</v>
      <v>2016</v>
      <v>2016</v>
      <v>2016</v>
      <v>2016</v>
      <v>2015</v>
      <v>2016</v>
      <v>2016</v>
      <v>2017</v>
      <v>2014</v>
      <v>2019</v>
    </spb>
    <spb s="0">
      <v xml:space="preserve">Wikipedia	</v>
      <v xml:space="preserve">CC-BY-SA	</v>
      <v xml:space="preserve">http://en.wikipedia.org/wiki/Kampala	</v>
      <v xml:space="preserve">http://creativecommons.org/licenses/by-sa/3.0/	</v>
    </spb>
    <spb s="0">
      <v xml:space="preserve">Wikipedia	</v>
      <v xml:space="preserve">CC BY-SA 3.0	</v>
      <v xml:space="preserve">https://en.wikipedia.org/wiki/Kampala	</v>
      <v xml:space="preserve">https://creativecommons.org/licenses/by-sa/3.0	</v>
    </spb>
    <spb s="32">
      <v>1144</v>
      <v>1145</v>
      <v>1145</v>
      <v>1145</v>
      <v>1145</v>
      <v>1144</v>
      <v>1145</v>
    </spb>
    <spb s="0">
      <v xml:space="preserve">Wikipedia	Cia	Youtube	</v>
      <v xml:space="preserve">CC-BY-SA			</v>
      <v xml:space="preserve">http://en.wikipedia.org/wiki/Ukraine	https://www.cia.gov/library/publications/the-world-factbook/geos/up.html?Transportation	https://www.youtube.com/channel/UC3ZSveaqIraw9BASEyDLYXg	</v>
      <v xml:space="preserve">http://creativecommons.org/licenses/by-sa/3.0/			</v>
    </spb>
    <spb s="0">
      <v xml:space="preserve">Wikipedia	</v>
      <v xml:space="preserve">CC BY-SA 3.0	</v>
      <v xml:space="preserve">https://en.wikipedia.org/wiki/Ukraine	</v>
      <v xml:space="preserve">https://creativecommons.org/licenses/by-sa/3.0	</v>
    </spb>
    <spb s="0">
      <v xml:space="preserve">Wikipedia	</v>
      <v xml:space="preserve">CC-BY-SA	</v>
      <v xml:space="preserve">http://en.wikipedia.org/wiki/Ukraine	</v>
      <v xml:space="preserve">http://creativecommons.org/licenses/by-sa/3.0/	</v>
    </spb>
    <spb s="0">
      <v xml:space="preserve">Cia	</v>
      <v xml:space="preserve">	</v>
      <v xml:space="preserve">https://www.cia.gov/library/publications/the-world-factbook/geos/up.html?Transportation	</v>
      <v xml:space="preserve">	</v>
    </spb>
    <spb s="1">
      <v>0</v>
      <v>1147</v>
      <v>1148</v>
      <v>1148</v>
      <v>3</v>
      <v>1148</v>
      <v>1148</v>
      <v>1148</v>
      <v>1149</v>
      <v>1148</v>
      <v>1148</v>
      <v>1149</v>
      <v>1148</v>
      <v>1148</v>
      <v>1150</v>
      <v>6</v>
      <v>1147</v>
      <v>1150</v>
      <v>8</v>
      <v>1148</v>
      <v>1150</v>
      <v>9</v>
      <v>10</v>
      <v>11</v>
      <v>1150</v>
      <v>1150</v>
      <v>1148</v>
      <v>1150</v>
      <v>12</v>
      <v>13</v>
      <v>14</v>
      <v>15</v>
      <v>1150</v>
      <v>1147</v>
      <v>1150</v>
      <v>1150</v>
      <v>1150</v>
      <v>1150</v>
      <v>1150</v>
      <v>1150</v>
      <v>1150</v>
      <v>1150</v>
      <v>1150</v>
      <v>1150</v>
      <v>16</v>
    </spb>
    <spb s="7">
      <v>2019</v>
      <v>2019</v>
      <v>square km</v>
      <v>per thousand (2018)</v>
      <v>2022</v>
      <v>2019</v>
      <v>2018</v>
      <v>per liter (2016)</v>
      <v>2019</v>
      <v>years (2018)</v>
      <v>2018</v>
      <v>per thousand (2018)</v>
      <v>2019</v>
      <v>2017</v>
      <v>2016</v>
      <v>2019</v>
      <v>2016</v>
      <v>2014</v>
      <v>kilotons per year (2016)</v>
      <v>deaths per 100,000 (2017)</v>
      <v>kWh (2014)</v>
      <v>2014</v>
      <v>2018</v>
      <v>2018</v>
      <v>2018</v>
      <v>2018</v>
      <v>2018</v>
      <v>2018</v>
      <v>2015</v>
      <v>2018</v>
      <v>2018</v>
      <v>2014</v>
      <v>2014</v>
      <v>2019</v>
    </spb>
    <spb s="0">
      <v xml:space="preserve">Wikipedia	</v>
      <v xml:space="preserve">CC BY-SA 3.0	</v>
      <v xml:space="preserve">https://en.wikipedia.org/wiki/Kyiv	</v>
      <v xml:space="preserve">https://creativecommons.org/licenses/by-sa/3.0	</v>
    </spb>
    <spb s="0">
      <v xml:space="preserve">Wikipedia	Wikipedia	</v>
      <v xml:space="preserve">CC-BY-SA	CC-BY-SA	</v>
      <v xml:space="preserve">http://en.wikipedia.org/wiki/Kyiv	http://en.wikipedia.org/wiki/Kiev	</v>
      <v xml:space="preserve">http://creativecommons.org/licenses/by-sa/3.0/	http://creativecommons.org/licenses/by-sa/3.0/	</v>
    </spb>
    <spb s="119">
      <v>1153</v>
      <v>1153</v>
      <v>1153</v>
      <v>1153</v>
      <v>1153</v>
      <v>1153</v>
      <v>1154</v>
    </spb>
    <spb s="2">
      <v>91</v>
      <v>Name</v>
      <v>LearnMoreOnLink</v>
    </spb>
    <spb s="0">
      <v xml:space="preserve">Wikipedia	Cia	travel.state.gov	</v>
      <v xml:space="preserve">CC-BY-SA			</v>
      <v xml:space="preserve">http://en.wikipedia.org/wiki/United_Arab_Emirates	https://www.cia.gov/library/publications/the-world-factbook/geos/ae.html?Transportation	https://travel.state.gov/content/travel/en/international-travel/International-Travel-Country-Information-Pages/UnitedArabEmirates.html	</v>
      <v xml:space="preserve">http://creativecommons.org/licenses/by-sa/3.0/			</v>
    </spb>
    <spb s="0">
      <v xml:space="preserve">Wikipedia	</v>
      <v xml:space="preserve">CC BY-SA 3.0	</v>
      <v xml:space="preserve">https://en.wikipedia.org/wiki/United_Arab_Emirates	</v>
      <v xml:space="preserve">https://creativecommons.org/licenses/by-sa/3.0	</v>
    </spb>
    <spb s="0">
      <v xml:space="preserve">Wikipedia	</v>
      <v xml:space="preserve">CC-BY-SA	</v>
      <v xml:space="preserve">http://en.wikipedia.org/wiki/United_Arab_Emirates	</v>
      <v xml:space="preserve">http://creativecommons.org/licenses/by-sa/3.0/	</v>
    </spb>
    <spb s="0">
      <v xml:space="preserve">Cia	</v>
      <v xml:space="preserve">	</v>
      <v xml:space="preserve">https://www.cia.gov/library/publications/the-world-factbook/geos/ae.html?Transportation	</v>
      <v xml:space="preserve">	</v>
    </spb>
    <spb s="28">
      <v>0</v>
      <v>1157</v>
      <v>1158</v>
      <v>1158</v>
      <v>3</v>
      <v>1158</v>
      <v>1158</v>
      <v>1158</v>
      <v>1159</v>
      <v>1158</v>
      <v>1158</v>
      <v>1158</v>
      <v>1158</v>
      <v>1160</v>
      <v>6</v>
      <v>1157</v>
      <v>1160</v>
      <v>8</v>
      <v>1158</v>
      <v>1160</v>
      <v>9</v>
      <v>10</v>
      <v>11</v>
      <v>1160</v>
      <v>1160</v>
      <v>1158</v>
      <v>1160</v>
      <v>12</v>
      <v>13</v>
      <v>14</v>
      <v>15</v>
      <v>1160</v>
      <v>1157</v>
      <v>1160</v>
      <v>1160</v>
      <v>1160</v>
      <v>1160</v>
      <v>1160</v>
      <v>1160</v>
      <v>1160</v>
      <v>1160</v>
      <v>1160</v>
      <v>1160</v>
      <v>16</v>
    </spb>
    <spb s="7">
      <v>2019</v>
      <v>2019</v>
      <v>square km</v>
      <v>per thousand (2018)</v>
      <v>2022</v>
      <v>2019</v>
      <v>2018</v>
      <v>per liter (2016)</v>
      <v>2019</v>
      <v>years (2018)</v>
      <v>2018</v>
      <v>per thousand (2018)</v>
      <v>2019</v>
      <v>2017</v>
      <v>2016</v>
      <v>2019</v>
      <v>2016</v>
      <v>2018</v>
      <v>kilotons per year (2016)</v>
      <v>deaths per 100,000 (2017)</v>
      <v>kWh (2014)</v>
      <v>2014</v>
      <v>2019</v>
      <v>2014</v>
      <v>2014</v>
      <v>2014</v>
      <v>2014</v>
      <v>2014</v>
      <v>2015</v>
      <v>2014</v>
      <v>2014</v>
      <v>2017</v>
      <v>2016</v>
      <v>2019</v>
    </spb>
    <spb s="0">
      <v xml:space="preserve">Wikipedia	</v>
      <v xml:space="preserve">CC BY-SA 3.0	</v>
      <v xml:space="preserve">https://en.wikipedia.org/wiki/Abu_Dhabi	</v>
      <v xml:space="preserve">https://creativecommons.org/licenses/by-sa/3.0	</v>
    </spb>
    <spb s="22">
      <v>1163</v>
      <v>1163</v>
      <v>1163</v>
      <v>1163</v>
      <v>1163</v>
      <v>1163</v>
      <v>1163</v>
      <v>1163</v>
      <v>1163</v>
    </spb>
    <spb s="0">
      <v xml:space="preserve">Wikipedia	</v>
      <v xml:space="preserve">CC BY-SA 3.0	</v>
      <v xml:space="preserve">https://en.wikipedia.org/wiki/Dubai	</v>
      <v xml:space="preserve">https://creativecommons.org/licenses/by-sa/3.0	</v>
    </spb>
    <spb s="0">
      <v xml:space="preserve">Wikipedia	</v>
      <v xml:space="preserve">CC-BY-SA	</v>
      <v xml:space="preserve">http://en.wikipedia.org/wiki/Dubai	</v>
      <v xml:space="preserve">http://creativecommons.org/licenses/by-sa/3.0/	</v>
    </spb>
    <spb s="32">
      <v>1165</v>
      <v>1165</v>
      <v>1165</v>
      <v>1165</v>
      <v>1165</v>
      <v>1166</v>
      <v>1165</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Wikipedia	</v>
      <v xml:space="preserve">CC BY-SA 3.0	</v>
      <v xml:space="preserve">https://en.wikipedia.org/wiki/United_Kingdom	</v>
      <v xml:space="preserve">https://creativecommons.org/licenses/by-sa/3.0	</v>
    </spb>
    <spb s="0">
      <v xml:space="preserve">Wikipedia	</v>
      <v xml:space="preserve">CC-BY-SA	</v>
      <v xml:space="preserve">http://en.wikipedia.org/wiki/United_Kingdom	</v>
      <v xml:space="preserve">http://creativecommons.org/licenses/by-sa/3.0/	</v>
    </spb>
    <spb s="0">
      <v xml:space="preserve">Cia	</v>
      <v xml:space="preserve">	</v>
      <v xml:space="preserve">https://www.cia.gov/library/publications/the-world-factbook/geos/uk.html?Transportation	</v>
      <v xml:space="preserve">	</v>
    </spb>
    <spb s="1">
      <v>0</v>
      <v>1168</v>
      <v>1169</v>
      <v>1169</v>
      <v>3</v>
      <v>1169</v>
      <v>1169</v>
      <v>1169</v>
      <v>1170</v>
      <v>1169</v>
      <v>1169</v>
      <v>1170</v>
      <v>1169</v>
      <v>1169</v>
      <v>1171</v>
      <v>6</v>
      <v>1168</v>
      <v>1171</v>
      <v>8</v>
      <v>1169</v>
      <v>1171</v>
      <v>9</v>
      <v>10</v>
      <v>11</v>
      <v>1171</v>
      <v>1171</v>
      <v>1169</v>
      <v>1171</v>
      <v>12</v>
      <v>13</v>
      <v>14</v>
      <v>15</v>
      <v>1171</v>
      <v>1168</v>
      <v>1171</v>
      <v>1171</v>
      <v>1171</v>
      <v>1171</v>
      <v>1171</v>
      <v>1171</v>
      <v>1171</v>
      <v>1171</v>
      <v>1171</v>
      <v>1171</v>
      <v>16</v>
    </spb>
    <spb s="7">
      <v>2019</v>
      <v>2019</v>
      <v>square km</v>
      <v>per thousand (2018)</v>
      <v>2022</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CC BY-SA 3.0	</v>
      <v xml:space="preserve">https://en.wikipedia.org/wiki/London	</v>
      <v xml:space="preserve">https://creativecommons.org/licenses/by-sa/3.0	</v>
    </spb>
    <spb s="29">
      <v>1174</v>
      <v>1174</v>
      <v>1174</v>
      <v>1174</v>
      <v>1174</v>
      <v>1174</v>
      <v>1174</v>
      <v>1174</v>
      <v>1174</v>
      <v>1174</v>
    </spb>
    <spb s="13">
      <v>64</v>
      <v>64</v>
      <v>1</v>
      <v>64</v>
      <v>64</v>
      <v>64</v>
      <v>11</v>
      <v>64</v>
      <v>64</v>
      <v>64</v>
      <v>14</v>
      <v>5</v>
    </spb>
    <spb s="0">
      <v xml:space="preserve">Wikipedia	US Census	US Census	</v>
      <v xml:space="preserve">CC-BY-SA			</v>
      <v xml:space="preserve">http://en.wikipedia.org/wiki/United_States	https://www.census.gov/popest/data/state/asrh/2014/files/SC-EST2014-AGESEX-CIV.csv	http://www.census.gov/quickfacts/table/VET605214/	</v>
      <v xml:space="preserve">http://creativecommons.org/licenses/by-sa/3.0/			</v>
    </spb>
    <spb s="0">
      <v xml:space="preserve">Wikipedia	</v>
      <v xml:space="preserve">CC BY-SA 3.0	</v>
      <v xml:space="preserve">https://en.wikipedia.org/wiki/United_States	</v>
      <v xml:space="preserve">https://creativecommons.org/licenses/by-sa/3.0	</v>
    </spb>
    <spb s="0">
      <v xml:space="preserve">Wikipedia	</v>
      <v xml:space="preserve">CC-BY-SA	</v>
      <v xml:space="preserve">http://en.wikipedia.org/wiki/United_States	</v>
      <v xml:space="preserve">http://creativecommons.org/licenses/by-sa/3.0/	</v>
    </spb>
    <spb s="0">
      <v xml:space="preserve">US Census	</v>
      <v xml:space="preserve">	</v>
      <v xml:space="preserve">https://www.census.gov/popest/data/state/asrh/2014/files/SC-EST2014-AGESEX-CIV.csv	</v>
      <v xml:space="preserve">	</v>
    </spb>
    <spb s="120">
      <v>0</v>
      <v>1177</v>
      <v>1178</v>
      <v>1178</v>
      <v>3</v>
      <v>1178</v>
      <v>1178</v>
      <v>1178</v>
      <v>1179</v>
      <v>1178</v>
      <v>1178</v>
      <v>1179</v>
      <v>1178</v>
      <v>1178</v>
      <v>6</v>
      <v>1177</v>
      <v>1180</v>
      <v>8</v>
      <v>1178</v>
      <v>1180</v>
      <v>9</v>
      <v>10</v>
      <v>11</v>
      <v>1180</v>
      <v>1178</v>
      <v>1180</v>
      <v>12</v>
      <v>13</v>
      <v>14</v>
      <v>15</v>
      <v>1180</v>
      <v>1177</v>
      <v>1180</v>
      <v>1180</v>
      <v>1180</v>
      <v>1180</v>
      <v>1180</v>
      <v>1180</v>
      <v>1180</v>
      <v>1180</v>
      <v>1180</v>
      <v>1180</v>
      <v>16</v>
    </spb>
    <spb s="7">
      <v>2019</v>
      <v>2019</v>
      <v>square km</v>
      <v>per thousand (2018)</v>
      <v>2021</v>
      <v>2022</v>
      <v>2018</v>
      <v>per liter (2016)</v>
      <v>2019</v>
      <v>years (2018)</v>
      <v>2019</v>
      <v>per thousand (2018)</v>
      <v>2019</v>
      <v>2017</v>
      <v>2016</v>
      <v>2020</v>
      <v>2016</v>
      <v>2017</v>
      <v>kilotons per year (2016)</v>
      <v>deaths per 100,000 (2017)</v>
      <v>kWh (2014)</v>
      <v>2015</v>
      <v>2018</v>
      <v>2016</v>
      <v>2016</v>
      <v>2016</v>
      <v>2016</v>
      <v>2016</v>
      <v>2015</v>
      <v>2016</v>
      <v>2016</v>
      <v>2017</v>
      <v>2017</v>
      <v>2019</v>
    </spb>
    <spb s="0">
      <v xml:space="preserve">Wikipedia	</v>
      <v xml:space="preserve">CC BY-SA 3.0	</v>
      <v xml:space="preserve">https://en.wikipedia.org/wiki/Washington,_D.C.	</v>
      <v xml:space="preserve">https://creativecommons.org/licenses/by-sa/3.0	</v>
    </spb>
    <spb s="0">
      <v xml:space="preserve">Wikipedia	</v>
      <v xml:space="preserve">CC-BY-SA	</v>
      <v xml:space="preserve">http://en.wikipedia.org/wiki/Washington,_D.C.	</v>
      <v xml:space="preserve">http://creativecommons.org/licenses/by-sa/3.0/	</v>
    </spb>
    <spb s="0">
      <v xml:space="preserve">Wikipedia	US Census	US Census	</v>
      <v xml:space="preserve">CC-BY-SA			</v>
      <v xml:space="preserve">http://en.wikipedia.org/wiki/Washington,_D.C.	https://www.census.gov/popest/data/state/asrh/2014/files/SC-EST2014-AGESEX-CIV.csv	http://www.census.gov/quickfacts/table/WTN220212/11	</v>
      <v xml:space="preserve">http://creativecommons.org/licenses/by-sa/3.0/			</v>
    </spb>
    <spb s="121">
      <v>1183</v>
      <v>1183</v>
      <v>1180</v>
      <v>1183</v>
      <v>1183</v>
      <v>1183</v>
      <v>1184</v>
      <v>1180</v>
      <v>1183</v>
      <v>1180</v>
      <v>1185</v>
      <v>1180</v>
      <v>1180</v>
      <v>1180</v>
      <v>1180</v>
      <v>1185</v>
      <v>1180</v>
      <v>1180</v>
      <v>1180</v>
      <v>1180</v>
      <v>1180</v>
      <v>1180</v>
      <v>1180</v>
      <v>1180</v>
      <v>1180</v>
      <v>1185</v>
      <v>1180</v>
      <v>1180</v>
      <v>1180</v>
      <v>1180</v>
    </spb>
    <spb s="2">
      <v>92</v>
      <v>Name</v>
      <v>LearnMoreOnLink</v>
    </spb>
    <spb s="122">
      <v>square km</v>
      <v>2015</v>
      <v>2020</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65</v>
    </spb>
    <spb s="0">
      <v xml:space="preserve">Wikipedia	</v>
      <v xml:space="preserve">CC BY-SA 3.0	</v>
      <v xml:space="preserve">https://en.wikipedia.org/wiki/New_York_City	</v>
      <v xml:space="preserve">https://creativecommons.org/licenses/by-sa/3.0	</v>
    </spb>
    <spb s="22">
      <v>1190</v>
      <v>1190</v>
      <v>1190</v>
      <v>1190</v>
      <v>1190</v>
      <v>1190</v>
      <v>1190</v>
      <v>1190</v>
      <v>1190</v>
    </spb>
    <spb s="0">
      <v xml:space="preserve">Wikipedia	Cia	travel.state.gov	</v>
      <v xml:space="preserve">CC-BY-SA			</v>
      <v xml:space="preserve">http://en.wikipedia.org/wiki/Uruguay	https://www.cia.gov/library/publications/the-world-factbook/geos/uy.html?Transportation	https://travel.state.gov/content/travel/en/international-travel/International-Travel-Country-Information-Pages/Uruguay.html	</v>
      <v xml:space="preserve">http://creativecommons.org/licenses/by-sa/3.0/			</v>
    </spb>
    <spb s="0">
      <v xml:space="preserve">Wikipedia	</v>
      <v xml:space="preserve">CC BY-SA 3.0	</v>
      <v xml:space="preserve">https://en.wikipedia.org/wiki/Uruguay	</v>
      <v xml:space="preserve">https://creativecommons.org/licenses/by-sa/3.0	</v>
    </spb>
    <spb s="0">
      <v xml:space="preserve">Wikipedia	</v>
      <v xml:space="preserve">CC-BY-SA	</v>
      <v xml:space="preserve">http://en.wikipedia.org/wiki/Uruguay	</v>
      <v xml:space="preserve">http://creativecommons.org/licenses/by-sa/3.0/	</v>
    </spb>
    <spb s="0">
      <v xml:space="preserve">Cia	</v>
      <v xml:space="preserve">	</v>
      <v xml:space="preserve">https://www.cia.gov/library/publications/the-world-factbook/geos/uy.html?Transportation	</v>
      <v xml:space="preserve">	</v>
    </spb>
    <spb s="1">
      <v>0</v>
      <v>1192</v>
      <v>1193</v>
      <v>1193</v>
      <v>3</v>
      <v>1193</v>
      <v>1193</v>
      <v>1193</v>
      <v>1194</v>
      <v>1193</v>
      <v>1193</v>
      <v>1194</v>
      <v>1193</v>
      <v>1193</v>
      <v>1195</v>
      <v>6</v>
      <v>1192</v>
      <v>1195</v>
      <v>8</v>
      <v>1193</v>
      <v>1195</v>
      <v>9</v>
      <v>10</v>
      <v>11</v>
      <v>1195</v>
      <v>1195</v>
      <v>1193</v>
      <v>1195</v>
      <v>12</v>
      <v>13</v>
      <v>14</v>
      <v>15</v>
      <v>1195</v>
      <v>1192</v>
      <v>1195</v>
      <v>1195</v>
      <v>1195</v>
      <v>1195</v>
      <v>1195</v>
      <v>1195</v>
      <v>1195</v>
      <v>1195</v>
      <v>1195</v>
      <v>1195</v>
      <v>16</v>
    </spb>
    <spb s="7">
      <v>2019</v>
      <v>2019</v>
      <v>square km</v>
      <v>per thousand (2018)</v>
      <v>2022</v>
      <v>2019</v>
      <v>2018</v>
      <v>per liter (2016)</v>
      <v>2019</v>
      <v>years (2018)</v>
      <v>2018</v>
      <v>per thousand (2018)</v>
      <v>2019</v>
      <v>2017</v>
      <v>2016</v>
      <v>2019</v>
      <v>2016</v>
      <v>2017</v>
      <v>kilotons per year (2016)</v>
      <v>deaths per 100,000 (2017)</v>
      <v>kWh (2014)</v>
      <v>2014</v>
      <v>1996</v>
      <v>2018</v>
      <v>2018</v>
      <v>2018</v>
      <v>2018</v>
      <v>2018</v>
      <v>2015</v>
      <v>2018</v>
      <v>2018</v>
      <v>2017</v>
      <v>2017</v>
      <v>2019</v>
    </spb>
    <spb s="0">
      <v xml:space="preserve">Wikipedia	</v>
      <v xml:space="preserve">CC BY-SA 3.0	</v>
      <v xml:space="preserve">https://en.wikipedia.org/wiki/Montevideo	</v>
      <v xml:space="preserve">https://creativecommons.org/licenses/by-sa/3.0	</v>
    </spb>
    <spb s="22">
      <v>1198</v>
      <v>1198</v>
      <v>1198</v>
      <v>1198</v>
      <v>1198</v>
      <v>1198</v>
      <v>1198</v>
      <v>1198</v>
      <v>1198</v>
    </spb>
    <spb s="75">
      <v>1</v>
      <v>66</v>
      <v>66</v>
      <v>11</v>
      <v>66</v>
      <v>66</v>
      <v>66</v>
      <v>14</v>
      <v>5</v>
    </spb>
    <spb s="0">
      <v xml:space="preserve">Wikipedia	Cia	travel.state.gov	</v>
      <v xml:space="preserve">CC-BY-SA			</v>
      <v xml:space="preserve">http://en.wikipedia.org/wiki/Uzbekistan	https://www.cia.gov/library/publications/the-world-factbook/geos/uz.html?Transportation	https://travel.state.gov/content/travel/en/international-travel/International-Travel-Country-Information-Pages/Uzbekistan.html	</v>
      <v xml:space="preserve">http://creativecommons.org/licenses/by-sa/3.0/			</v>
    </spb>
    <spb s="0">
      <v xml:space="preserve">Wikipedia	</v>
      <v xml:space="preserve">CC BY-SA 3.0	</v>
      <v xml:space="preserve">https://en.wikipedia.org/wiki/Uzbekistan	</v>
      <v xml:space="preserve">https://creativecommons.org/licenses/by-sa/3.0	</v>
    </spb>
    <spb s="0">
      <v xml:space="preserve">Wikipedia	</v>
      <v xml:space="preserve">CC-BY-SA	</v>
      <v xml:space="preserve">http://en.wikipedia.org/wiki/Uzbekistan	</v>
      <v xml:space="preserve">http://creativecommons.org/licenses/by-sa/3.0/	</v>
    </spb>
    <spb s="0">
      <v xml:space="preserve">Cia	</v>
      <v xml:space="preserve">	</v>
      <v xml:space="preserve">https://www.cia.gov/library/publications/the-world-factbook/geos/uz.html?Transportation	</v>
      <v xml:space="preserve">	</v>
    </spb>
    <spb s="123">
      <v>1201</v>
      <v>1202</v>
      <v>1202</v>
      <v>3</v>
      <v>1202</v>
      <v>1202</v>
      <v>1202</v>
      <v>1203</v>
      <v>1202</v>
      <v>1202</v>
      <v>1203</v>
      <v>1202</v>
      <v>1202</v>
      <v>6</v>
      <v>1201</v>
      <v>1204</v>
      <v>8</v>
      <v>1202</v>
      <v>1204</v>
      <v>9</v>
      <v>10</v>
      <v>11</v>
      <v>1204</v>
      <v>1204</v>
      <v>1202</v>
      <v>1204</v>
      <v>12</v>
      <v>13</v>
      <v>14</v>
      <v>15</v>
      <v>1204</v>
      <v>1204</v>
      <v>1204</v>
      <v>1204</v>
      <v>1204</v>
      <v>1204</v>
      <v>1204</v>
      <v>1204</v>
      <v>1204</v>
      <v>1204</v>
      <v>1204</v>
      <v>16</v>
    </spb>
    <spb s="2">
      <v>93</v>
      <v>Name</v>
      <v>LearnMoreOnLink</v>
    </spb>
    <spb s="124">
      <v>2019</v>
      <v>square km</v>
      <v>per thousand (2018)</v>
      <v>2022</v>
      <v>2018</v>
      <v>per liter (2016)</v>
      <v>2019</v>
      <v>years (2018)</v>
      <v>2018</v>
      <v>per thousand (2018)</v>
      <v>2019</v>
      <v>2017</v>
      <v>2016</v>
      <v>2019</v>
      <v>2016</v>
      <v>2014</v>
      <v>kilotons per year (2016)</v>
      <v>deaths per 100,000 (2017)</v>
      <v>kWh (2014)</v>
      <v>2013</v>
      <v>2003</v>
      <v>2003</v>
      <v>2003</v>
      <v>2003</v>
      <v>2003</v>
      <v>2015</v>
      <v>2003</v>
      <v>2003</v>
      <v>2018</v>
      <v>2018</v>
      <v>2019</v>
    </spb>
    <spb s="0">
      <v xml:space="preserve">Wikipedia	</v>
      <v xml:space="preserve">CC BY-SA 3.0	</v>
      <v xml:space="preserve">https://en.wikipedia.org/wiki/Tashkent	</v>
      <v xml:space="preserve">https://creativecommons.org/licenses/by-sa/3.0	</v>
    </spb>
    <spb s="0">
      <v xml:space="preserve">Wikipedia	</v>
      <v xml:space="preserve">CC-BY-SA	</v>
      <v xml:space="preserve">http://en.wikipedia.org/wiki/Tashkent	</v>
      <v xml:space="preserve">http://creativecommons.org/licenses/by-sa/3.0/	</v>
    </spb>
    <spb s="32">
      <v>1208</v>
      <v>1208</v>
      <v>1208</v>
      <v>1208</v>
      <v>1208</v>
      <v>1209</v>
      <v>1208</v>
    </spb>
    <spb s="0">
      <v xml:space="preserve">Wikipedia	Cia	travel.state.gov	</v>
      <v xml:space="preserve">CC-BY-SA			</v>
      <v xml:space="preserve">http://en.wikipedia.org/wiki/Vanuatu	https://www.cia.gov/library/publications/the-world-factbook/geos/nh.html?Transportation	https://travel.state.gov/content/travel/en/international-travel/International-Travel-Country-Information-Pages/Vanuatu.html	</v>
      <v xml:space="preserve">http://creativecommons.org/licenses/by-sa/3.0/			</v>
    </spb>
    <spb s="0">
      <v xml:space="preserve">Wikipedia	</v>
      <v xml:space="preserve">CC BY-SA 3.0	</v>
      <v xml:space="preserve">https://en.wikipedia.org/wiki/Vanuatu	</v>
      <v xml:space="preserve">https://creativecommons.org/licenses/by-sa/3.0	</v>
    </spb>
    <spb s="0">
      <v xml:space="preserve">Wikipedia	</v>
      <v xml:space="preserve">CC-BY-SA	</v>
      <v xml:space="preserve">http://en.wikipedia.org/wiki/Vanuatu	</v>
      <v xml:space="preserve">http://creativecommons.org/licenses/by-sa/3.0/	</v>
    </spb>
    <spb s="0">
      <v xml:space="preserve">Cia	</v>
      <v xml:space="preserve">	</v>
      <v xml:space="preserve">https://www.cia.gov/library/publications/the-world-factbook/geos/nh.html?Transportation	</v>
      <v xml:space="preserve">	</v>
    </spb>
    <spb s="95">
      <v>0</v>
      <v>1211</v>
      <v>1212</v>
      <v>1212</v>
      <v>3</v>
      <v>1212</v>
      <v>1212</v>
      <v>1212</v>
      <v>1213</v>
      <v>1212</v>
      <v>1212</v>
      <v>1213</v>
      <v>1212</v>
      <v>1212</v>
      <v>1214</v>
      <v>6</v>
      <v>1211</v>
      <v>1214</v>
      <v>8</v>
      <v>1212</v>
      <v>1214</v>
      <v>9</v>
      <v>10</v>
      <v>1214</v>
      <v>1214</v>
      <v>1212</v>
      <v>1214</v>
      <v>12</v>
      <v>13</v>
      <v>14</v>
      <v>1214</v>
      <v>1214</v>
      <v>1214</v>
      <v>1214</v>
      <v>1214</v>
      <v>1214</v>
      <v>1214</v>
      <v>1214</v>
      <v>1214</v>
      <v>1214</v>
      <v>1214</v>
      <v>16</v>
    </spb>
    <spb s="92">
      <v>2019</v>
      <v>2019</v>
      <v>square km</v>
      <v>per thousand (2018)</v>
      <v>2022</v>
      <v>2019</v>
      <v>2018</v>
      <v>per liter (2016)</v>
      <v>2019</v>
      <v>years (2018)</v>
      <v>2018</v>
      <v>per thousand (2018)</v>
      <v>2019</v>
      <v>2016</v>
      <v>2019</v>
      <v>2016</v>
      <v>2016</v>
      <v>kilotons per year (2016)</v>
      <v>deaths per 100,000 (2017)</v>
      <v>2007</v>
      <v>2010</v>
      <v>2010</v>
      <v>2010</v>
      <v>2010</v>
      <v>2010</v>
      <v>2015</v>
      <v>2010</v>
      <v>2010</v>
      <v>2015</v>
      <v>2004</v>
      <v>2019</v>
    </spb>
    <spb s="0">
      <v xml:space="preserve">Wikipedia	</v>
      <v xml:space="preserve">CC BY-SA 3.0	</v>
      <v xml:space="preserve">https://en.wikipedia.org/wiki/Port_Vila	</v>
      <v xml:space="preserve">https://creativecommons.org/licenses/by-sa/3.0	</v>
    </spb>
    <spb s="22">
      <v>1217</v>
      <v>1217</v>
      <v>1217</v>
      <v>1217</v>
      <v>1217</v>
      <v>1217</v>
      <v>1217</v>
      <v>1217</v>
      <v>1217</v>
    </spb>
    <spb s="75">
      <v>1</v>
      <v>67</v>
      <v>67</v>
      <v>11</v>
      <v>67</v>
      <v>67</v>
      <v>67</v>
      <v>14</v>
      <v>5</v>
    </spb>
    <spb s="0">
      <v xml:space="preserve">Wikipedia	</v>
      <v xml:space="preserve">CC BY-SA 3.0	</v>
      <v xml:space="preserve">https://en.wikipedia.org/wiki/Vatican_City	</v>
      <v xml:space="preserve">https://creativecommons.org/licenses/by-sa/3.0	</v>
    </spb>
    <spb s="0">
      <v xml:space="preserve">Cia	</v>
      <v xml:space="preserve">	</v>
      <v xml:space="preserve">https://www.cia.gov/library/publications/the-world-factbook/geos/vt.html?People-and-Society	</v>
      <v xml:space="preserve">	</v>
    </spb>
    <spb s="125">
      <v>1220</v>
      <v>1220</v>
      <v>1220</v>
      <v>1220</v>
      <v>1220</v>
      <v>1220</v>
      <v>1220</v>
      <v>1220</v>
      <v>1220</v>
      <v>1221</v>
    </spb>
    <spb s="2">
      <v>94</v>
      <v>Name</v>
      <v>LearnMoreOnLink</v>
    </spb>
    <spb s="0">
      <v xml:space="preserve">Wikipedia	Cia	travel.state.gov	</v>
      <v xml:space="preserve">CC-BY-SA			</v>
      <v xml:space="preserve">http://en.wikipedia.org/wiki/Venezuela	https://www.cia.gov/library/publications/the-world-factbook/geos/ve.html?Transportation	https://travel.state.gov/content/travel/en/international-travel/International-Travel-Country-Information-Pages/Venezuela.html	</v>
      <v xml:space="preserve">http://creativecommons.org/licenses/by-sa/3.0/			</v>
    </spb>
    <spb s="0">
      <v xml:space="preserve">Wikipedia	</v>
      <v xml:space="preserve">CC BY-SA 3.0	</v>
      <v xml:space="preserve">https://en.wikipedia.org/wiki/Venezuela	</v>
      <v xml:space="preserve">https://creativecommons.org/licenses/by-sa/3.0	</v>
    </spb>
    <spb s="0">
      <v xml:space="preserve">Wikipedia	</v>
      <v xml:space="preserve">CC-BY-SA	</v>
      <v xml:space="preserve">http://en.wikipedia.org/wiki/Venezuela	</v>
      <v xml:space="preserve">http://creativecommons.org/licenses/by-sa/3.0/	</v>
    </spb>
    <spb s="0">
      <v xml:space="preserve">Cia	</v>
      <v xml:space="preserve">	</v>
      <v xml:space="preserve">https://www.cia.gov/library/publications/the-world-factbook/geos/ve.html?Transportation	</v>
      <v xml:space="preserve">	</v>
    </spb>
    <spb s="73">
      <v>0</v>
      <v>1224</v>
      <v>1225</v>
      <v>1225</v>
      <v>3</v>
      <v>1225</v>
      <v>1225</v>
      <v>1225</v>
      <v>1226</v>
      <v>1225</v>
      <v>1225</v>
      <v>1226</v>
      <v>1225</v>
      <v>1225</v>
      <v>1227</v>
      <v>6</v>
      <v>1224</v>
      <v>1227</v>
      <v>8</v>
      <v>1225</v>
      <v>9</v>
      <v>10</v>
      <v>11</v>
      <v>1227</v>
      <v>1227</v>
      <v>1225</v>
      <v>1227</v>
      <v>12</v>
      <v>13</v>
      <v>14</v>
      <v>15</v>
      <v>1227</v>
      <v>1224</v>
      <v>1227</v>
      <v>1227</v>
      <v>1227</v>
      <v>1227</v>
      <v>1227</v>
      <v>1227</v>
      <v>1227</v>
      <v>1227</v>
      <v>1227</v>
      <v>1227</v>
      <v>16</v>
    </spb>
    <spb s="74">
      <v>2016</v>
      <v>2014</v>
      <v>square km</v>
      <v>per thousand (2018)</v>
      <v>2022</v>
      <v>2016</v>
      <v>2018</v>
      <v>per liter (2016)</v>
      <v>2019</v>
      <v>years (2018)</v>
      <v>per thousand (2018)</v>
      <v>2019</v>
      <v>2017</v>
      <v>2016</v>
      <v>2019</v>
      <v>2016</v>
      <v>2001</v>
      <v>kilotons per year (2016)</v>
      <v>deaths per 100,000 (2017)</v>
      <v>kWh (2014)</v>
      <v>2013</v>
      <v>2002</v>
      <v>2006</v>
      <v>2006</v>
      <v>2006</v>
      <v>2006</v>
      <v>2006</v>
      <v>2015</v>
      <v>2006</v>
      <v>2006</v>
      <v>2017</v>
      <v>2009</v>
      <v>2019</v>
    </spb>
    <spb s="0">
      <v xml:space="preserve">Wikipedia	</v>
      <v xml:space="preserve">CC BY-SA 3.0	</v>
      <v xml:space="preserve">https://en.wikipedia.org/wiki/Caracas	</v>
      <v xml:space="preserve">https://creativecommons.org/licenses/by-sa/3.0	</v>
    </spb>
    <spb s="29">
      <v>1230</v>
      <v>1230</v>
      <v>1230</v>
      <v>1230</v>
      <v>1230</v>
      <v>1230</v>
      <v>1230</v>
      <v>1230</v>
      <v>1230</v>
      <v>1230</v>
    </spb>
    <spb s="75">
      <v>1</v>
      <v>68</v>
      <v>68</v>
      <v>11</v>
      <v>68</v>
      <v>68</v>
      <v>68</v>
      <v>14</v>
      <v>5</v>
    </spb>
    <spb s="0">
      <v xml:space="preserve">Wikipedia	Cia	travel.state.gov	</v>
      <v xml:space="preserve">CC-BY-SA			</v>
      <v xml:space="preserve">http://en.wikipedia.org/wiki/Vietnam	https://www.cia.gov/library/publications/the-world-factbook/geos/vm.html?Transportation	https://travel.state.gov/content/travel/en/international-travel/International-Travel-Country-Information-Pages/Vietnam.html	</v>
      <v xml:space="preserve">http://creativecommons.org/licenses/by-sa/3.0/			</v>
    </spb>
    <spb s="0">
      <v xml:space="preserve">Wikipedia	</v>
      <v xml:space="preserve">CC BY-SA 3.0	</v>
      <v xml:space="preserve">https://en.wikipedia.org/wiki/Vietnam	</v>
      <v xml:space="preserve">https://creativecommons.org/licenses/by-sa/3.0	</v>
    </spb>
    <spb s="0">
      <v xml:space="preserve">Wikipedia	</v>
      <v xml:space="preserve">CC-BY-SA	</v>
      <v xml:space="preserve">http://en.wikipedia.org/wiki/Vietnam	</v>
      <v xml:space="preserve">http://creativecommons.org/licenses/by-sa/3.0/	</v>
    </spb>
    <spb s="0">
      <v xml:space="preserve">Cia	</v>
      <v xml:space="preserve">	</v>
      <v xml:space="preserve">https://www.cia.gov/library/publications/the-world-factbook/geos/vm.html?Transportation	</v>
      <v xml:space="preserve">	</v>
    </spb>
    <spb s="1">
      <v>0</v>
      <v>1233</v>
      <v>1234</v>
      <v>1234</v>
      <v>3</v>
      <v>1234</v>
      <v>1234</v>
      <v>1234</v>
      <v>1235</v>
      <v>1234</v>
      <v>1234</v>
      <v>1235</v>
      <v>1234</v>
      <v>1234</v>
      <v>1236</v>
      <v>6</v>
      <v>1233</v>
      <v>1236</v>
      <v>8</v>
      <v>1234</v>
      <v>1236</v>
      <v>9</v>
      <v>10</v>
      <v>11</v>
      <v>1236</v>
      <v>1236</v>
      <v>1234</v>
      <v>1236</v>
      <v>12</v>
      <v>13</v>
      <v>14</v>
      <v>15</v>
      <v>1236</v>
      <v>1233</v>
      <v>1236</v>
      <v>1236</v>
      <v>1236</v>
      <v>1236</v>
      <v>1236</v>
      <v>1236</v>
      <v>1236</v>
      <v>1236</v>
      <v>1236</v>
      <v>1236</v>
      <v>16</v>
    </spb>
    <spb s="7">
      <v>2019</v>
      <v>2019</v>
      <v>square km</v>
      <v>per thousand (2018)</v>
      <v>2022</v>
      <v>2019</v>
      <v>2018</v>
      <v>per liter (2016)</v>
      <v>2019</v>
      <v>years (2018)</v>
      <v>2013</v>
      <v>per thousand (2018)</v>
      <v>2019</v>
      <v>2017</v>
      <v>2016</v>
      <v>2019</v>
      <v>2016</v>
      <v>2016</v>
      <v>kilotons per year (2016)</v>
      <v>deaths per 100,000 (2017)</v>
      <v>kWh (2014)</v>
      <v>2013</v>
      <v>2019</v>
      <v>2018</v>
      <v>2018</v>
      <v>2018</v>
      <v>2018</v>
      <v>2018</v>
      <v>2015</v>
      <v>2018</v>
      <v>2018</v>
      <v>2018</v>
      <v>2016</v>
      <v>2019</v>
    </spb>
    <spb s="0">
      <v xml:space="preserve">Wikipedia	</v>
      <v xml:space="preserve">CC BY-SA 3.0	</v>
      <v xml:space="preserve">https://en.wikipedia.org/wiki/Hanoi	</v>
      <v xml:space="preserve">https://creativecommons.org/licenses/by-sa/3.0	</v>
    </spb>
    <spb s="0">
      <v xml:space="preserve">Wikipedia	</v>
      <v xml:space="preserve">CC-BY-SA	</v>
      <v xml:space="preserve">http://en.wikipedia.org/wiki/Hanoi	</v>
      <v xml:space="preserve">http://creativecommons.org/licenses/by-sa/3.0/	</v>
    </spb>
    <spb s="54">
      <v>1239</v>
      <v>1239</v>
      <v>1239</v>
      <v>1239</v>
      <v>1239</v>
      <v>1240</v>
      <v>1239</v>
      <v>1239</v>
    </spb>
    <spb s="2">
      <v>95</v>
      <v>Name</v>
      <v>LearnMoreOnLink</v>
    </spb>
    <spb s="0">
      <v xml:space="preserve">Wikipedia	</v>
      <v xml:space="preserve">CC BY-SA 3.0	</v>
      <v xml:space="preserve">https://en.wikipedia.org/wiki/Ho_Chi_Minh_City	</v>
      <v xml:space="preserve">https://creativecommons.org/licenses/by-sa/3.0	</v>
    </spb>
    <spb s="0">
      <v xml:space="preserve">Wikipedia	</v>
      <v xml:space="preserve">CC-BY-SA	</v>
      <v xml:space="preserve">http://en.wikipedia.org/wiki/Ho_Chi_Minh_City	</v>
      <v xml:space="preserve">http://creativecommons.org/licenses/by-sa/3.0/	</v>
    </spb>
    <spb s="54">
      <v>1243</v>
      <v>1243</v>
      <v>1243</v>
      <v>1243</v>
      <v>1243</v>
      <v>1244</v>
      <v>1243</v>
      <v>1244</v>
    </spb>
    <spb s="2">
      <v>96</v>
      <v>Name</v>
      <v>LearnMoreOnLink</v>
    </spb>
    <spb s="0">
      <v xml:space="preserve">Wikipedia	Cia	travel.state.gov	</v>
      <v xml:space="preserve">CC-BY-SA			</v>
      <v xml:space="preserve">http://en.wikipedia.org/wiki/Yemen	https://www.cia.gov/library/publications/the-world-factbook/geos/ym.html?Transportation	https://travel.state.gov/content/travel/en/international-travel/International-Travel-Country-Information-Pages/Yemen.html	</v>
      <v xml:space="preserve">http://creativecommons.org/licenses/by-sa/3.0/			</v>
    </spb>
    <spb s="0">
      <v xml:space="preserve">Wikipedia	</v>
      <v xml:space="preserve">CC BY-SA 3.0	</v>
      <v xml:space="preserve">https://en.wikipedia.org/wiki/Yemen	</v>
      <v xml:space="preserve">https://creativecommons.org/licenses/by-sa/3.0	</v>
    </spb>
    <spb s="0">
      <v xml:space="preserve">Wikipedia	</v>
      <v xml:space="preserve">CC-BY-SA	</v>
      <v xml:space="preserve">http://en.wikipedia.org/wiki/Yemen	</v>
      <v xml:space="preserve">http://creativecommons.org/licenses/by-sa/3.0/	</v>
    </spb>
    <spb s="0">
      <v xml:space="preserve">Cia	</v>
      <v xml:space="preserve">	</v>
      <v xml:space="preserve">https://www.cia.gov/library/publications/the-world-factbook/geos/ym.html?Transportation	</v>
      <v xml:space="preserve">	</v>
    </spb>
    <spb s="126">
      <v>0</v>
      <v>1247</v>
      <v>1248</v>
      <v>1248</v>
      <v>3</v>
      <v>1248</v>
      <v>1248</v>
      <v>1248</v>
      <v>1249</v>
      <v>1248</v>
      <v>1248</v>
      <v>1248</v>
      <v>1248</v>
      <v>1250</v>
      <v>6</v>
      <v>1247</v>
      <v>1250</v>
      <v>8</v>
      <v>1248</v>
      <v>9</v>
      <v>10</v>
      <v>11</v>
      <v>1250</v>
      <v>1250</v>
      <v>1248</v>
      <v>1250</v>
      <v>12</v>
      <v>13</v>
      <v>14</v>
      <v>15</v>
      <v>1250</v>
      <v>1250</v>
      <v>1250</v>
      <v>1250</v>
      <v>1250</v>
      <v>1250</v>
      <v>1250</v>
      <v>1250</v>
      <v>1250</v>
      <v>1250</v>
      <v>1250</v>
      <v>16</v>
    </spb>
    <spb s="2">
      <v>97</v>
      <v>Name</v>
      <v>LearnMoreOnLink</v>
    </spb>
    <spb s="127">
      <v>2014</v>
      <v>2018</v>
      <v>square km</v>
      <v>per thousand (2018)</v>
      <v>2022</v>
      <v>2014</v>
      <v>2018</v>
      <v>per liter (2016)</v>
      <v>2019</v>
      <v>years (2018)</v>
      <v>per thousand (2018)</v>
      <v>2019</v>
      <v>2017</v>
      <v>2016</v>
      <v>2019</v>
      <v>2016</v>
      <v>2014</v>
      <v>kilotons per year (2016)</v>
      <v>deaths per 100,000 (2017)</v>
      <v>kWh (2014)</v>
      <v>2013</v>
      <v>2014</v>
      <v>2014</v>
      <v>2014</v>
      <v>2014</v>
      <v>2014</v>
      <v>2015</v>
      <v>2014</v>
      <v>2014</v>
      <v>2016</v>
      <v>2011</v>
      <v>2019</v>
    </spb>
    <spb s="0">
      <v xml:space="preserve">Wikipedia	</v>
      <v xml:space="preserve">CC BY-SA 3.0	</v>
      <v xml:space="preserve">https://en.wikipedia.org/wiki/Sanaa	</v>
      <v xml:space="preserve">https://creativecommons.org/licenses/by-sa/3.0	</v>
    </spb>
    <spb s="31">
      <v>1254</v>
      <v>1254</v>
      <v>1254</v>
      <v>1254</v>
      <v>1254</v>
      <v>1254</v>
    </spb>
    <spb s="2">
      <v>98</v>
      <v>Name</v>
      <v>LearnMoreOnLink</v>
    </spb>
    <spb s="13">
      <v>69</v>
      <v>69</v>
      <v>1</v>
      <v>69</v>
      <v>69</v>
      <v>69</v>
      <v>11</v>
      <v>69</v>
      <v>69</v>
      <v>69</v>
      <v>14</v>
      <v>5</v>
    </spb>
    <spb s="13">
      <v>70</v>
      <v>70</v>
      <v>1</v>
      <v>70</v>
      <v>70</v>
      <v>70</v>
      <v>11</v>
      <v>70</v>
      <v>70</v>
      <v>70</v>
      <v>14</v>
      <v>5</v>
    </spb>
    <spb s="13">
      <v>71</v>
      <v>71</v>
      <v>1</v>
      <v>71</v>
      <v>71</v>
      <v>71</v>
      <v>11</v>
      <v>71</v>
      <v>71</v>
      <v>71</v>
      <v>14</v>
      <v>5</v>
    </spb>
    <spb s="13">
      <v>58</v>
      <v>58</v>
      <v>1</v>
      <v>58</v>
      <v>58</v>
      <v>58</v>
      <v>11</v>
      <v>58</v>
      <v>58</v>
      <v>58</v>
      <v>14</v>
      <v>5</v>
    </spb>
    <spb s="11">
      <v>99</v>
      <v>Name</v>
    </spb>
    <spb s="128">
      <v>1</v>
      <v>9</v>
      <v>9</v>
      <v>9</v>
      <v>9</v>
      <v>9</v>
      <v>14</v>
      <v>5</v>
    </spb>
  </spbData>
</supportingPropertyBags>
</file>

<file path=xl/richData/rdsupportingpropertybagstructure.xml><?xml version="1.0" encoding="utf-8"?>
<spbStructures xmlns="http://schemas.microsoft.com/office/spreadsheetml/2017/richdata2" count="129">
  <s>
    <k n="SourceText" t="s"/>
    <k n="LicenseText" t="s"/>
    <k n="SourceAddress" t="s"/>
    <k n="LicenseAddress"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k n="TitleProperty" t="s"/>
    <k n="SubTitleProperty" t="s"/>
  </s>
  <s>
    <k n="ShowInCardView" t="b"/>
    <k n="ShowInDotNotation" t="b"/>
    <k n="ShowInAutoComplete" t="b"/>
  </s>
  <s>
    <k n="UniqueName" t="spb"/>
    <k n="VDPID/VSID" t="spb"/>
    <k n="LearnMoreOnLink" t="spb"/>
  </s>
  <s>
    <k n="Name" t="i"/>
    <k n="Image" t="i"/>
  </s>
  <s>
    <k n="link" t="s"/>
    <k n="logo" t="s"/>
    <k n="name" t="s"/>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_Self" t="i"/>
  </s>
  <s>
    <k n="Area" t="spb"/>
    <k n="Name" t="spb"/>
    <k n="Latitude" t="spb"/>
    <k n="Longitude" t="spb"/>
    <k n="Population" t="spb"/>
    <k n="UniqueName" t="spb"/>
    <k n="Description" t="spb"/>
    <k n="Country/region" t="spb"/>
  </s>
  <s>
    <k n="Area" t="s"/>
    <k n="Population" t="s"/>
  </s>
  <s>
    <k n="^Order" t="spba"/>
    <k n="TitleProperty" t="s"/>
  </s>
  <s>
    <k n="UniqueName" t="spb"/>
    <k n="`%ProviderInfo" t="spb"/>
  </s>
  <s>
    <k n="Low" t="i"/>
    <k n="High" t="i"/>
    <k n="Name" t="i"/>
    <k n="Open" t="i"/>
    <k n="Price" t="i"/>
    <k n="Change" t="i"/>
    <k n="Change (%)" t="i"/>
    <k n="52 week low" t="i"/>
    <k n="52 week high" t="i"/>
    <k n="Previous close" t="i"/>
    <k n="Last trade time" t="i"/>
    <k n="`%EntityServiceId" t="i"/>
  </s>
  <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Area" t="spb"/>
    <k n="Name" t="spb"/>
    <k n="Households" t="spb"/>
    <k n="Population" t="spb"/>
    <k n="UniqueName" t="spb"/>
    <k n="Description" t="spb"/>
    <k n="Abbreviation" t="spb"/>
    <k n="Country/region" t="spb"/>
    <k n="Persons per household" t="spb"/>
  </s>
  <s>
    <k n="Area" t="s"/>
    <k n="Households" t="s"/>
    <k n="Population" t="s"/>
    <k n="Persons per household"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name"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k n="Admin Division 1 (State/province/other)" t="spb"/>
    <k n="Admin Division 2 (County/district/other)" t="spb"/>
  </s>
  <s>
    <k n="Area" t="spb"/>
    <k n="Name" t="spb"/>
    <k n="Population" t="spb"/>
    <k n="UniqueName" t="spb"/>
    <k n="Description" t="spb"/>
    <k n="Abbreviation" t="spb"/>
    <k n="Largest city" t="spb"/>
    <k n="Country/region" t="spb"/>
    <k n="Capital/Major City" t="spb"/>
  </s>
  <s>
    <k n="Area" t="spb"/>
    <k n="Name" t="spb"/>
    <k n="Population" t="spb"/>
    <k n="UniqueName" t="spb"/>
    <k n="Description" t="spb"/>
    <k n="Country/region" t="spb"/>
  </s>
  <s>
    <k n="Area" t="spb"/>
    <k n="Name" t="spb"/>
    <k n="Population" t="spb"/>
    <k n="UniqueName" t="spb"/>
    <k n="Description" t="spb"/>
    <k n="Abbreviation" t="spb"/>
    <k n="Country/region"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GDP" t="spb"/>
    <k n="Area" t="spb"/>
    <k n="Name" t="spb"/>
    <k n="Population" t="spb"/>
    <k n="UniqueName" t="spb"/>
    <k n="Description" t="spb"/>
    <k n="Calling code" t="spb"/>
    <k n="Largest city" t="spb"/>
    <k n="Minimum wage" t="spb"/>
    <k n="Currency code" t="spb"/>
    <k n="Official name" t="spb"/>
    <k n="National anthem" t="spb"/>
    <k n="Capital/Major City" t="spb"/>
  </s>
  <s>
    <k n="GDP" t="s"/>
    <k n="Area" t="s"/>
    <k n="Population" t="s"/>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Out of pocket health expenditure (%)" t="s"/>
    <k n="Gross primary education enrollment (%)" t="s"/>
    <k n="Gross tertiary education enrollment (%)" t="s"/>
    <k n="Population: Labor force participation (%)" t="s"/>
  </s>
  <s>
    <k n="P/E" t="i"/>
    <k n="Beta" t="i"/>
    <k n="Name"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Out of pocket health expenditure (%)" t="s"/>
    <k n="Gross primary education enrollment (%)" t="s"/>
    <k n="Gross tertiary education enrollment (%)" t="s"/>
    <k n="Population: Labor force participation (%)" t="s"/>
  </s>
  <s>
    <k n="UniqueName" t="spb"/>
    <k n="VDPID/VSID" t="spb"/>
    <k n="Description" t="spb"/>
    <k n="LearnMoreOnLink" t="spb"/>
  </s>
  <s>
    <k n="Name" t="i"/>
    <k n="Description" t="i"/>
  </s>
  <s>
    <k n="GDP" t="spb"/>
    <k n="Area" t="spb"/>
    <k n="Name" t="spb"/>
    <k n="Birth rate" t="spb"/>
    <k n="Population" t="spb"/>
    <k n="UniqueName" t="spb"/>
    <k n="Description" t="spb"/>
    <k n="Abbreviation" t="spb"/>
    <k n="Calling code" t="spb"/>
    <k n="Largest city" t="spb"/>
    <k n="Currency code" t="spb"/>
    <k n="Official name" t="spb"/>
    <k n="Fertility rate" t="spb"/>
    <k n="Gasoline price" t="spb"/>
    <k n="Total tax rate" t="spb"/>
    <k n="Life expectancy" t="spb"/>
    <k n="National anthem" t="spb"/>
    <k n="Urban population" t="spb"/>
    <k n="Forested area (%)" t="spb"/>
    <k n="Capital/Major City" t="spb"/>
    <k n="Agricultural land (%)" t="spb"/>
    <k n="Carbon dioxide emissions" t="spb"/>
    <k n="Gross primary education enrollment (%)" t="spb"/>
    <k n="Gross tertiary education enrollment (%)" t="spb"/>
  </s>
  <s>
    <k n="GDP" t="s"/>
    <k n="Area" t="s"/>
    <k n="Birth rate" t="s"/>
    <k n="Population" t="s"/>
    <k n="Fertility rate" t="s"/>
    <k n="Gasoline price" t="s"/>
    <k n="Total tax rate" t="s"/>
    <k n="Life expectancy" t="s"/>
    <k n="Urban population" t="s"/>
    <k n="Forested area (%)" t="s"/>
    <k n="Agricultural land (%)" t="s"/>
    <k n="Carbon dioxide emissions" t="s"/>
    <k n="Gross primary education enrollment (%)" t="s"/>
    <k n="Gross tertiary education enrollment (%)" t="s"/>
  </s>
  <s>
    <k n="Area" t="spb"/>
    <k n="Name" t="spb"/>
    <k n="Population" t="spb"/>
    <k n="UniqueName" t="spb"/>
    <k n="Description" t="spb"/>
    <k n="Abbreviation" t="spb"/>
    <k n="Country/region" t="spb"/>
    <k n="Capital/Major City" t="spb"/>
  </s>
  <s>
    <k n="Area" t="spb"/>
    <k n="Name" t="spb"/>
    <k n="Latitude" t="spb"/>
    <k n="Longitude" t="spb"/>
    <k n="Population" t="spb"/>
    <k n="UniqueName" t="spb"/>
    <k n="Description" t="spb"/>
    <k n="Country/region" t="spb"/>
    <k n="Admin Division 2 (County/district/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GDP" t="s"/>
    <k n="Area" t="s"/>
    <k n="Birth rate" t="s"/>
    <k n="Population" t="s"/>
    <k n="Fertility rate" t="s"/>
    <k n="Gasoline pric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Name" t="spb"/>
    <k n="Latitude" t="spb"/>
    <k n="Longitude" t="spb"/>
    <k n="UniqueName" t="spb"/>
    <k n="Description" t="spb"/>
    <k n="Country/region" t="spb"/>
    <k n="Admin Division 2 (County/district/other)" t="spb"/>
  </s>
  <s>
    <k n="UniqueName" t="spb"/>
    <k n="LearnMoreOnLink"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Households" t="spb"/>
    <k n="Population" t="spb"/>
    <k n="UniqueName" t="spb"/>
    <k n="Description" t="spb"/>
    <k n="Abbreviation" t="spb"/>
    <k n="Country/region" t="spb"/>
  </s>
  <s>
    <k n="Area" t="s"/>
    <k n="Households" t="s"/>
    <k n="Population"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Maternal mortality ratio"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Maternal mortality ratio"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Name" t="spb"/>
    <k n="Latitude" t="spb"/>
    <k n="Longitude" t="spb"/>
    <k n="Population" t="spb"/>
    <k n="UniqueName" t="spb"/>
    <k n="Description" t="spb"/>
    <k n="Country/region" t="spb"/>
    <k n="Admin Division 1 (State/province/other)" t="spb"/>
  </s>
  <s>
    <k n="Population" t="s"/>
  </s>
  <s>
    <k n="GDP" t="spb"/>
    <k n="Area" t="spb"/>
    <k n="Name" t="spb"/>
    <k n="Birth rate" t="spb"/>
    <k n="Population" t="spb"/>
    <k n="UniqueName" t="spb"/>
    <k n="Description" t="spb"/>
    <k n="Abbreviation" t="spb"/>
    <k n="Calling code" t="spb"/>
    <k n="Largest city" t="spb"/>
    <k n="Minimum wage" t="spb"/>
    <k n="Currency code" t="spb"/>
    <k n="Official name" t="spb"/>
    <k n="Gasoline price" t="spb"/>
    <k n="National anthem" t="spb"/>
    <k n="Infant mortality" t="spb"/>
    <k n="Urban population" t="spb"/>
    <k n="Capital/Major City" t="spb"/>
    <k n="Physicians per thousand" t="spb"/>
    <k n="Out of pocket health expenditure (%)" t="spb"/>
  </s>
  <s>
    <k n="GDP" t="s"/>
    <k n="Area" t="s"/>
    <k n="Birth rate" t="s"/>
    <k n="Population" t="s"/>
    <k n="Gasoline price" t="s"/>
    <k n="Infant mortality" t="s"/>
    <k n="Urban population" t="s"/>
    <k n="Physicians per thousand" t="s"/>
    <k n="Out of pocket health expenditure (%)" t="s"/>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Name" t="i"/>
    <k n="Price" t="i"/>
    <k n="Change" t="i"/>
    <k n="Change (%)" t="i"/>
    <k n="52 week low" t="i"/>
    <k n="52 week high" t="i"/>
    <k n="Previous close" t="i"/>
    <k n="Last trade time" t="i"/>
    <k n="`%EntityServiceId" t="i"/>
  </s>
  <s>
    <k n="GDP" t="spb"/>
    <k n="Area" t="spb"/>
    <k n="Name" t="spb"/>
    <k n="Population" t="spb"/>
    <k n="UniqueName" t="spb"/>
    <k n="Description" t="spb"/>
    <k n="Abbreviation" t="spb"/>
    <k n="Calling code" t="spb"/>
    <k n="Largest city" t="spb"/>
    <k n="Currency code" t="spb"/>
    <k n="Official name" t="spb"/>
    <k n="National anthem" t="spb"/>
    <k n="Capital/Major City" t="spb"/>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Gross primary education enrollment (%)" t="s"/>
    <k n="Gross tertiary education enrollment (%)" t="s"/>
    <k n="Population: Labor force participation (%)" t="s"/>
  </s>
  <s>
    <k n="GDP" t="spb"/>
    <k n="Area" t="spb"/>
    <k n="Name" t="spb"/>
    <k n="Population" t="spb"/>
    <k n="UniqueName" t="spb"/>
    <k n="Description" t="spb"/>
    <k n="Calling code" t="spb"/>
    <k n="Largest city" t="spb"/>
    <k n="Currency code" t="spb"/>
    <k n="Official name" t="spb"/>
    <k n="National anthem" t="spb"/>
    <k n="Capital/Major City" t="spb"/>
    <k n="Out of pocket health expenditure (%)" t="spb"/>
  </s>
  <s>
    <k n="GDP" t="s"/>
    <k n="Area" t="s"/>
    <k n="Population" t="s"/>
    <k n="Out of pocket health expenditure (%)" t="s"/>
  </s>
  <s>
    <k n="Low" t="i"/>
    <k n="P/E" t="i"/>
    <k n="Beta" t="i"/>
    <k n="High" t="i"/>
    <k n="Name" t="i"/>
    <k n="Open" t="i"/>
    <k n="Price" t="i"/>
    <k n="Change" t="i"/>
    <k n="Volume" t="i"/>
    <k n="Employees" t="i"/>
    <k n="Change (%)" t="i"/>
    <k n="Market cap" t="i"/>
    <k n="Previous close" t="i"/>
    <k n="Volume average" t="i"/>
    <k n="Last trade time" t="i"/>
    <k n="Year incorporated" t="i"/>
    <k n="`%EntityServiceId" t="i"/>
    <k n="Shares outstanding" t="i"/>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Carbon dioxide emissions" t="spb"/>
    <k n="Fossil fuel energy consumption"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Carbon dioxide emissions" t="s"/>
    <k n="Fossil fuel energy consumption" t="s"/>
    <k n="Out of pocket health expenditure (%)" t="s"/>
    <k n="Gross primary education enrollment (%)" t="s"/>
    <k n="Gross tertiary education enrollment (%)" t="s"/>
  </s>
  <s>
    <k n="Area" t="spb"/>
    <k n="Name" t="spb"/>
    <k n="Latitude" t="spb"/>
    <k n="Longitude" t="spb"/>
    <k n="UniqueName" t="spb"/>
    <k n="Description" t="spb"/>
    <k n="Country/region" t="spb"/>
  </s>
  <s>
    <k n="Area"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Out of pocket health expenditure (%)"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Out of pocket health expenditure (%)"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Capital/Major City" t="spb"/>
    <k n="Agricultural land (%)" t="spb"/>
    <k n="Physicians per thousand" t="spb"/>
    <k n="Out of pocket health expenditure (%)"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Forested area (%)" t="s"/>
    <k n="Agricultural land (%)" t="s"/>
    <k n="Physicians per thousand" t="s"/>
    <k n="Out of pocket health expenditure (%)" t="s"/>
    <k n="Gross primary education enrollment (%)" t="s"/>
    <k n="Gross tertiary education enrollment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s>
  <s>
    <k n="CPI" t="s"/>
    <k n="GDP" t="s"/>
    <k n="Area" t="s"/>
    <k n="Birth rate" t="s"/>
    <k n="Population" t="s"/>
    <k n="CPI Change (%)" t="s"/>
    <k n="Fertility rate" t="s"/>
    <k n="Total tax rate" t="s"/>
    <k n="Life expectancy" t="s"/>
    <k n="Tax revenue (%)" t="s"/>
    <k n="Infant mortality" t="s"/>
    <k n="Urban population" t="s"/>
    <k n="Armed forces size" t="s"/>
    <k n="Forested area (%)" t="s"/>
    <k n="Agricultural land (%)" t="s"/>
    <k n="Physicians per thousand" t="s"/>
    <k n="Carbon dioxide emissions" t="s"/>
    <k n="Maternal mortality ratio"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s>
  <s>
    <k n="CPI" t="spb"/>
    <k n="GDP" t="spb"/>
    <k n="Area" t="spb"/>
    <k n="Name" t="spb"/>
    <k n="Birth rate" t="spb"/>
    <k n="Population" t="spb"/>
    <k n="UniqueName" t="spb"/>
    <k n="Description" t="spb"/>
    <k n="Abbreviation" t="spb"/>
    <k n="Calling cod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Out of pocket health expenditure (%)" t="spb"/>
    <k n="Gross primary education enrollment (%)" t="spb"/>
    <k n="Gross tertiary education enrollment (%)" t="spb"/>
    <k n="Population: Labor force participation (%)"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GDP" t="spb"/>
    <k n="Area" t="spb"/>
    <k n="Name" t="spb"/>
    <k n="Birth rate" t="spb"/>
    <k n="Population" t="spb"/>
    <k n="UniqueName" t="spb"/>
    <k n="Description" t="spb"/>
    <k n="Abbreviation" t="spb"/>
    <k n="Calling code" t="spb"/>
    <k n="Largest city" t="spb"/>
    <k n="Currency code" t="spb"/>
    <k n="Official name" t="spb"/>
    <k n="Fertility rate" t="spb"/>
    <k n="Gasoline pric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Gross primary education enrollment (%)" t="spb"/>
    <k n="Gross tertiary education enrollment (%)" t="spb"/>
    <k n="Population: Labor force participation (%)" t="spb"/>
  </s>
  <s>
    <k n="GDP" t="s"/>
    <k n="Area" t="s"/>
    <k n="Birth rate" t="s"/>
    <k n="Population" t="s"/>
    <k n="Fertility rate" t="s"/>
    <k n="Gasoline pric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Gross primary education enrollment (%)" t="s"/>
    <k n="Gross tertiary education enrollment (%)" t="s"/>
    <k n="Population: Labor force participation (%)" t="s"/>
  </s>
  <s>
    <k n="Area" t="spb"/>
    <k n="Name" t="spb"/>
    <k n="Households" t="spb"/>
    <k n="Population" t="spb"/>
    <k n="UniqueName" t="spb"/>
    <k n="Description" t="spb"/>
    <k n="Abbreviation" t="spb"/>
    <k n="Housing units" t="spb"/>
    <k n="Country/region" t="spb"/>
    <k n="Capital/Major City" t="spb"/>
  </s>
  <s>
    <k n="Area" t="s"/>
    <k n="Households" t="s"/>
    <k n="Population" t="s"/>
    <k n="Housing units"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Unemployment rate" t="spb"/>
    <k n="Capital/Major City"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Unemployment rate"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Total tax rate" t="spb"/>
    <k n="Life expectancy" t="spb"/>
    <k n="National anthem" t="spb"/>
    <k n="Tax revenue (%)" t="spb"/>
    <k n="Infant mortality" t="spb"/>
    <k n="Urban population" t="spb"/>
    <k n="Forested area (%)" t="spb"/>
    <k n="Unemployment rate" t="spb"/>
    <k n="Capital/Major City" t="spb"/>
    <k n="Agricultural land (%)" t="spb"/>
    <k n="Physicians per thousand" t="spb"/>
    <k n="Carbon dioxide emissions" t="spb"/>
    <k n="Maternal mortality ratio"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Total tax rate" t="s"/>
    <k n="Life expectancy" t="s"/>
    <k n="Tax revenue (%)" t="s"/>
    <k n="Infant mortality" t="s"/>
    <k n="Urban population" t="s"/>
    <k n="Forested area (%)" t="s"/>
    <k n="Unemployment rate" t="s"/>
    <k n="Agricultural land (%)" t="s"/>
    <k n="Physicians per thousand" t="s"/>
    <k n="Carbon dioxide emissions" t="s"/>
    <k n="Maternal mortality ratio"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GDP" t="spb"/>
    <k n="Area" t="spb"/>
    <k n="Name" t="spb"/>
    <k n="Population" t="spb"/>
    <k n="UniqueName" t="spb"/>
    <k n="Description" t="spb"/>
    <k n="Abbreviation" t="spb"/>
    <k n="Calling code" t="spb"/>
    <k n="Largest city" t="spb"/>
    <k n="Currency code" t="spb"/>
    <k n="Official name" t="spb"/>
    <k n="National anthem" t="spb"/>
    <k n="Infant mortality" t="spb"/>
    <k n="Urban population" t="spb"/>
    <k n="Forested area (%)" t="spb"/>
    <k n="Capital/Major City" t="spb"/>
    <k n="Agricultural land (%)" t="spb"/>
    <k n="Physicians per thousand" t="spb"/>
    <k n="Carbon dioxide emission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s>
  <s>
    <k n="GDP" t="s"/>
    <k n="Area" t="s"/>
    <k n="Population" t="s"/>
    <k n="Infant mortality" t="s"/>
    <k n="Urban population" t="s"/>
    <k n="Forested area (%)" t="s"/>
    <k n="Agricultural land (%)" t="s"/>
    <k n="Physicians per thousand" t="s"/>
    <k n="Carbon dioxide emission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s>
  <s>
    <k n="Area" t="spb"/>
    <k n="Name" t="spb"/>
    <k n="Population" t="spb"/>
    <k n="UniqueName" t="spb"/>
    <k n="Description" t="spb"/>
    <k n="Country/region" t="spb"/>
    <k n="Capital/Major City" t="spb"/>
  </s>
  <s>
    <k n="CPI" t="spb"/>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Households" t="spb"/>
    <k n="Population" t="spb"/>
    <k n="UniqueName" t="spb"/>
    <k n="Description" t="spb"/>
    <k n="Abbreviation" t="spb"/>
    <k n="Housing units" t="spb"/>
    <k n="Country/region" t="spb"/>
    <k n="Building permits" t="spb"/>
    <k n="Median gross rent"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GDP" t="spb"/>
    <k n="Area" t="spb"/>
    <k n="Name" t="spb"/>
    <k n="Birth rate" t="spb"/>
    <k n="Population" t="spb"/>
    <k n="UniqueName" t="spb"/>
    <k n="Description" t="spb"/>
    <k n="Abbreviation" t="spb"/>
    <k n="Calling code" t="spb"/>
    <k n="Largest city" t="spb"/>
    <k n="Minimum wage" t="spb"/>
    <k n="Currency code" t="spb"/>
    <k n="Official name"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GDP" t="s"/>
    <k n="Area" t="s"/>
    <k n="Birth rate" t="s"/>
    <k n="Population"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alling code" t="spb"/>
    <k n="Currency code" t="spb"/>
    <k n="Official name" t="spb"/>
    <k n="National anthem" t="spb"/>
    <k n="Capital/Major City"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Name" t="i"/>
    <k n="Price" t="i"/>
    <k n="Change" t="i"/>
    <k n="52 week low" t="i"/>
    <k n="52 week high" t="i"/>
    <k n="Previous close" t="i"/>
    <k n="Last trade time" t="i"/>
    <k n="`%EntityServiceId"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9">
    <x:dxf>
      <x:numFmt numFmtId="3" formatCode="#,##0"/>
    </x:dxf>
    <x:dxf>
      <x:numFmt numFmtId="0" formatCode="General"/>
    </x:dxf>
    <x:dxf>
      <x:numFmt numFmtId="2" formatCode="0.00"/>
    </x:dxf>
    <x:dxf>
      <x:numFmt numFmtId="14" formatCode="0.00%"/>
    </x:dxf>
    <x:dxf>
      <x:numFmt numFmtId="4" formatCode="#,##0.00"/>
    </x:dxf>
    <x:dxf>
      <x:numFmt numFmtId="1" formatCode="0"/>
    </x:dxf>
    <x:dxf>
      <x:numFmt numFmtId="27" formatCode="dd/mm/yyyy\ hh:mm"/>
    </x:dxf>
    <x:dxf>
      <x:numFmt numFmtId="35" formatCode="_ * #,##0.00_ ;_ * \-#,##0.00_ ;_ * &quot;-&quot;??_ ;_ @_ "/>
    </x:dxf>
    <x:dxf>
      <x:numFmt numFmtId="13" formatCode="0%"/>
    </x:dxf>
  </dxfs>
  <richProperties>
    <rPr n="IsTitleField" t="b"/>
    <rPr n="IsHeroField" t="b"/>
    <rPr n="NumberFormat" t="s"/>
    <rPr n="RequiresInlineAttribution" t="b"/>
  </richProperties>
  <richStyles>
    <rSty>
      <rpv i="0">1</rpv>
    </rSty>
    <rSty>
      <rpv i="1">1</rpv>
    </rSty>
    <rSty dxfid="3">
      <rpv i="2">0.0%</rpv>
    </rSty>
    <rSty dxfid="0">
      <rpv i="2">#,##0</rpv>
    </rSty>
    <rSty dxfid="2">
      <rpv i="2">0.00</rpv>
    </rSty>
    <rSty dxfid="5">
      <rpv i="2">0</rpv>
    </rSty>
    <rSty dxfid="4">
      <rpv i="2">#,##0.00</rpv>
    </rSty>
    <rSty dxfid="1">
      <rpv i="2">0.0</rpv>
    </rSty>
    <rSty dxfid="1">
      <rpv i="2">_([$$-en-US]* #,##0.00_);_([$$-en-US]* (#,##0.00);_([$$-en-US]* "-"??_);_(@_)</rpv>
    </rSty>
    <rSty dxfid="1">
      <rpv i="2">_([$$-en-US]* #,##0_);_([$$-en-US]* (#,##0);_([$$-en-US]* "-"_);_(@_)</rpv>
    </rSty>
    <rSty dxfid="3"/>
    <rSty dxfid="1">
      <rpv i="2">0.0000</rpv>
    </rSty>
    <rSty dxfid="1">
      <rpv i="2" xml:space="preserve">_ [$₹-en-IN] * #,##0.00_ ;_ [$₹-en-IN] * -#,##0.00_ ;_ [$₹-en-IN] * "-"??_ ;_ @_ </rpv>
    </rSty>
    <rSty dxfid="6"/>
    <rSty dxfid="1">
      <rpv i="2">_([$€-x-euro2] * #,##0.00_);_([$€-x-euro2] * (#,##0.00);_([$€-x-euro2] * "-"??_);_(@_)</rpv>
    </rSty>
    <rSty dxfid="1">
      <rpv i="2">_-[$£-en-GB]* #,##0.00_-;-[$£-en-GB]* #,##0.00_-;_-[$£-en-GB]* "-"??_-;_-@_-</rpv>
    </rSty>
    <rSty dxfid="1">
      <rpv i="2">_-[$¥-ja-JP]* #,##0.00_-;-[$¥-ja-JP]* #,##0.00_-;_-[$¥-ja-JP]* "-"??_-;_-@_-</rpv>
    </rSty>
    <rSty dxfid="1">
      <rpv i="2">_-[$$-en-CA]* #,##0.00_-;-[$$-en-CA]* #,##0.00_-;_-[$$-en-CA]* "-"??_-;_-@_-</rpv>
    </rSty>
    <rSty dxfid="1">
      <rpv i="2">_-[$$-en-AU]* #,##0.00_-;-[$$-en-AU]* #,##0.00_-;_-[$$-en-AU]* "-"??_-;_-@_-</rpv>
    </rSty>
    <rSty dxfid="1">
      <rpv i="2">_-* #,##0.00 [$CHF-fr-CH]_-;-* #,##0.00 [$CHF-fr-CH]_-;_-* "-"?? [$CHF-fr-CH]_-;_-@_-</rpv>
    </rSty>
    <rSty dxfid="1">
      <rpv i="2" xml:space="preserve">_ [$₹-en-IN] * #,##0_ ;_ [$₹-en-IN] * -#,##0_ ;_ [$₹-en-IN] * "-"_ ;_ @_ </rpv>
    </rSty>
    <rSty dxfid="1">
      <rpv i="2" xml:space="preserve">_ [$¥-zh-CN]* #,##0.00_ ;_ [$¥-zh-CN]* -#,##0.00_ ;_ [$¥-zh-CN]* "-"??_ ;_ @_ </rpv>
    </rSty>
    <rSty dxfid="1">
      <rpv i="2">_-[$$-zh-SG]* #,##0.00_-;-[$$-zh-SG]* #,##0.00_-;_-[$$-zh-SG]* "-"??_-;_-@_-</rpv>
    </rSty>
    <rSty dxfid="1">
      <rpv i="2">_-[$$-en-HK]* #,##0.00_-;-[$$-en-HK]* #,##0.00_-;_-[$$-en-HK]* "-"??_-;_-@_-</rpv>
    </rSty>
    <rSty dxfid="1">
      <rpv i="2">_-* #,##0.00 [$kr-smj-SE]_-;-* #,##0.00 [$kr-smj-SE]_-;_-* "-"?? [$kr-smj-SE]_-;_-@_-</rpv>
    </rSty>
    <rSty>
      <rpv i="3">1</rpv>
    </rSty>
    <rSty dxfid="1">
      <rpv i="2" xml:space="preserve">_ [$kr-smj-NO] * #,##0.00_ ;_ [$kr-smj-NO] * -#,##0.00_ ;_ [$kr-smj-NO] * "-"??_ ;_ @_ </rpv>
    </rSty>
    <rSty dxfid="1">
      <rpv i="2">_-* #,##0.00 [$kr-fo-FO]_-;-* #,##0.00 [$kr-fo-FO]_-;_-* "-"?? [$kr-fo-FO]_-;_-@_-</rpv>
    </rSty>
    <rSty dxfid="1">
      <rpv i="2">_-[$₩-ko-KR]* #,##0.00_-;-[$₩-ko-KR]* #,##0.00_-;_-[$₩-ko-KR]* "-"??_-;_-@_-</rpv>
    </rSty>
    <rSty dxfid="1">
      <rpv i="2">_-[$₩-ko-KR]* #,##0_-;-[$₩-ko-KR]* #,##0_-;_-[$₩-ko-KR]* "-"_-;_-@_-</rpv>
    </rSty>
    <rSty dxfid="1">
      <rpv i="2">_-[$₺-tr-TR]* #,##0.00_-;-[$₺-tr-TR]* #,##0.00_-;_-[$₺-tr-TR]* "-"??_-;_-@_-</rpv>
    </rSty>
    <rSty dxfid="1">
      <rpv i="2">_-[$$-es-MX]* #,##0.00_-;-[$$-es-MX]* #,##0.00_-;_-[$$-es-MX]* "-"??_-;_-@_-</rpv>
    </rSty>
    <rSty dxfid="1">
      <rpv i="2">_-[$R$-pt-BR] * #,##0.00_-;-[$R$-pt-BR] * #,##0.00_-;_-[$R$-pt-BR] * "-"??_-;_-@_-</rpv>
    </rSty>
    <rSty dxfid="1">
      <rpv i="2">_-[$R-af-ZA]* #,##0.00_-;-[$R-af-ZA]* #,##0.00_-;_-[$R-af-ZA]* "-"??_-;_-@_-</rpv>
    </rSty>
    <rSty dxfid="1">
      <rpv i="2">_-* #,##0.00 [$₽-ba-RU]_-;-* #,##0.00 [$₽-ba-RU]_-;_-* "-"?? [$₽-ba-RU]_-;_-@_-</rpv>
    </rSty>
    <rSty dxfid="1">
      <rpv i="2">_-* #,##0.00 [$zł-pl-PL]_-;-* #,##0.00 [$zł-pl-PL]_-;_-* "-"?? [$zł-pl-PL]_-;_-@_-</rpv>
    </rSty>
    <rSty dxfid="1">
      <rpv i="2">_-* #,##0.00 [$Kč-cs-CZ]_-;-* #,##0.00 [$Kč-cs-CZ]_-;_-* "-"?? [$Kč-cs-CZ]_-;_-@_-</rpv>
    </rSty>
    <rSty dxfid="1">
      <rpv i="2">_-* #,##0.00 [$Ft-hu-HU]_-;-* #,##0.00 [$Ft-hu-HU]_-;_-* "-"?? [$Ft-hu-HU]_-;_-@_-</rpv>
    </rSty>
    <rSty dxfid="1">
      <rpv i="2" xml:space="preserve">_ [$₪-he-IL] * #,##0.00_ ;_ [$₪-he-IL] * -#,##0.00_ ;_ [$₪-he-IL] * "-"??_ ;_ @_ </rpv>
    </rSty>
    <rSty dxfid="1">
      <rpv i="2">_-[$$-arn-CL] * #,##0.00_-;-[$$-arn-CL] * #,##0.00_-;_-[$$-arn-CL] * "-"??_-;_-@_-</rpv>
    </rSty>
    <rSty dxfid="1">
      <rpv i="2">_-[$₱-en-PH]* #,##0.00_-;-[$₱-en-PH]* #,##0.00_-;_-[$₱-en-PH]* "-"??_-;_-@_-</rpv>
    </rSty>
    <rSty dxfid="1">
      <rpv i="2">_-[$฿-th-TH]* #,##0.00_-;-[$฿-th-TH]* #,##0.00_-;_-[$฿-th-TH]* "-"??_-;_-@_-</rpv>
    </rSty>
    <rSty dxfid="1">
      <rpv i="2">_-[$Rp-en-ID]* #,##0.00_-;-[$Rp-en-ID]* #,##0.00_-;_-[$Rp-en-ID]* "-"??_-;_-@_-</rpv>
    </rSty>
    <rSty dxfid="1">
      <rpv i="2">_-[$Rs-pa-Arab-PK] * #,##0.00_-;-[$Rs-pa-Arab-PK] * #,##0.00_-;_-[$Rs-pa-Arab-PK] * "-"??_-;_-@_-</rpv>
    </rSty>
    <rSty dxfid="1">
      <rpv i="2">_-* #,##0.00[$৳-bn-BD]_-;-* #,##0.00[$৳-bn-BD]_-;_-* "-"??[$৳-bn-BD]_-;_-@_-</rpv>
    </rSty>
    <rSty dxfid="1">
      <rpv i="2">_-* #,##0.00 [$₫-vi-VN]_-;-* #,##0.00 [$₫-vi-VN]_-;_-* "-"?? [$₫-vi-VN]_-;_-@_-</rpv>
    </rSty>
    <rSty dxfid="1">
      <rpv i="2">_-* #,##0.00 [$ر.ع.‏-ar-OM]_-;-* #,##0.00 [$ر.ع.‏-ar-OM]_-;_-* "-"?? [$ر.ع.‏-ar-OM]_-;_-@_-</rpv>
    </rSty>
    <rSty dxfid="1">
      <rpv i="2">_-* #,##0.00 [$د.ك.‏-ar-KW]_-;-* #,##0.00 [$د.ك.‏-ar-KW]_-;_-* "-"?? [$د.ك.‏-ar-KW]_-;_-@_-</rpv>
    </rSty>
    <rSty dxfid="1">
      <rpv i="2">_-* #,##0.00 [$ر.ق.‏-ar-QA]_-;-* #,##0.00 [$ر.ق.‏-ar-QA]_-;_-* "-"?? [$ر.ق.‏-ar-QA]_-;_-@_-</rpv>
    </rSty>
    <rSty dxfid="1">
      <rpv i="2">_-* #,##0.00 [$ر.س.‏-ar-SA]_-;-* #,##0.00 [$ر.س.‏-ar-SA]_-;_-* "-"?? [$ر.س.‏-ar-SA]_-;_-@_-</rpv>
    </rSty>
    <rSty dxfid="1">
      <rpv i="2">_-[$AED-en-AE]* #,##0.00_-;-[$AED-en-AE]* #,##0.00_-;_-[$AED-en-AE]* "-"??_-;_-@_-</rpv>
    </rSty>
    <rSty dxfid="1">
      <rpv i="2">_-* #,##0.00 [$د.ب.‏-ar-BH]_-;-* #,##0.00 [$د.ب.‏-ar-BH]_-;_-* "-"?? [$د.ب.‏-ar-BH]_-;_-@_-</rpv>
    </rSty>
    <rSty dxfid="1">
      <rpv i="2">_-* #,##0.00 [$د.ا.‏-ar-JO]_-;-* #,##0.00 [$د.ا.‏-ar-JO]_-;_-* "-"?? [$د.ا.‏-ar-JO]_-;_-@_-</rpv>
    </rSty>
    <rSty dxfid="1">
      <rpv i="2">_-* #,##0.00 [$د.ل.‏-ar-LY]_-;-* #,##0.00 [$د.ل.‏-ar-LY]_-;_-* "-"?? [$د.ل.‏-ar-LY]_-;_-@_-</rpv>
    </rSty>
    <rSty dxfid="1">
      <rpv i="2">_-* #,##0.00 [$DH-fr-MA]_-;-* #,##0.00 [$DH-fr-MA]_-;_-* "-"?? [$DH-fr-MA]_-;_-@_-</rpv>
    </rSty>
    <rSty dxfid="1">
      <rpv i="2">_-* #,##0.00 [$DA-tzm-Latn-DZ]_-;-* #,##0.00 [$DA-tzm-Latn-DZ]_-;_-* "-"?? [$DA-tzm-Latn-DZ]_-;_-@_-</rpv>
    </rSty>
    <rSty dxfid="1">
      <rpv i="2">_-[$₦-bin-NG] * #,##0.00_-;-[$₦-bin-NG] * #,##0.00_-;_-[$₦-bin-NG] * "-"??_-;_-@_-</rpv>
    </rSty>
    <rSty dxfid="7">
      <rpv i="2">_(* #,##0.00_);_(* (#,##0.00);_(* "-"??_);_(@_)</rpv>
    </rSty>
    <rSty dxfid="1">
      <rpv i="2" xml:space="preserve">_ [$₭-lo-LA]* #,##0.00_ ;_ [$₭-lo-LA]* -#,##0.00_ ;_ [$₭-lo-LA]* "-"??_ ;_ @_ </rpv>
    </rSty>
    <rSty dxfid="1">
      <rpv i="2">_-* #,##0.00 [$K-my-MM]_-;-* #,##0.00 [$K-my-MM]_-;_-* "-"?? [$K-my-MM]_-;_-@_-</rpv>
    </rSty>
    <rSty dxfid="1">
      <rpv i="2">_-* #,##0.00[$៛-km-KH]_-;-* #,##0.00[$៛-km-KH]_-;_-* "-"??[$៛-km-KH]_-;_-@_-</rpv>
    </rSty>
    <rSty dxfid="1">
      <rpv i="2">_-[$RM-en-MY]* #,##0.00_-;-[$RM-en-MY]* #,##0.00_-;_-[$RM-en-MY]* "-"??_-;_-@_-</rpv>
    </rSty>
    <rSty dxfid="1">
      <rpv i="2">_-[$NT$-zh-TW]* #,##0.00_-;-[$NT$-zh-TW]* #,##0.00_-;_-[$NT$-zh-TW]* "-"??_-;_-@_-</rpv>
    </rSty>
    <rSty dxfid="1">
      <rpv i="2">_-* #,##0.00 [$ج.م.‏-ar-EG]_-;-* #,##0.00 [$ج.م.‏-ar-EG]_-;_-* "-"?? [$ج.م.‏-ar-EG]_-;_-@_-</rpv>
    </rSty>
    <rSty dxfid="8"/>
    <rSty dxfid="1">
      <rpv i="2">_-[$$-es-AR] * #,##0.00_-;-[$$-es-AR] * #,##0.00_-;_-[$$-es-AR] * "-"??_-;_-@_-</rpv>
    </rSty>
    <rSty dxfid="1">
      <rpv i="2">_-[$$-es-CO] * #,##0.00_-;-[$$-es-CO] * #,##0.00_-;_-[$$-es-CO] * "-"??_-;_-@_-</rpv>
    </rSty>
    <rSty dxfid="1">
      <rpv i="2" xml:space="preserve">_ [$S/-quz-PE] * #,##0.00_ ;_ [$S/-quz-PE] * -#,##0.00_ ;_ [$S/-quz-PE] * "-"??_ ;_ @_ </rpv>
    </rSty>
    <rSty dxfid="1">
      <rpv i="2">_-[$₡-es-CR]* #,##0.00_-;-[$₡-es-CR]* #,##0.00_-;_-[$₡-es-CR]* "-"??_-;_-@_-</rpv>
    </rSty>
    <rSty dxfid="1">
      <rpv i="2">_-[$C$-es-NI]* #,##0.00_-;-[$C$-es-NI]* #,##0.00_-;_-[$C$-es-NI]* "-"??_-;_-@_-</rpv>
    </rSty>
    <rSty dxfid="1">
      <rpv i="2">_([$$-es-DO]* #,##0.00_);_([$$-es-DO]* (#,##0.00);_([$$-es-DO]* "-"??_);_(@_)</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C853C8-BAC1-4475-AED1-F4C5AEC4F12C}" name="Table2" displayName="Table2" ref="A1:H118" totalsRowShown="0" headerRowDxfId="32" dataDxfId="31">
  <autoFilter ref="A1:H118" xr:uid="{F5C853C8-BAC1-4475-AED1-F4C5AEC4F12C}"/>
  <tableColumns count="8">
    <tableColumn id="1" xr3:uid="{380D3963-22F4-4EAB-AD32-FFDD2919581B}" name="Country" dataDxfId="30"/>
    <tableColumn id="2" xr3:uid="{D50D0373-E1DD-456E-8BB1-B7B62D8F8B3A}" name="Calling code" dataDxfId="29">
      <calculatedColumnFormula array="1">_FV(Table2[[#This Row],[Country]],"Calling code",TRUE)</calculatedColumnFormula>
    </tableColumn>
    <tableColumn id="3" xr3:uid="{CCE68942-C40C-4195-9B3E-C37EA5534343}" name="GDP" dataDxfId="28">
      <calculatedColumnFormula array="1">_FV(Table2[[#This Row],[Country]],"GDP")</calculatedColumnFormula>
    </tableColumn>
    <tableColumn id="4" xr3:uid="{85B60759-E1EA-4C24-AF79-ED6CC7C3928E}" name="National anthem" dataDxfId="27">
      <calculatedColumnFormula array="1">_FV(Table2[[#This Row],[Country]],"National anthem",TRUE)</calculatedColumnFormula>
    </tableColumn>
    <tableColumn id="5" xr3:uid="{678F4996-1BC4-4C48-A2FA-F12F53C52025}" name="Largest city" dataDxfId="26">
      <calculatedColumnFormula array="1">_FV(Table2[[#This Row],[Country]],"Largest city",TRUE)</calculatedColumnFormula>
    </tableColumn>
    <tableColumn id="6" xr3:uid="{D39BCBA7-1E20-48CF-880C-2FE09CBA372D}" name="Image" dataDxfId="25">
      <calculatedColumnFormula array="1">_FV(Table2[[#This Row],[Country]],"Image")</calculatedColumnFormula>
    </tableColumn>
    <tableColumn id="7" xr3:uid="{B6A5DA91-69ED-48AA-9B4F-9935438ADE45}" name="Capital/Major City" dataDxfId="24">
      <calculatedColumnFormula array="1">_FV(Table2[[#This Row],[Country]],"Capital/Major City",TRUE)</calculatedColumnFormula>
    </tableColumn>
    <tableColumn id="8" xr3:uid="{B322AAF7-1409-4301-A36A-E8538FCDB254}" name="Leader(s)" dataDxfId="23">
      <calculatedColumnFormula array="1">_xlfn.ARRAYTOTEXT(_FV(Table2[[#This Row],[Country]],"Leader(s)",TRUE))</calculatedColumnFormula>
    </tableColumn>
  </tableColumns>
  <tableStyleInfo name="TableStyleMedium2"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EA821CD-D156-46C7-865A-6EED82BD603E}" name="Table3" displayName="Table3" ref="K1:R129" totalsRowShown="0" headerRowDxfId="22" dataDxfId="21">
  <autoFilter ref="K1:R129" xr:uid="{3EA821CD-D156-46C7-865A-6EED82BD603E}"/>
  <tableColumns count="8">
    <tableColumn id="1" xr3:uid="{19211263-E437-4E5F-975D-616BC63CC9DB}" name="Currency Pair" dataDxfId="20"/>
    <tableColumn id="2" xr3:uid="{9D68FB1C-C862-48D5-8BAF-8654CF725DB0}" name="52 week high" dataDxfId="19">
      <calculatedColumnFormula array="1">_FV(Table3[[#This Row],[Currency Pair]],"52 week high",TRUE)</calculatedColumnFormula>
    </tableColumn>
    <tableColumn id="3" xr3:uid="{0AB8D820-2346-49AE-B6DC-503925EA2C0E}" name="52 week low" dataDxfId="18">
      <calculatedColumnFormula array="1">_FV(Table3[[#This Row],[Currency Pair]],"52 week low",TRUE)</calculatedColumnFormula>
    </tableColumn>
    <tableColumn id="4" xr3:uid="{FE428EB7-16FA-46EC-AD80-7AE1BDD262ED}" name="Price" dataDxfId="17">
      <calculatedColumnFormula array="1">_FV(Table3[[#This Row],[Currency Pair]],"Price")</calculatedColumnFormula>
    </tableColumn>
    <tableColumn id="5" xr3:uid="{4AA80899-7E76-4A61-B2BB-AE538D14C2D9}" name="Instrument type" dataDxfId="16">
      <calculatedColumnFormula array="1">_FV(Table3[[#This Row],[Currency Pair]],"Instrument type",TRUE)</calculatedColumnFormula>
    </tableColumn>
    <tableColumn id="6" xr3:uid="{D23A931B-CA03-4FCE-BFB7-82042466CB7E}" name="Ticker symbol" dataDxfId="15">
      <calculatedColumnFormula array="1">_FV(Table3[[#This Row],[Currency Pair]],"Ticker symbol",TRUE)</calculatedColumnFormula>
    </tableColumn>
    <tableColumn id="7" xr3:uid="{09194E96-0295-4D44-9E7B-9BD0A0C79033}" name="Change (%)" dataDxfId="14">
      <calculatedColumnFormula array="1">_FV(Table3[[#This Row],[Currency Pair]],"Change (%)",TRUE)</calculatedColumnFormula>
    </tableColumn>
    <tableColumn id="8" xr3:uid="{E2718931-7938-4AC1-8026-4168E4696178}" name="Last trade time" dataDxfId="13">
      <calculatedColumnFormula array="1">_FV(Table3[[#This Row],[Currency Pair]],"Last trade time",TRUE)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6592E89-E6DD-463B-B88D-B228F279173B}" name="Table4" displayName="Table4" ref="W1:AG80" totalsRowShown="0" headerRowDxfId="12" dataDxfId="11">
  <autoFilter ref="W1:AG80" xr:uid="{16592E89-E6DD-463B-B88D-B228F279173B}"/>
  <sortState xmlns:xlrd2="http://schemas.microsoft.com/office/spreadsheetml/2017/richdata2" ref="W2:AD80">
    <sortCondition ref="AA2:AA80"/>
  </sortState>
  <tableColumns count="11">
    <tableColumn id="1" xr3:uid="{2DAA95DD-069E-434B-B3AF-C59DA17DA1C3}" name="Company" dataDxfId="10"/>
    <tableColumn id="2" xr3:uid="{136A7177-3E02-451F-9104-44C4951F4BAD}" name="52 week high" dataDxfId="9">
      <calculatedColumnFormula array="1">_FV(Table4[[#This Row],[Company]],"52 week high",TRUE)</calculatedColumnFormula>
    </tableColumn>
    <tableColumn id="3" xr3:uid="{A69582B1-FA16-4F8F-8A6F-1D4D1FEB55D0}" name="Change" dataDxfId="8">
      <calculatedColumnFormula array="1">_FV(Table4[[#This Row],[Company]],"Change")</calculatedColumnFormula>
    </tableColumn>
    <tableColumn id="4" xr3:uid="{EC9FC468-D679-4F3F-BC08-D55F8D88DF10}" name="Headquarters" dataDxfId="7">
      <calculatedColumnFormula array="1">_FV(Table4[[#This Row],[Company]],"Headquarters")</calculatedColumnFormula>
    </tableColumn>
    <tableColumn id="5" xr3:uid="{0621F905-5F92-4D2E-A6E6-091B1ADB8573}" name="Employees" dataDxfId="6">
      <calculatedColumnFormula array="1">_FV(Table4[[#This Row],[Company]],"Employees")</calculatedColumnFormula>
    </tableColumn>
    <tableColumn id="6" xr3:uid="{9F8A8EAC-9709-4E3D-9477-02AA61C40501}" name="Official name" dataDxfId="5">
      <calculatedColumnFormula array="1">_FV(Table4[[#This Row],[Company]],"Official name",TRUE)</calculatedColumnFormula>
    </tableColumn>
    <tableColumn id="7" xr3:uid="{691B97E0-4A2D-4BD0-B10C-A885BC7A103D}" name="Industry" dataDxfId="4">
      <calculatedColumnFormula array="1">_FV(Table4[[#This Row],[Company]],"Industry")</calculatedColumnFormula>
    </tableColumn>
    <tableColumn id="8" xr3:uid="{C8D29AD3-7E69-4C77-84BD-DBD1F675F851}" name="Year incorporated" dataDxfId="3">
      <calculatedColumnFormula array="1">_FV(Table4[[#This Row],[Company]],"Year incorporated",TRUE)</calculatedColumnFormula>
    </tableColumn>
    <tableColumn id="9" xr3:uid="{2F0DF358-1B64-4FAA-8C36-3FB3057C9D38}" name="52 week low" dataDxfId="2">
      <calculatedColumnFormula array="1">_FV(Table4[[#This Row],[Company]],"52 week low",TRUE)</calculatedColumnFormula>
    </tableColumn>
    <tableColumn id="11" xr3:uid="{D2C78045-304C-4523-97CB-5620D0001CBB}" name="Headquarters2" dataDxfId="1">
      <calculatedColumnFormula array="1">_FV(Table4[[#This Row],[Company]],"Headquarters")</calculatedColumnFormula>
    </tableColumn>
    <tableColumn id="12" xr3:uid="{81DFD8CA-54D4-4938-BE60-2B3103A548B6}" name="Low" dataDxfId="0">
      <calculatedColumnFormula array="1">_FV(Table4[[#This Row],[Company]],"Low")</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29"/>
  <sheetViews>
    <sheetView tabSelected="1" topLeftCell="AB1" zoomScale="197" zoomScaleNormal="145" workbookViewId="0">
      <selection activeCell="AE2" sqref="AE2"/>
    </sheetView>
  </sheetViews>
  <sheetFormatPr defaultColWidth="15.109375" defaultRowHeight="17.55" x14ac:dyDescent="0.4"/>
  <cols>
    <col min="1" max="2" width="15.109375" style="1"/>
    <col min="3" max="3" width="20.6640625" style="1" bestFit="1" customWidth="1"/>
    <col min="4" max="7" width="15.109375" style="1"/>
    <col min="8" max="8" width="217.33203125" style="1" bestFit="1" customWidth="1"/>
    <col min="9" max="22" width="15.109375" style="1"/>
    <col min="23" max="23" width="43.5546875" style="1" customWidth="1"/>
    <col min="24" max="25" width="15.109375" style="1"/>
    <col min="26" max="26" width="27.5546875" style="1" customWidth="1"/>
    <col min="27" max="16384" width="15.109375" style="1"/>
  </cols>
  <sheetData>
    <row r="1" spans="1:33" ht="30.05" x14ac:dyDescent="0.4">
      <c r="A1" s="1" t="s">
        <v>0</v>
      </c>
      <c r="B1" s="1" t="s">
        <v>1</v>
      </c>
      <c r="C1" s="1" t="s">
        <v>2</v>
      </c>
      <c r="D1" s="1" t="s">
        <v>3</v>
      </c>
      <c r="E1" s="1" t="s">
        <v>4</v>
      </c>
      <c r="F1" s="1" t="s">
        <v>5</v>
      </c>
      <c r="G1" s="1" t="s">
        <v>6</v>
      </c>
      <c r="H1" s="1" t="s">
        <v>7</v>
      </c>
      <c r="K1" s="2" t="s">
        <v>8</v>
      </c>
      <c r="L1" s="2" t="s">
        <v>9</v>
      </c>
      <c r="M1" s="2" t="s">
        <v>10</v>
      </c>
      <c r="N1" s="2" t="s">
        <v>11</v>
      </c>
      <c r="O1" s="2" t="s">
        <v>12</v>
      </c>
      <c r="P1" s="2" t="s">
        <v>13</v>
      </c>
      <c r="Q1" s="2" t="s">
        <v>14</v>
      </c>
      <c r="R1" s="2" t="s">
        <v>15</v>
      </c>
      <c r="W1" s="2" t="s">
        <v>16</v>
      </c>
      <c r="X1" s="2" t="s">
        <v>9</v>
      </c>
      <c r="Y1" s="2" t="s">
        <v>17</v>
      </c>
      <c r="Z1" s="2" t="s">
        <v>18</v>
      </c>
      <c r="AA1" s="2" t="s">
        <v>19</v>
      </c>
      <c r="AB1" s="2" t="s">
        <v>20</v>
      </c>
      <c r="AC1" s="2" t="s">
        <v>21</v>
      </c>
      <c r="AD1" s="2" t="s">
        <v>22</v>
      </c>
      <c r="AE1" s="2" t="s">
        <v>10</v>
      </c>
      <c r="AF1" s="2" t="s">
        <v>44</v>
      </c>
      <c r="AG1" s="2" t="s">
        <v>45</v>
      </c>
    </row>
    <row r="2" spans="1:33" ht="105.2" x14ac:dyDescent="0.4">
      <c r="A2" s="1" t="e" vm="1">
        <v>#VALUE!</v>
      </c>
      <c r="B2" s="1" cm="1" vm="2">
        <f t="array" aca="1" ref="B2" ca="1">_FV(Table2[[#This Row],[Country]],"Calling code",TRUE)</f>
        <v>91</v>
      </c>
      <c r="C2" s="1" cm="1" vm="3">
        <f t="array" aca="1" ref="C2" ca="1">_FV(Table2[[#This Row],[Country]],"GDP")</f>
        <v>2611000000000.0098</v>
      </c>
      <c r="D2" s="1" t="str" cm="1">
        <f t="array" aca="1" ref="D2" ca="1">_FV(Table2[[#This Row],[Country]],"National anthem",TRUE)</f>
        <v>Jana Gana Mana</v>
      </c>
      <c r="E2" s="1" t="e" cm="1" vm="4">
        <f t="array" aca="1" ref="E2" ca="1">_FV(Table2[[#This Row],[Country]],"Largest city",TRUE)</f>
        <v>#VALUE!</v>
      </c>
      <c r="F2" s="1" t="e" cm="1" vm="5">
        <f t="array" aca="1" ref="F2" ca="1">_FV(Table2[[#This Row],[Country]],"Image")</f>
        <v>#VALUE!</v>
      </c>
      <c r="G2" s="1" t="e" cm="1" vm="6">
        <f t="array" aca="1" ref="G2" ca="1">_FV(Table2[[#This Row],[Country]],"Capital/Major City",TRUE)</f>
        <v>#VALUE!</v>
      </c>
      <c r="H2" s="1" t="str" cm="1">
        <f t="array" aca="1" ref="H2" ca="1">_xlfn.ARRAYTOTEXT(_FV(Table2[[#This Row],[Country]],"Leader(s)",TRUE))</f>
        <v>Droupadi Murmu (President), Jagdeep Dhankhar (Vice president), Narendra Modi (Prime minister)</v>
      </c>
      <c r="K2" s="3" t="e" vm="7">
        <v>#VALUE!</v>
      </c>
      <c r="L2" s="5" cm="1">
        <f t="array" aca="1" ref="L2" ca="1">_FV(Table3[[#This Row],[Currency Pair]],"52 week high",TRUE)</f>
        <v>88.891999999999996</v>
      </c>
      <c r="M2" s="5" cm="1">
        <f t="array" aca="1" ref="M2" ca="1">_FV(Table3[[#This Row],[Currency Pair]],"52 week low",TRUE)</f>
        <v>83.76</v>
      </c>
      <c r="N2" s="5" cm="1">
        <f t="array" aca="1" ref="N2" ca="1">_FV(Table3[[#This Row],[Currency Pair]],"Price")</f>
        <v>88.02</v>
      </c>
      <c r="O2" s="5" t="str" cm="1">
        <f t="array" aca="1" ref="O2" ca="1">_FV(Table3[[#This Row],[Currency Pair]],"Instrument type",TRUE)</f>
        <v>Currency Pair</v>
      </c>
      <c r="P2" s="5" t="str" cm="1">
        <f t="array" aca="1" ref="P2" ca="1">_FV(Table3[[#This Row],[Currency Pair]],"Ticker symbol",TRUE)</f>
        <v>USDINR</v>
      </c>
      <c r="Q2" s="5" cm="1">
        <f t="array" aca="1" ref="Q2" ca="1">_FV(Table3[[#This Row],[Currency Pair]],"Change (%)",TRUE)</f>
        <v>2.323E-3</v>
      </c>
      <c r="R2" s="5" cm="1">
        <f t="array" aca="1" ref="R2" ca="1">_FV(Table3[[#This Row],[Currency Pair]],"Last trade time",TRUE)</f>
        <v>45957.217418981483</v>
      </c>
      <c r="W2" s="3" t="e" vm="8">
        <v>#VALUE!</v>
      </c>
      <c r="X2" s="6" cm="1">
        <f t="array" aca="1" ref="X2" ca="1">_FV(Table4[[#This Row],[Company]],"52 week high",TRUE)</f>
        <v>7.69</v>
      </c>
      <c r="Y2" s="6" cm="1">
        <f t="array" aca="1" ref="Y2" ca="1">_FV(Table4[[#This Row],[Company]],"Change")</f>
        <v>-0.65500000000000003</v>
      </c>
      <c r="Z2" s="4" t="str" cm="1">
        <f t="array" aca="1" ref="Z2" ca="1">_FV(Table4[[#This Row],[Company]],"Headquarters")</f>
        <v>888 N. DOUGLAS STREET, SUITE 100, EL SEGUNDO, CA, 90245 US</v>
      </c>
      <c r="AA2" s="60" cm="1">
        <f t="array" aca="1" ref="AA2" ca="1">_FV(Table4[[#This Row],[Company]],"Employees")</f>
        <v>754</v>
      </c>
      <c r="AB2" s="4" t="str" cm="1">
        <f t="array" aca="1" ref="AB2" ca="1">_FV(Table4[[#This Row],[Company]],"Official name",TRUE)</f>
        <v>BEYOND MEAT, INC.</v>
      </c>
      <c r="AC2" s="4" t="str" cm="1">
        <f t="array" aca="1" ref="AC2" ca="1">_FV(Table4[[#This Row],[Company]],"Industry")</f>
        <v>Food &amp; Tobacco</v>
      </c>
      <c r="AD2" s="61" cm="1">
        <f t="array" aca="1" ref="AD2" ca="1">_FV(Table4[[#This Row],[Company]],"Year incorporated",TRUE)</f>
        <v>2008</v>
      </c>
      <c r="AE2" s="6" cm="1">
        <f t="array" aca="1" ref="AE2" ca="1">_FV(Table4[[#This Row],[Company]],"52 week low",TRUE)</f>
        <v>0.50009999999999999</v>
      </c>
      <c r="AF2" s="4" t="str" cm="1">
        <f t="array" aca="1" ref="AF2" ca="1">_FV(Table4[[#This Row],[Company]],"Headquarters")</f>
        <v>888 N. DOUGLAS STREET, SUITE 100, EL SEGUNDO, CA, 90245 US</v>
      </c>
      <c r="AG2" s="6" cm="1">
        <f t="array" aca="1" ref="AG2" ca="1">_FV(Table4[[#This Row],[Company]],"Low")</f>
        <v>2.08</v>
      </c>
    </row>
    <row r="3" spans="1:33" ht="70.150000000000006" x14ac:dyDescent="0.4">
      <c r="A3" s="1" t="e" vm="9">
        <v>#VALUE!</v>
      </c>
      <c r="B3" s="1" cm="1" vm="10">
        <f t="array" aca="1" ref="B3" ca="1">_FV(Table2[[#This Row],[Country]],"Calling code",TRUE)</f>
        <v>62</v>
      </c>
      <c r="C3" s="1" cm="1" vm="11">
        <f t="array" aca="1" ref="C3" ca="1">_FV(Table2[[#This Row],[Country]],"GDP")</f>
        <v>1119190780752.8</v>
      </c>
      <c r="D3" s="1" t="str" cm="1">
        <f t="array" aca="1" ref="D3" ca="1">_FV(Table2[[#This Row],[Country]],"National anthem",TRUE)</f>
        <v>Indonesia Raya</v>
      </c>
      <c r="E3" s="1" t="e" cm="1" vm="12">
        <f t="array" aca="1" ref="E3" ca="1">_FV(Table2[[#This Row],[Country]],"Largest city",TRUE)</f>
        <v>#VALUE!</v>
      </c>
      <c r="F3" s="1" t="e" cm="1" vm="13">
        <f t="array" aca="1" ref="F3" ca="1">_FV(Table2[[#This Row],[Country]],"Image")</f>
        <v>#VALUE!</v>
      </c>
      <c r="G3" s="1" t="e" cm="1" vm="12">
        <f t="array" aca="1" ref="G3" ca="1">_FV(Table2[[#This Row],[Country]],"Capital/Major City",TRUE)</f>
        <v>#VALUE!</v>
      </c>
      <c r="H3" s="1" t="str" cm="1">
        <f t="array" aca="1" ref="H3" ca="1">_xlfn.ARRAYTOTEXT(_FV(Table2[[#This Row],[Country]],"Leader(s)",TRUE))</f>
        <v>Joko Widodo (President), Ma'ruf Amin (Vice president), Puan Maharani (Speaker), Muhammad Syarifuddin (Chief justice)</v>
      </c>
      <c r="K3" s="3" t="e" vm="14">
        <v>#VALUE!</v>
      </c>
      <c r="L3" s="6" cm="1">
        <f t="array" aca="1" ref="L3" ca="1">_FV(Table3[[#This Row],[Currency Pair]],"52 week high",TRUE)</f>
        <v>1.1939999999999999E-2</v>
      </c>
      <c r="M3" s="6" cm="1">
        <f t="array" aca="1" ref="M3" ca="1">_FV(Table3[[#This Row],[Currency Pair]],"52 week low",TRUE)</f>
        <v>1.124E-2</v>
      </c>
      <c r="N3" s="6" cm="1">
        <f t="array" aca="1" ref="N3" ca="1">_FV(Table3[[#This Row],[Currency Pair]],"Price")</f>
        <v>1.136E-2</v>
      </c>
      <c r="O3" s="5" t="str" cm="1">
        <f t="array" aca="1" ref="O3" ca="1">_FV(Table3[[#This Row],[Currency Pair]],"Instrument type",TRUE)</f>
        <v>Currency Pair</v>
      </c>
      <c r="P3" s="5" t="str" cm="1">
        <f t="array" aca="1" ref="P3" ca="1">_FV(Table3[[#This Row],[Currency Pair]],"Ticker symbol",TRUE)</f>
        <v>INRUSD</v>
      </c>
      <c r="Q3" s="5" cm="1">
        <f t="array" aca="1" ref="Q3" ca="1">_FV(Table3[[#This Row],[Currency Pair]],"Change (%)",TRUE)</f>
        <v>-1.933E-3</v>
      </c>
      <c r="R3" s="5" cm="1">
        <f t="array" aca="1" ref="R3" ca="1">_FV(Table3[[#This Row],[Currency Pair]],"Last trade time",TRUE)</f>
        <v>45957.217615740738</v>
      </c>
      <c r="W3" s="3" t="e" vm="15">
        <v>#VALUE!</v>
      </c>
      <c r="X3" s="6" cm="1">
        <f t="array" aca="1" ref="X3" ca="1">_FV(Table4[[#This Row],[Company]],"52 week high",TRUE)</f>
        <v>153.85990000000001</v>
      </c>
      <c r="Y3" s="6" cm="1">
        <f t="array" aca="1" ref="Y3" ca="1">_FV(Table4[[#This Row],[Company]],"Change")</f>
        <v>5.46</v>
      </c>
      <c r="Z3" s="4" t="str" cm="1">
        <f t="array" aca="1" ref="Z3" ca="1">_FV(Table4[[#This Row],[Company]],"Headquarters")</f>
        <v>85 Willow Road, MENLO PARK, CA, 94025 US</v>
      </c>
      <c r="AA3" s="60" cm="1">
        <f t="array" aca="1" ref="AA3" ca="1">_FV(Table4[[#This Row],[Company]],"Employees")</f>
        <v>2300</v>
      </c>
      <c r="AB3" s="4" t="str" cm="1">
        <f t="array" aca="1" ref="AB3" ca="1">_FV(Table4[[#This Row],[Company]],"Official name",TRUE)</f>
        <v>ROBINHOOD MARKETS, INC.</v>
      </c>
      <c r="AC3" s="4" t="str" cm="1">
        <f t="array" aca="1" ref="AC3" ca="1">_FV(Table4[[#This Row],[Company]],"Industry")</f>
        <v>Financial Technology (Fintech) &amp; Infrastructure</v>
      </c>
      <c r="AD3" s="61" cm="1">
        <f t="array" aca="1" ref="AD3" ca="1">_FV(Table4[[#This Row],[Company]],"Year incorporated",TRUE)</f>
        <v>2013</v>
      </c>
      <c r="AE3" s="6" cm="1">
        <f t="array" aca="1" ref="AE3" ca="1">_FV(Table4[[#This Row],[Company]],"52 week low",TRUE)</f>
        <v>23</v>
      </c>
      <c r="AF3" s="4" t="str" cm="1">
        <f t="array" aca="1" ref="AF3" ca="1">_FV(Table4[[#This Row],[Company]],"Headquarters")</f>
        <v>85 Willow Road, MENLO PARK, CA, 94025 US</v>
      </c>
      <c r="AG3" s="6" cm="1">
        <f t="array" aca="1" ref="AG3" ca="1">_FV(Table4[[#This Row],[Company]],"Low")</f>
        <v>137.1</v>
      </c>
    </row>
    <row r="4" spans="1:33" ht="105.2" x14ac:dyDescent="0.4">
      <c r="A4" s="1" t="e" vm="16">
        <v>#VALUE!</v>
      </c>
      <c r="B4" s="1" cm="1" vm="17">
        <f t="array" aca="1" ref="B4" ca="1">_FV(Table2[[#This Row],[Country]],"Calling code",TRUE)</f>
        <v>98</v>
      </c>
      <c r="C4" s="1" cm="1" vm="18">
        <f t="array" aca="1" ref="C4" ca="1">_FV(Table2[[#This Row],[Country]],"GDP")</f>
        <v>445345282122.68201</v>
      </c>
      <c r="D4" s="1" t="str" cm="1">
        <f t="array" aca="1" ref="D4" ca="1">_FV(Table2[[#This Row],[Country]],"National anthem",TRUE)</f>
        <v>National Anthem of the Islamic Republic of Iran</v>
      </c>
      <c r="E4" s="1" t="e" cm="1" vm="19">
        <f t="array" aca="1" ref="E4" ca="1">_FV(Table2[[#This Row],[Country]],"Largest city",TRUE)</f>
        <v>#VALUE!</v>
      </c>
      <c r="F4" s="1" t="e" cm="1" vm="20">
        <f t="array" aca="1" ref="F4" ca="1">_FV(Table2[[#This Row],[Country]],"Image")</f>
        <v>#VALUE!</v>
      </c>
      <c r="G4" s="1" t="e" cm="1" vm="19">
        <f t="array" aca="1" ref="G4" ca="1">_FV(Table2[[#This Row],[Country]],"Capital/Major City",TRUE)</f>
        <v>#VALUE!</v>
      </c>
      <c r="H4" s="1" t="str" cm="1">
        <f t="array" aca="1" ref="H4" ca="1">_xlfn.ARRAYTOTEXT(_FV(Table2[[#This Row],[Country]],"Leader(s)",TRUE))</f>
        <v>Ebrahim Raisi (President), Mohammad Mokhber (Vice president), Gholam-Hossein Mohseni-Eje'i (Chief justice)</v>
      </c>
      <c r="K4" s="3" t="e" vm="21">
        <v>#VALUE!</v>
      </c>
      <c r="L4" s="6" cm="1">
        <f t="array" aca="1" ref="L4" ca="1">_FV(Table3[[#This Row],[Currency Pair]],"52 week high",TRUE)</f>
        <v>1.1918</v>
      </c>
      <c r="M4" s="6" cm="1">
        <f t="array" aca="1" ref="M4" ca="1">_FV(Table3[[#This Row],[Currency Pair]],"52 week low",TRUE)</f>
        <v>1.0176000000000001</v>
      </c>
      <c r="N4" s="6" cm="1">
        <f t="array" aca="1" ref="N4" ca="1">_FV(Table3[[#This Row],[Currency Pair]],"Price")</f>
        <v>1.1620999999999999</v>
      </c>
      <c r="O4" s="5" t="str" cm="1">
        <f t="array" aca="1" ref="O4" ca="1">_FV(Table3[[#This Row],[Currency Pair]],"Instrument type",TRUE)</f>
        <v>Currency Pair</v>
      </c>
      <c r="P4" s="5" t="str" cm="1">
        <f t="array" aca="1" ref="P4" ca="1">_FV(Table3[[#This Row],[Currency Pair]],"Ticker symbol",TRUE)</f>
        <v>EURUSD</v>
      </c>
      <c r="Q4" s="5" cm="1">
        <f t="array" aca="1" ref="Q4" ca="1">_FV(Table3[[#This Row],[Currency Pair]],"Change (%)",TRUE)</f>
        <v>-3.4410000000000002E-4</v>
      </c>
      <c r="R4" s="5" cm="1">
        <f t="array" aca="1" ref="R4" ca="1">_FV(Table3[[#This Row],[Currency Pair]],"Last trade time",TRUE)</f>
        <v>45957.217592592591</v>
      </c>
      <c r="W4" s="3" t="e" vm="22">
        <v>#VALUE!</v>
      </c>
      <c r="X4" s="6" cm="1">
        <f t="array" aca="1" ref="X4" ca="1">_FV(Table4[[#This Row],[Company]],"52 week high",TRUE)</f>
        <v>10.895</v>
      </c>
      <c r="Y4" s="6" cm="1">
        <f t="array" aca="1" ref="Y4" ca="1">_FV(Table4[[#This Row],[Company]],"Change")</f>
        <v>0.32</v>
      </c>
      <c r="Z4" s="4" t="str" cm="1">
        <f t="array" aca="1" ref="Z4" ca="1">_FV(Table4[[#This Row],[Company]],"Headquarters")</f>
        <v>C/O Peloton Interactive, Inc., 441 Ninth Ave., Sixth Floor, NEW YORK, NY, 10001 US</v>
      </c>
      <c r="AA4" s="60" cm="1">
        <f t="array" aca="1" ref="AA4" ca="1">_FV(Table4[[#This Row],[Company]],"Employees")</f>
        <v>2605</v>
      </c>
      <c r="AB4" s="4" t="str" cm="1">
        <f t="array" aca="1" ref="AB4" ca="1">_FV(Table4[[#This Row],[Company]],"Official name",TRUE)</f>
        <v>PELOTON INTERACTIVE, INC.</v>
      </c>
      <c r="AC4" s="4" t="str" cm="1">
        <f t="array" aca="1" ref="AC4" ca="1">_FV(Table4[[#This Row],[Company]],"Industry")</f>
        <v>Leisure Products</v>
      </c>
      <c r="AD4" s="61" cm="1">
        <f t="array" aca="1" ref="AD4" ca="1">_FV(Table4[[#This Row],[Company]],"Year incorporated",TRUE)</f>
        <v>2015</v>
      </c>
      <c r="AE4" s="6" cm="1">
        <f t="array" aca="1" ref="AE4" ca="1">_FV(Table4[[#This Row],[Company]],"52 week low",TRUE)</f>
        <v>4.63</v>
      </c>
      <c r="AF4" s="4" t="str" cm="1">
        <f t="array" aca="1" ref="AF4" ca="1">_FV(Table4[[#This Row],[Company]],"Headquarters")</f>
        <v>C/O Peloton Interactive, Inc., 441 Ninth Ave., Sixth Floor, NEW YORK, NY, 10001 US</v>
      </c>
      <c r="AG4" s="6" cm="1">
        <f t="array" aca="1" ref="AG4" ca="1">_FV(Table4[[#This Row],[Company]],"Low")</f>
        <v>7.52</v>
      </c>
    </row>
    <row r="5" spans="1:33" ht="87.65" x14ac:dyDescent="0.4">
      <c r="A5" s="1" t="e" vm="23">
        <v>#VALUE!</v>
      </c>
      <c r="B5" s="1" cm="1" vm="24">
        <f t="array" aca="1" ref="B5" ca="1">_FV(Table2[[#This Row],[Country]],"Calling code",TRUE)</f>
        <v>964</v>
      </c>
      <c r="C5" s="1" cm="1" vm="25">
        <f t="array" aca="1" ref="C5" ca="1">_FV(Table2[[#This Row],[Country]],"GDP")</f>
        <v>234094042938.91699</v>
      </c>
      <c r="D5" s="1" t="str" cm="1">
        <f t="array" aca="1" ref="D5" ca="1">_FV(Table2[[#This Row],[Country]],"National anthem",TRUE)</f>
        <v>Mawtini</v>
      </c>
      <c r="E5" s="1" t="e" cm="1" vm="26">
        <f t="array" aca="1" ref="E5" ca="1">_FV(Table2[[#This Row],[Country]],"Largest city",TRUE)</f>
        <v>#VALUE!</v>
      </c>
      <c r="F5" s="1" t="e" cm="1" vm="27">
        <f t="array" aca="1" ref="F5" ca="1">_FV(Table2[[#This Row],[Country]],"Image")</f>
        <v>#VALUE!</v>
      </c>
      <c r="G5" s="1" t="e" cm="1" vm="26">
        <f t="array" aca="1" ref="G5" ca="1">_FV(Table2[[#This Row],[Country]],"Capital/Major City",TRUE)</f>
        <v>#VALUE!</v>
      </c>
      <c r="H5" s="1" t="str" cm="1">
        <f t="array" aca="1" ref="H5" ca="1">_xlfn.ARRAYTOTEXT(_FV(Table2[[#This Row],[Country]],"Leader(s)",TRUE))</f>
        <v>Abdul Latif Rashid (President), Mohammed Shia' Al Sudani (Prime minister), Mohamed al-Halbousi (Speaker), Faiq Zidan (Chief justice)</v>
      </c>
      <c r="K5" s="3" t="e" vm="28">
        <v>#VALUE!</v>
      </c>
      <c r="L5" s="7" cm="1">
        <f t="array" aca="1" ref="L5" ca="1">_FV(Table3[[#This Row],[Currency Pair]],"52 week high",TRUE)</f>
        <v>0.98240000000000005</v>
      </c>
      <c r="M5" s="7" cm="1">
        <f t="array" aca="1" ref="M5" ca="1">_FV(Table3[[#This Row],[Currency Pair]],"52 week low",TRUE)</f>
        <v>0.83889999999999998</v>
      </c>
      <c r="N5" s="7" cm="1">
        <f t="array" aca="1" ref="N5" ca="1">_FV(Table3[[#This Row],[Currency Pair]],"Price")</f>
        <v>0.86019999999999996</v>
      </c>
      <c r="O5" s="5" t="str" cm="1">
        <f t="array" aca="1" ref="O5" ca="1">_FV(Table3[[#This Row],[Currency Pair]],"Instrument type",TRUE)</f>
        <v>Currency Pair</v>
      </c>
      <c r="P5" s="5" t="str" cm="1">
        <f t="array" aca="1" ref="P5" ca="1">_FV(Table3[[#This Row],[Currency Pair]],"Ticker symbol",TRUE)</f>
        <v>USDEUR</v>
      </c>
      <c r="Q5" s="5" cm="1">
        <f t="array" aca="1" ref="Q5" ca="1">_FV(Table3[[#This Row],[Currency Pair]],"Change (%)",TRUE)</f>
        <v>1.1629999999999999E-4</v>
      </c>
      <c r="R5" s="5" cm="1">
        <f t="array" aca="1" ref="R5" ca="1">_FV(Table3[[#This Row],[Currency Pair]],"Last trade time",TRUE)</f>
        <v>45957.217592592591</v>
      </c>
      <c r="W5" s="3" t="e" vm="29">
        <v>#VALUE!</v>
      </c>
      <c r="X5" s="6" cm="1">
        <f t="array" aca="1" ref="X5" ca="1">_FV(Table4[[#This Row],[Company]],"52 week high",TRUE)</f>
        <v>23.5</v>
      </c>
      <c r="Y5" s="6" cm="1">
        <f t="array" aca="1" ref="Y5" ca="1">_FV(Table4[[#This Row],[Company]],"Change")</f>
        <v>-0.1</v>
      </c>
      <c r="Z5" s="4" t="str" cm="1">
        <f t="array" aca="1" ref="Z5" ca="1">_FV(Table4[[#This Row],[Company]],"Headquarters")</f>
        <v>185 Berry Street, Suite 400, SAN FRANCISCO, CA, 94107 US</v>
      </c>
      <c r="AA5" s="60" cm="1">
        <f t="array" aca="1" ref="AA5" ca="1">_FV(Table4[[#This Row],[Company]],"Employees")</f>
        <v>2934</v>
      </c>
      <c r="AB5" s="4" t="str" cm="1">
        <f t="array" aca="1" ref="AB5" ca="1">_FV(Table4[[#This Row],[Company]],"Official name",TRUE)</f>
        <v>LYFT, INC.</v>
      </c>
      <c r="AC5" s="4" t="str" cm="1">
        <f t="array" aca="1" ref="AC5" ca="1">_FV(Table4[[#This Row],[Company]],"Industry")</f>
        <v>Software &amp; IT Services</v>
      </c>
      <c r="AD5" s="61" cm="1">
        <f t="array" aca="1" ref="AD5" ca="1">_FV(Table4[[#This Row],[Company]],"Year incorporated",TRUE)</f>
        <v>2007</v>
      </c>
      <c r="AE5" s="6" cm="1">
        <f t="array" aca="1" ref="AE5" ca="1">_FV(Table4[[#This Row],[Company]],"52 week low",TRUE)</f>
        <v>9.66</v>
      </c>
      <c r="AF5" s="4" t="str" cm="1">
        <f t="array" aca="1" ref="AF5" ca="1">_FV(Table4[[#This Row],[Company]],"Headquarters")</f>
        <v>185 Berry Street, Suite 400, SAN FRANCISCO, CA, 94107 US</v>
      </c>
      <c r="AG5" s="6" cm="1">
        <f t="array" aca="1" ref="AG5" ca="1">_FV(Table4[[#This Row],[Company]],"Low")</f>
        <v>20.375</v>
      </c>
    </row>
    <row r="6" spans="1:33" ht="70.150000000000006" x14ac:dyDescent="0.4">
      <c r="A6" s="1" t="e" vm="30">
        <v>#VALUE!</v>
      </c>
      <c r="B6" s="1" cm="1" vm="31">
        <f t="array" aca="1" ref="B6" ca="1">_FV(Table2[[#This Row],[Country]],"Calling code",TRUE)</f>
        <v>353</v>
      </c>
      <c r="C6" s="1" cm="1" vm="32">
        <f t="array" aca="1" ref="C6" ca="1">_FV(Table2[[#This Row],[Country]],"GDP")</f>
        <v>388698711348.15601</v>
      </c>
      <c r="D6" s="1" t="str" cm="1">
        <f t="array" aca="1" ref="D6" ca="1">_FV(Table2[[#This Row],[Country]],"National anthem",TRUE)</f>
        <v>Amhrán na bhFiann</v>
      </c>
      <c r="E6" s="1" t="e" cm="1" vm="33">
        <f t="array" aca="1" ref="E6" ca="1">_FV(Table2[[#This Row],[Country]],"Largest city",TRUE)</f>
        <v>#VALUE!</v>
      </c>
      <c r="F6" s="1" t="e" cm="1" vm="34">
        <f t="array" aca="1" ref="F6" ca="1">_FV(Table2[[#This Row],[Country]],"Image")</f>
        <v>#VALUE!</v>
      </c>
      <c r="G6" s="1" t="e" cm="1" vm="33">
        <f t="array" aca="1" ref="G6" ca="1">_FV(Table2[[#This Row],[Country]],"Capital/Major City",TRUE)</f>
        <v>#VALUE!</v>
      </c>
      <c r="H6" s="1" t="str" cm="1">
        <f t="array" aca="1" ref="H6" ca="1">_xlfn.ARRAYTOTEXT(_FV(Table2[[#This Row],[Country]],"Leader(s)",TRUE))</f>
        <v>Michael D. Higgins (President), Donal O'Donnell (Chief justice)</v>
      </c>
      <c r="K6" s="3" t="e" vm="35">
        <v>#VALUE!</v>
      </c>
      <c r="L6" s="6" cm="1">
        <f t="array" aca="1" ref="L6" ca="1">_FV(Table3[[#This Row],[Currency Pair]],"52 week high",TRUE)</f>
        <v>1.3788</v>
      </c>
      <c r="M6" s="6" cm="1">
        <f t="array" aca="1" ref="M6" ca="1">_FV(Table3[[#This Row],[Currency Pair]],"52 week low",TRUE)</f>
        <v>1.2097</v>
      </c>
      <c r="N6" s="6" cm="1">
        <f t="array" aca="1" ref="N6" ca="1">_FV(Table3[[#This Row],[Currency Pair]],"Price")</f>
        <v>1.3310999999999999</v>
      </c>
      <c r="O6" s="5" t="str" cm="1">
        <f t="array" aca="1" ref="O6" ca="1">_FV(Table3[[#This Row],[Currency Pair]],"Instrument type",TRUE)</f>
        <v>Currency Pair</v>
      </c>
      <c r="P6" s="5" t="str" cm="1">
        <f t="array" aca="1" ref="P6" ca="1">_FV(Table3[[#This Row],[Currency Pair]],"Ticker symbol",TRUE)</f>
        <v>GBPUSD</v>
      </c>
      <c r="Q6" s="5" cm="1">
        <f t="array" aca="1" ref="Q6" ca="1">_FV(Table3[[#This Row],[Currency Pair]],"Change (%)",TRUE)</f>
        <v>1.5029999999999999E-4</v>
      </c>
      <c r="R6" s="5" cm="1">
        <f t="array" aca="1" ref="R6" ca="1">_FV(Table3[[#This Row],[Currency Pair]],"Last trade time",TRUE)</f>
        <v>45957.217604166668</v>
      </c>
      <c r="W6" s="3" t="e" vm="36">
        <v>#VALUE!</v>
      </c>
      <c r="X6" s="6" cm="1">
        <f t="array" aca="1" ref="X6" ca="1">_FV(Table4[[#This Row],[Company]],"52 week high",TRUE)</f>
        <v>107.25</v>
      </c>
      <c r="Y6" s="6" cm="1">
        <f t="array" aca="1" ref="Y6" ca="1">_FV(Table4[[#This Row],[Company]],"Change")</f>
        <v>-1.99</v>
      </c>
      <c r="Z6" s="4" t="str" cm="1">
        <f t="array" aca="1" ref="Z6" ca="1">_FV(Table4[[#This Row],[Company]],"Headquarters")</f>
        <v>1173 Coleman Avenue, SAN JOSE, CA, 95110 US</v>
      </c>
      <c r="AA6" s="60" cm="1">
        <f t="array" aca="1" ref="AA6" ca="1">_FV(Table4[[#This Row],[Company]],"Employees")</f>
        <v>3340</v>
      </c>
      <c r="AB6" s="4" t="str" cm="1">
        <f t="array" aca="1" ref="AB6" ca="1">_FV(Table4[[#This Row],[Company]],"Official name",TRUE)</f>
        <v>ROKU, INC.</v>
      </c>
      <c r="AC6" s="4" t="str" cm="1">
        <f t="array" aca="1" ref="AC6" ca="1">_FV(Table4[[#This Row],[Company]],"Industry")</f>
        <v>Media &amp; Publishing</v>
      </c>
      <c r="AD6" s="61" cm="1">
        <f t="array" aca="1" ref="AD6" ca="1">_FV(Table4[[#This Row],[Company]],"Year incorporated",TRUE)</f>
        <v>2002</v>
      </c>
      <c r="AE6" s="6" cm="1">
        <f t="array" aca="1" ref="AE6" ca="1">_FV(Table4[[#This Row],[Company]],"52 week low",TRUE)</f>
        <v>52.43</v>
      </c>
      <c r="AF6" s="4" t="str" cm="1">
        <f t="array" aca="1" ref="AF6" ca="1">_FV(Table4[[#This Row],[Company]],"Headquarters")</f>
        <v>1173 Coleman Avenue, SAN JOSE, CA, 95110 US</v>
      </c>
      <c r="AG6" s="6" cm="1">
        <f t="array" aca="1" ref="AG6" ca="1">_FV(Table4[[#This Row],[Company]],"Low")</f>
        <v>96.1</v>
      </c>
    </row>
    <row r="7" spans="1:33" ht="70.150000000000006" x14ac:dyDescent="0.4">
      <c r="A7" s="1" t="e" vm="37">
        <v>#VALUE!</v>
      </c>
      <c r="B7" s="1" cm="1" vm="38">
        <f t="array" aca="1" ref="B7" ca="1">_FV(Table2[[#This Row],[Country]],"Calling code",TRUE)</f>
        <v>972</v>
      </c>
      <c r="C7" s="1" cm="1" vm="39">
        <f t="array" aca="1" ref="C7" ca="1">_FV(Table2[[#This Row],[Country]],"GDP")</f>
        <v>395098666121.61603</v>
      </c>
      <c r="D7" s="1" t="str" cm="1">
        <f t="array" aca="1" ref="D7" ca="1">_FV(Table2[[#This Row],[Country]],"National anthem",TRUE)</f>
        <v>Hatikvah</v>
      </c>
      <c r="E7" s="1" t="e" cm="1" vm="40">
        <f t="array" aca="1" ref="E7" ca="1">_FV(Table2[[#This Row],[Country]],"Largest city",TRUE)</f>
        <v>#VALUE!</v>
      </c>
      <c r="F7" s="1" t="e" cm="1" vm="41">
        <f t="array" aca="1" ref="F7" ca="1">_FV(Table2[[#This Row],[Country]],"Image")</f>
        <v>#VALUE!</v>
      </c>
      <c r="G7" s="1" t="e" cm="1" vm="40">
        <f t="array" aca="1" ref="G7" ca="1">_FV(Table2[[#This Row],[Country]],"Capital/Major City",TRUE)</f>
        <v>#VALUE!</v>
      </c>
      <c r="H7" s="1" t="str" cm="1">
        <f t="array" aca="1" ref="H7" ca="1">_xlfn.ARRAYTOTEXT(_FV(Table2[[#This Row],[Country]],"Leader(s)",TRUE))</f>
        <v>Isaac Herzog (President), Benjamin Netanyahu (Prime minister), Uzi Vogelman (Chief justice)</v>
      </c>
      <c r="K7" s="3" t="e" vm="42">
        <v>#VALUE!</v>
      </c>
      <c r="L7" s="8" cm="1">
        <f t="array" aca="1" ref="L7" ca="1">_FV(Table3[[#This Row],[Currency Pair]],"52 week high",TRUE)</f>
        <v>0.82650000000000001</v>
      </c>
      <c r="M7" s="8" cm="1">
        <f t="array" aca="1" ref="M7" ca="1">_FV(Table3[[#This Row],[Currency Pair]],"52 week low",TRUE)</f>
        <v>0.72509999999999997</v>
      </c>
      <c r="N7" s="8" cm="1">
        <f t="array" aca="1" ref="N7" ca="1">_FV(Table3[[#This Row],[Currency Pair]],"Price")</f>
        <v>0.75080000000000002</v>
      </c>
      <c r="O7" s="5" t="str" cm="1">
        <f t="array" aca="1" ref="O7" ca="1">_FV(Table3[[#This Row],[Currency Pair]],"Instrument type",TRUE)</f>
        <v>Currency Pair</v>
      </c>
      <c r="P7" s="5" t="str" cm="1">
        <f t="array" aca="1" ref="P7" ca="1">_FV(Table3[[#This Row],[Currency Pair]],"Ticker symbol",TRUE)</f>
        <v>USDGBP</v>
      </c>
      <c r="Q7" s="5" cm="1">
        <f t="array" aca="1" ref="Q7" ca="1">_FV(Table3[[#This Row],[Currency Pair]],"Change (%)",TRUE)</f>
        <v>-1.505E-4</v>
      </c>
      <c r="R7" s="5" cm="1">
        <f t="array" aca="1" ref="R7" ca="1">_FV(Table3[[#This Row],[Currency Pair]],"Last trade time",TRUE)</f>
        <v>45957.217604166668</v>
      </c>
      <c r="W7" s="3" t="e" vm="43">
        <v>#VALUE!</v>
      </c>
      <c r="X7" s="6" cm="1">
        <f t="array" aca="1" ref="X7" ca="1">_FV(Table4[[#This Row],[Company]],"52 week high",TRUE)</f>
        <v>190</v>
      </c>
      <c r="Y7" s="6" cm="1">
        <f t="array" aca="1" ref="Y7" ca="1">_FV(Table4[[#This Row],[Company]],"Change")</f>
        <v>4.1500000000000004</v>
      </c>
      <c r="Z7" s="4" t="str" cm="1">
        <f t="array" aca="1" ref="Z7" ca="1">_FV(Table4[[#This Row],[Company]],"Headquarters")</f>
        <v>1200 17Th Street, Floor 15, DENVER, CO, 80202 US</v>
      </c>
      <c r="AA7" s="60" cm="1">
        <f t="array" aca="1" ref="AA7" ca="1">_FV(Table4[[#This Row],[Company]],"Employees")</f>
        <v>4164</v>
      </c>
      <c r="AB7" s="4" t="str" cm="1">
        <f t="array" aca="1" ref="AB7" ca="1">_FV(Table4[[#This Row],[Company]],"Official name",TRUE)</f>
        <v>PALANTIR TECHNOLOGIES INC.</v>
      </c>
      <c r="AC7" s="4" t="str" cm="1">
        <f t="array" aca="1" ref="AC7" ca="1">_FV(Table4[[#This Row],[Company]],"Industry")</f>
        <v>Software &amp; IT Services</v>
      </c>
      <c r="AD7" s="61" cm="1">
        <f t="array" aca="1" ref="AD7" ca="1">_FV(Table4[[#This Row],[Company]],"Year incorporated",TRUE)</f>
        <v>2003</v>
      </c>
      <c r="AE7" s="6" cm="1">
        <f t="array" aca="1" ref="AE7" ca="1">_FV(Table4[[#This Row],[Company]],"52 week low",TRUE)</f>
        <v>40.9</v>
      </c>
      <c r="AF7" s="4" t="str" cm="1">
        <f t="array" aca="1" ref="AF7" ca="1">_FV(Table4[[#This Row],[Company]],"Headquarters")</f>
        <v>1200 17Th Street, Floor 15, DENVER, CO, 80202 US</v>
      </c>
      <c r="AG7" s="6" cm="1">
        <f t="array" aca="1" ref="AG7" ca="1">_FV(Table4[[#This Row],[Company]],"Low")</f>
        <v>182.85</v>
      </c>
    </row>
    <row r="8" spans="1:33" ht="70.150000000000006" x14ac:dyDescent="0.4">
      <c r="A8" s="1" t="e" vm="44">
        <v>#VALUE!</v>
      </c>
      <c r="B8" s="1" cm="1" vm="45">
        <f t="array" aca="1" ref="B8" ca="1">_FV(Table2[[#This Row],[Country]],"Calling code",TRUE)</f>
        <v>39</v>
      </c>
      <c r="C8" s="1" cm="1" vm="46">
        <f t="array" aca="1" ref="C8" ca="1">_FV(Table2[[#This Row],[Country]],"GDP")</f>
        <v>2001244392041.5701</v>
      </c>
      <c r="D8" s="1" t="str" cm="1">
        <f t="array" aca="1" ref="D8" ca="1">_FV(Table2[[#This Row],[Country]],"National anthem",TRUE)</f>
        <v>Il Canto degli Italiani</v>
      </c>
      <c r="E8" s="1" t="e" cm="1" vm="47">
        <f t="array" aca="1" ref="E8" ca="1">_FV(Table2[[#This Row],[Country]],"Largest city",TRUE)</f>
        <v>#VALUE!</v>
      </c>
      <c r="F8" s="1" t="e" cm="1" vm="48">
        <f t="array" aca="1" ref="F8" ca="1">_FV(Table2[[#This Row],[Country]],"Image")</f>
        <v>#VALUE!</v>
      </c>
      <c r="G8" s="1" t="e" cm="1" vm="47">
        <f t="array" aca="1" ref="G8" ca="1">_FV(Table2[[#This Row],[Country]],"Capital/Major City",TRUE)</f>
        <v>#VALUE!</v>
      </c>
      <c r="H8" s="1" t="str" cm="1">
        <f t="array" aca="1" ref="H8" ca="1">_xlfn.ARRAYTOTEXT(_FV(Table2[[#This Row],[Country]],"Leader(s)",TRUE))</f>
        <v>Sergio Mattarella (President), Giorgia Meloni (Prime minister)</v>
      </c>
      <c r="K8" s="3" t="e" vm="49">
        <v>#VALUE!</v>
      </c>
      <c r="L8" s="9" cm="1">
        <f t="array" aca="1" ref="L8" ca="1">_FV(Table3[[#This Row],[Currency Pair]],"52 week high",TRUE)</f>
        <v>158.87</v>
      </c>
      <c r="M8" s="9" cm="1">
        <f t="array" aca="1" ref="M8" ca="1">_FV(Table3[[#This Row],[Currency Pair]],"52 week low",TRUE)</f>
        <v>139.86000000000001</v>
      </c>
      <c r="N8" s="9" cm="1">
        <f t="array" aca="1" ref="N8" ca="1">_FV(Table3[[#This Row],[Currency Pair]],"Price")</f>
        <v>153.19999999999999</v>
      </c>
      <c r="O8" s="5" t="str" cm="1">
        <f t="array" aca="1" ref="O8" ca="1">_FV(Table3[[#This Row],[Currency Pair]],"Instrument type",TRUE)</f>
        <v>Currency Pair</v>
      </c>
      <c r="P8" s="5" t="str" cm="1">
        <f t="array" aca="1" ref="P8" ca="1">_FV(Table3[[#This Row],[Currency Pair]],"Ticker symbol",TRUE)</f>
        <v>USDJPY</v>
      </c>
      <c r="Q8" s="5" cm="1">
        <f t="array" aca="1" ref="Q8" ca="1">_FV(Table3[[#This Row],[Currency Pair]],"Change (%)",TRUE)</f>
        <v>2.2899999999999999E-3</v>
      </c>
      <c r="R8" s="5" cm="1">
        <f t="array" aca="1" ref="R8" ca="1">_FV(Table3[[#This Row],[Currency Pair]],"Last trade time",TRUE)</f>
        <v>45957.217662037037</v>
      </c>
      <c r="W8" s="3" t="e" vm="50">
        <v>#VALUE!</v>
      </c>
      <c r="X8" s="6" cm="1">
        <f t="array" aca="1" ref="X8" ca="1">_FV(Table4[[#This Row],[Company]],"52 week high",TRUE)</f>
        <v>40.9</v>
      </c>
      <c r="Y8" s="6" cm="1">
        <f t="array" aca="1" ref="Y8" ca="1">_FV(Table4[[#This Row],[Company]],"Change")</f>
        <v>0.52</v>
      </c>
      <c r="Z8" s="4" t="str" cm="1">
        <f t="array" aca="1" ref="Z8" ca="1">_FV(Table4[[#This Row],[Company]],"Headquarters")</f>
        <v>651 Brannan Street, SAN FRANCISCO, CA, 94107 US</v>
      </c>
      <c r="AA8" s="60" cm="1">
        <f t="array" aca="1" ref="AA8" ca="1">_FV(Table4[[#This Row],[Company]],"Employees")</f>
        <v>4666</v>
      </c>
      <c r="AB8" s="4" t="str" cm="1">
        <f t="array" aca="1" ref="AB8" ca="1">_FV(Table4[[#This Row],[Company]],"Official name",TRUE)</f>
        <v>PINTEREST, INC.</v>
      </c>
      <c r="AC8" s="4" t="str" cm="1">
        <f t="array" aca="1" ref="AC8" ca="1">_FV(Table4[[#This Row],[Company]],"Industry")</f>
        <v>Software &amp; IT Services</v>
      </c>
      <c r="AD8" s="61" cm="1">
        <f t="array" aca="1" ref="AD8" ca="1">_FV(Table4[[#This Row],[Company]],"Year incorporated",TRUE)</f>
        <v>2008</v>
      </c>
      <c r="AE8" s="6" cm="1">
        <f t="array" aca="1" ref="AE8" ca="1">_FV(Table4[[#This Row],[Company]],"52 week low",TRUE)</f>
        <v>23.68</v>
      </c>
      <c r="AF8" s="4" t="str" cm="1">
        <f t="array" aca="1" ref="AF8" ca="1">_FV(Table4[[#This Row],[Company]],"Headquarters")</f>
        <v>651 Brannan Street, SAN FRANCISCO, CA, 94107 US</v>
      </c>
      <c r="AG8" s="6" cm="1">
        <f t="array" aca="1" ref="AG8" ca="1">_FV(Table4[[#This Row],[Company]],"Low")</f>
        <v>33.57</v>
      </c>
    </row>
    <row r="9" spans="1:33" ht="87.65" x14ac:dyDescent="0.4">
      <c r="A9" s="1" t="e" vm="51">
        <v>#VALUE!</v>
      </c>
      <c r="B9" s="1" cm="1" vm="52">
        <f t="array" aca="1" ref="B9" ca="1">_FV(Table2[[#This Row],[Country]],"Calling code",TRUE)</f>
        <v>1876</v>
      </c>
      <c r="C9" s="1" cm="1" vm="53">
        <f t="array" aca="1" ref="C9" ca="1">_FV(Table2[[#This Row],[Country]],"GDP")</f>
        <v>16458071067.8176</v>
      </c>
      <c r="D9" s="1" t="str" cm="1">
        <f t="array" aca="1" ref="D9" ca="1">_FV(Table2[[#This Row],[Country]],"National anthem",TRUE)</f>
        <v>Jamaica, Land We Love</v>
      </c>
      <c r="E9" s="1" t="e" cm="1" vm="54">
        <f t="array" aca="1" ref="E9" ca="1">_FV(Table2[[#This Row],[Country]],"Largest city",TRUE)</f>
        <v>#VALUE!</v>
      </c>
      <c r="F9" s="1" t="e" cm="1" vm="55">
        <f t="array" aca="1" ref="F9" ca="1">_FV(Table2[[#This Row],[Country]],"Image")</f>
        <v>#VALUE!</v>
      </c>
      <c r="G9" s="1" t="e" cm="1" vm="54">
        <f t="array" aca="1" ref="G9" ca="1">_FV(Table2[[#This Row],[Country]],"Capital/Major City",TRUE)</f>
        <v>#VALUE!</v>
      </c>
      <c r="H9" s="1" t="str" cm="1">
        <f t="array" aca="1" ref="H9" ca="1">_xlfn.ARRAYTOTEXT(_FV(Table2[[#This Row],[Country]],"Leader(s)",TRUE))</f>
        <v>Charles III (Monarch), Andrew Holness (Prime minister)</v>
      </c>
      <c r="K9" s="3" t="e" vm="56">
        <v>#VALUE!</v>
      </c>
      <c r="L9" s="6" cm="1">
        <f t="array" aca="1" ref="L9" ca="1">_FV(Table3[[#This Row],[Currency Pair]],"52 week high",TRUE)</f>
        <v>7.1479999999999998E-3</v>
      </c>
      <c r="M9" s="6" cm="1">
        <f t="array" aca="1" ref="M9" ca="1">_FV(Table3[[#This Row],[Currency Pair]],"52 week low",TRUE)</f>
        <v>6.293E-3</v>
      </c>
      <c r="N9" s="6" cm="1">
        <f t="array" aca="1" ref="N9" ca="1">_FV(Table3[[#This Row],[Currency Pair]],"Price")</f>
        <v>6.5259999999999997E-3</v>
      </c>
      <c r="O9" s="5" t="str" cm="1">
        <f t="array" aca="1" ref="O9" ca="1">_FV(Table3[[#This Row],[Currency Pair]],"Instrument type",TRUE)</f>
        <v>Currency Pair</v>
      </c>
      <c r="P9" s="5" t="str" cm="1">
        <f t="array" aca="1" ref="P9" ca="1">_FV(Table3[[#This Row],[Currency Pair]],"Ticker symbol",TRUE)</f>
        <v>JPYUSD</v>
      </c>
      <c r="Q9" s="5" cm="1">
        <f t="array" aca="1" ref="Q9" ca="1">_FV(Table3[[#This Row],[Currency Pair]],"Change (%)",TRUE)</f>
        <v>-2.1410000000000001E-3</v>
      </c>
      <c r="R9" s="5" cm="1">
        <f t="array" aca="1" ref="R9" ca="1">_FV(Table3[[#This Row],[Currency Pair]],"Last trade time",TRUE)</f>
        <v>45957.217673611114</v>
      </c>
      <c r="W9" s="3" t="e" vm="57">
        <v>#VALUE!</v>
      </c>
      <c r="X9" s="6" cm="1">
        <f t="array" aca="1" ref="X9" ca="1">_FV(Table4[[#This Row],[Company]],"52 week high",TRUE)</f>
        <v>170.08</v>
      </c>
      <c r="Y9" s="6" cm="1">
        <f t="array" aca="1" ref="Y9" ca="1">_FV(Table4[[#This Row],[Company]],"Change")</f>
        <v>-0.12</v>
      </c>
      <c r="Z9" s="4" t="str" cm="1">
        <f t="array" aca="1" ref="Z9" ca="1">_FV(Table4[[#This Row],[Company]],"Headquarters")</f>
        <v>620 8th Avenue, 45th Floor, NEW YORK, NY, 10018 US</v>
      </c>
      <c r="AA9" s="60" cm="1">
        <f t="array" aca="1" ref="AA9" ca="1">_FV(Table4[[#This Row],[Company]],"Employees")</f>
        <v>6500</v>
      </c>
      <c r="AB9" s="4" t="str" cm="1">
        <f t="array" aca="1" ref="AB9" ca="1">_FV(Table4[[#This Row],[Company]],"Official name",TRUE)</f>
        <v>DATADOG, INC.</v>
      </c>
      <c r="AC9" s="4" t="str" cm="1">
        <f t="array" aca="1" ref="AC9" ca="1">_FV(Table4[[#This Row],[Company]],"Industry")</f>
        <v>Software &amp; IT Services</v>
      </c>
      <c r="AD9" s="61" cm="1">
        <f t="array" aca="1" ref="AD9" ca="1">_FV(Table4[[#This Row],[Company]],"Year incorporated",TRUE)</f>
        <v>2010</v>
      </c>
      <c r="AE9" s="6" cm="1">
        <f t="array" aca="1" ref="AE9" ca="1">_FV(Table4[[#This Row],[Company]],"52 week low",TRUE)</f>
        <v>81.63</v>
      </c>
      <c r="AF9" s="4" t="str" cm="1">
        <f t="array" aca="1" ref="AF9" ca="1">_FV(Table4[[#This Row],[Company]],"Headquarters")</f>
        <v>620 8th Avenue, 45th Floor, NEW YORK, NY, 10018 US</v>
      </c>
      <c r="AG9" s="6" cm="1">
        <f t="array" aca="1" ref="AG9" ca="1">_FV(Table4[[#This Row],[Company]],"Low")</f>
        <v>156.38999999999999</v>
      </c>
    </row>
    <row r="10" spans="1:33" ht="87.65" x14ac:dyDescent="0.4">
      <c r="A10" s="1" t="e" vm="58">
        <v>#VALUE!</v>
      </c>
      <c r="B10" s="1" cm="1" vm="59">
        <f t="array" aca="1" ref="B10" ca="1">_FV(Table2[[#This Row],[Country]],"Calling code",TRUE)</f>
        <v>81</v>
      </c>
      <c r="C10" s="1" cm="1" vm="60">
        <f t="array" aca="1" ref="C10" ca="1">_FV(Table2[[#This Row],[Country]],"GDP")</f>
        <v>5081769542379.7695</v>
      </c>
      <c r="D10" s="1" t="str" cm="1">
        <f t="array" aca="1" ref="D10" ca="1">_FV(Table2[[#This Row],[Country]],"National anthem",TRUE)</f>
        <v>Kimigayo</v>
      </c>
      <c r="E10" s="1" t="e" cm="1" vm="61">
        <f t="array" aca="1" ref="E10" ca="1">_FV(Table2[[#This Row],[Country]],"Largest city",TRUE)</f>
        <v>#VALUE!</v>
      </c>
      <c r="F10" s="1" t="e" cm="1" vm="62">
        <f t="array" aca="1" ref="F10" ca="1">_FV(Table2[[#This Row],[Country]],"Image")</f>
        <v>#VALUE!</v>
      </c>
      <c r="G10" s="1" t="e" cm="1" vm="61">
        <f t="array" aca="1" ref="G10" ca="1">_FV(Table2[[#This Row],[Country]],"Capital/Major City",TRUE)</f>
        <v>#VALUE!</v>
      </c>
      <c r="H10" s="1" t="str" cm="1">
        <f t="array" aca="1" ref="H10" ca="1">_xlfn.ARRAYTOTEXT(_FV(Table2[[#This Row],[Country]],"Leader(s)",TRUE))</f>
        <v>Fumio Kishida (Prime minister)</v>
      </c>
      <c r="K10" s="3" t="e" vm="63">
        <v>#VALUE!</v>
      </c>
      <c r="L10" s="10" cm="1">
        <f t="array" aca="1" ref="L10" ca="1">_FV(Table3[[#This Row],[Currency Pair]],"52 week high",TRUE)</f>
        <v>1.4793000000000001</v>
      </c>
      <c r="M10" s="10" cm="1">
        <f t="array" aca="1" ref="M10" ca="1">_FV(Table3[[#This Row],[Currency Pair]],"52 week low",TRUE)</f>
        <v>1.3536999999999999</v>
      </c>
      <c r="N10" s="10" cm="1">
        <f t="array" aca="1" ref="N10" ca="1">_FV(Table3[[#This Row],[Currency Pair]],"Price")</f>
        <v>1.3989</v>
      </c>
      <c r="O10" s="5" t="str" cm="1">
        <f t="array" aca="1" ref="O10" ca="1">_FV(Table3[[#This Row],[Currency Pair]],"Instrument type",TRUE)</f>
        <v>Currency Pair</v>
      </c>
      <c r="P10" s="5" t="str" cm="1">
        <f t="array" aca="1" ref="P10" ca="1">_FV(Table3[[#This Row],[Currency Pair]],"Ticker symbol",TRUE)</f>
        <v>USDCAD</v>
      </c>
      <c r="Q10" s="5" cm="1">
        <f t="array" aca="1" ref="Q10" ca="1">_FV(Table3[[#This Row],[Currency Pair]],"Change (%)",TRUE)</f>
        <v>-4.2869999999999996E-4</v>
      </c>
      <c r="R10" s="5" cm="1">
        <f t="array" aca="1" ref="R10" ca="1">_FV(Table3[[#This Row],[Currency Pair]],"Last trade time",TRUE)</f>
        <v>45957.217604166668</v>
      </c>
      <c r="W10" s="3" t="e" vm="64">
        <v>#VALUE!</v>
      </c>
      <c r="X10" s="6" cm="1">
        <f t="array" aca="1" ref="X10" ca="1">_FV(Table4[[#This Row],[Company]],"52 week high",TRUE)</f>
        <v>151.94999999999999</v>
      </c>
      <c r="Y10" s="6" cm="1">
        <f t="array" aca="1" ref="Y10" ca="1">_FV(Table4[[#This Row],[Company]],"Change")</f>
        <v>1.74</v>
      </c>
      <c r="Z10" s="4" t="str" cm="1">
        <f t="array" aca="1" ref="Z10" ca="1">_FV(Table4[[#This Row],[Company]],"Headquarters")</f>
        <v>101 Spear Street, Fifth Floor, SAN FRANCISCO, CA, 94105 US</v>
      </c>
      <c r="AA10" s="60" cm="1">
        <f t="array" aca="1" ref="AA10" ca="1">_FV(Table4[[#This Row],[Company]],"Employees")</f>
        <v>5535</v>
      </c>
      <c r="AB10" s="4" t="str" cm="1">
        <f t="array" aca="1" ref="AB10" ca="1">_FV(Table4[[#This Row],[Company]],"Official name",TRUE)</f>
        <v>TWILIO INC.</v>
      </c>
      <c r="AC10" s="4" t="str" cm="1">
        <f t="array" aca="1" ref="AC10" ca="1">_FV(Table4[[#This Row],[Company]],"Industry")</f>
        <v>Software &amp; IT Services</v>
      </c>
      <c r="AD10" s="61" cm="1">
        <f t="array" aca="1" ref="AD10" ca="1">_FV(Table4[[#This Row],[Company]],"Year incorporated",TRUE)</f>
        <v>2008</v>
      </c>
      <c r="AE10" s="6" cm="1">
        <f t="array" aca="1" ref="AE10" ca="1">_FV(Table4[[#This Row],[Company]],"52 week low",TRUE)</f>
        <v>70.03</v>
      </c>
      <c r="AF10" s="4" t="str" cm="1">
        <f t="array" aca="1" ref="AF10" ca="1">_FV(Table4[[#This Row],[Company]],"Headquarters")</f>
        <v>101 Spear Street, Fifth Floor, SAN FRANCISCO, CA, 94105 US</v>
      </c>
      <c r="AG10" s="6" cm="1">
        <f t="array" aca="1" ref="AG10" ca="1">_FV(Table4[[#This Row],[Company]],"Low")</f>
        <v>111.5401</v>
      </c>
    </row>
    <row r="11" spans="1:33" ht="87.65" x14ac:dyDescent="0.4">
      <c r="A11" s="1" t="e" vm="65">
        <v>#VALUE!</v>
      </c>
      <c r="B11" s="1" cm="1" vm="66">
        <f t="array" aca="1" ref="B11" ca="1">_FV(Table2[[#This Row],[Country]],"Calling code",TRUE)</f>
        <v>962</v>
      </c>
      <c r="C11" s="1" cm="1" vm="67">
        <f t="array" aca="1" ref="C11" ca="1">_FV(Table2[[#This Row],[Country]],"GDP")</f>
        <v>43743661971.831001</v>
      </c>
      <c r="D11" s="1" t="str" cm="1">
        <f t="array" aca="1" ref="D11" ca="1">_FV(Table2[[#This Row],[Country]],"National anthem",TRUE)</f>
        <v>The Royal Anthem of Jordan</v>
      </c>
      <c r="E11" s="1" t="e" cm="1" vm="68">
        <f t="array" aca="1" ref="E11" ca="1">_FV(Table2[[#This Row],[Country]],"Largest city",TRUE)</f>
        <v>#VALUE!</v>
      </c>
      <c r="F11" s="1" t="e" cm="1" vm="69">
        <f t="array" aca="1" ref="F11" ca="1">_FV(Table2[[#This Row],[Country]],"Image")</f>
        <v>#VALUE!</v>
      </c>
      <c r="G11" s="1" t="e" cm="1" vm="68">
        <f t="array" aca="1" ref="G11" ca="1">_FV(Table2[[#This Row],[Country]],"Capital/Major City",TRUE)</f>
        <v>#VALUE!</v>
      </c>
      <c r="H11" s="1" t="str" cm="1">
        <f t="array" aca="1" ref="H11" ca="1">_xlfn.ARRAYTOTEXT(_FV(Table2[[#This Row],[Country]],"Leader(s)",TRUE))</f>
        <v>Abdullah II of Jordan (Monarch), Bisher Khasawneh (Prime minister)</v>
      </c>
      <c r="K11" s="3" t="e" vm="70">
        <v>#VALUE!</v>
      </c>
      <c r="L11" s="6" cm="1">
        <f t="array" aca="1" ref="L11" ca="1">_FV(Table3[[#This Row],[Currency Pair]],"52 week high",TRUE)</f>
        <v>0.73850000000000005</v>
      </c>
      <c r="M11" s="6" cm="1">
        <f t="array" aca="1" ref="M11" ca="1">_FV(Table3[[#This Row],[Currency Pair]],"52 week low",TRUE)</f>
        <v>0.67589999999999995</v>
      </c>
      <c r="N11" s="6" cm="1">
        <f t="array" aca="1" ref="N11" ca="1">_FV(Table3[[#This Row],[Currency Pair]],"Price")</f>
        <v>0.7147</v>
      </c>
      <c r="O11" s="5" t="str" cm="1">
        <f t="array" aca="1" ref="O11" ca="1">_FV(Table3[[#This Row],[Currency Pair]],"Instrument type",TRUE)</f>
        <v>Currency Pair</v>
      </c>
      <c r="P11" s="5" t="str" cm="1">
        <f t="array" aca="1" ref="P11" ca="1">_FV(Table3[[#This Row],[Currency Pair]],"Ticker symbol",TRUE)</f>
        <v>CADUSD</v>
      </c>
      <c r="Q11" s="5" cm="1">
        <f t="array" aca="1" ref="Q11" ca="1">_FV(Table3[[#This Row],[Currency Pair]],"Change (%)",TRUE)</f>
        <v>2.7990000000000003E-4</v>
      </c>
      <c r="R11" s="5" cm="1">
        <f t="array" aca="1" ref="R11" ca="1">_FV(Table3[[#This Row],[Currency Pair]],"Last trade time",TRUE)</f>
        <v>45957.217604166668</v>
      </c>
      <c r="W11" s="3" t="e" vm="71">
        <v>#VALUE!</v>
      </c>
      <c r="X11" s="6" cm="1">
        <f t="array" aca="1" ref="X11" ca="1">_FV(Table4[[#This Row],[Company]],"52 week high",TRUE)</f>
        <v>107.8599</v>
      </c>
      <c r="Y11" s="6" cm="1">
        <f t="array" aca="1" ref="Y11" ca="1">_FV(Table4[[#This Row],[Company]],"Change")</f>
        <v>0.41</v>
      </c>
      <c r="Z11" s="4" t="str" cm="1">
        <f t="array" aca="1" ref="Z11" ca="1">_FV(Table4[[#This Row],[Company]],"Headquarters")</f>
        <v>221 Main St., Suite 1550, SAN FRANCISCO, CA, 94105 US</v>
      </c>
      <c r="AA11" s="60" cm="1">
        <f t="array" aca="1" ref="AA11" ca="1">_FV(Table4[[#This Row],[Company]],"Employees")</f>
        <v>6838</v>
      </c>
      <c r="AB11" s="4" t="str" cm="1">
        <f t="array" aca="1" ref="AB11" ca="1">_FV(Table4[[#This Row],[Company]],"Official name",TRUE)</f>
        <v>DOCUSIGN, INC.</v>
      </c>
      <c r="AC11" s="4" t="str" cm="1">
        <f t="array" aca="1" ref="AC11" ca="1">_FV(Table4[[#This Row],[Company]],"Industry")</f>
        <v>Software &amp; IT Services</v>
      </c>
      <c r="AD11" s="61" cm="1">
        <f t="array" aca="1" ref="AD11" ca="1">_FV(Table4[[#This Row],[Company]],"Year incorporated",TRUE)</f>
        <v>2012</v>
      </c>
      <c r="AE11" s="6" cm="1">
        <f t="array" aca="1" ref="AE11" ca="1">_FV(Table4[[#This Row],[Company]],"52 week low",TRUE)</f>
        <v>66.352400000000003</v>
      </c>
      <c r="AF11" s="4" t="str" cm="1">
        <f t="array" aca="1" ref="AF11" ca="1">_FV(Table4[[#This Row],[Company]],"Headquarters")</f>
        <v>221 Main St., Suite 1550, SAN FRANCISCO, CA, 94105 US</v>
      </c>
      <c r="AG11" s="6" cm="1">
        <f t="array" aca="1" ref="AG11" ca="1">_FV(Table4[[#This Row],[Company]],"Low")</f>
        <v>71.319999999999993</v>
      </c>
    </row>
    <row r="12" spans="1:33" ht="87.65" x14ac:dyDescent="0.4">
      <c r="A12" s="1" t="e" vm="72">
        <v>#VALUE!</v>
      </c>
      <c r="B12" s="1" cm="1" vm="73">
        <f t="array" aca="1" ref="B12" ca="1">_FV(Table2[[#This Row],[Country]],"Calling code",TRUE)</f>
        <v>7</v>
      </c>
      <c r="C12" s="1" cm="1" vm="74">
        <f t="array" aca="1" ref="C12" ca="1">_FV(Table2[[#This Row],[Country]],"GDP")</f>
        <v>180161741180.147</v>
      </c>
      <c r="D12" s="1" t="str" cm="1">
        <f t="array" aca="1" ref="D12" ca="1">_FV(Table2[[#This Row],[Country]],"National anthem",TRUE)</f>
        <v>Meniń Qazaqstanym</v>
      </c>
      <c r="E12" s="1" t="e" cm="1" vm="75">
        <f t="array" aca="1" ref="E12" ca="1">_FV(Table2[[#This Row],[Country]],"Largest city",TRUE)</f>
        <v>#VALUE!</v>
      </c>
      <c r="F12" s="1" t="e" cm="1" vm="76">
        <f t="array" aca="1" ref="F12" ca="1">_FV(Table2[[#This Row],[Country]],"Image")</f>
        <v>#VALUE!</v>
      </c>
      <c r="G12" s="1" t="e" cm="1" vm="77">
        <f t="array" aca="1" ref="G12" ca="1">_FV(Table2[[#This Row],[Country]],"Capital/Major City",TRUE)</f>
        <v>#VALUE!</v>
      </c>
      <c r="H12" s="1" t="str" cm="1">
        <f t="array" aca="1" ref="H12" ca="1">_xlfn.ARRAYTOTEXT(_FV(Table2[[#This Row],[Country]],"Leader(s)",TRUE))</f>
        <v>Kassym-Jomart Tokayev (President), Älihan Smaiylov (Prime minister)</v>
      </c>
      <c r="K12" s="3" t="e" vm="78">
        <v>#VALUE!</v>
      </c>
      <c r="L12" s="6" cm="1">
        <f t="array" aca="1" ref="L12" ca="1">_FV(Table3[[#This Row],[Currency Pair]],"52 week high",TRUE)</f>
        <v>0.67059999999999997</v>
      </c>
      <c r="M12" s="6" cm="1">
        <f t="array" aca="1" ref="M12" ca="1">_FV(Table3[[#This Row],[Currency Pair]],"52 week low",TRUE)</f>
        <v>0.59119999999999995</v>
      </c>
      <c r="N12" s="6" cm="1">
        <f t="array" aca="1" ref="N12" ca="1">_FV(Table3[[#This Row],[Currency Pair]],"Price")</f>
        <v>0.6532</v>
      </c>
      <c r="O12" s="5" t="str" cm="1">
        <f t="array" aca="1" ref="O12" ca="1">_FV(Table3[[#This Row],[Currency Pair]],"Instrument type",TRUE)</f>
        <v>Currency Pair</v>
      </c>
      <c r="P12" s="5" t="str" cm="1">
        <f t="array" aca="1" ref="P12" ca="1">_FV(Table3[[#This Row],[Currency Pair]],"Ticker symbol",TRUE)</f>
        <v>AUDUSD</v>
      </c>
      <c r="Q12" s="5" cm="1">
        <f t="array" aca="1" ref="Q12" ca="1">_FV(Table3[[#This Row],[Currency Pair]],"Change (%)",TRUE)</f>
        <v>2.9170000000000003E-3</v>
      </c>
      <c r="R12" s="5" cm="1">
        <f t="array" aca="1" ref="R12" ca="1">_FV(Table3[[#This Row],[Currency Pair]],"Last trade time",TRUE)</f>
        <v>45957.217557870368</v>
      </c>
      <c r="W12" s="3" t="e" vm="79">
        <v>#VALUE!</v>
      </c>
      <c r="X12" s="6" cm="1">
        <f t="array" aca="1" ref="X12" ca="1">_FV(Table4[[#This Row],[Company]],"52 week high",TRUE)</f>
        <v>259.75</v>
      </c>
      <c r="Y12" s="6" cm="1">
        <f t="array" aca="1" ref="Y12" ca="1">_FV(Table4[[#This Row],[Company]],"Change")</f>
        <v>4.95</v>
      </c>
      <c r="Z12" s="4" t="str" cm="1">
        <f t="array" aca="1" ref="Z12" ca="1">_FV(Table4[[#This Row],[Company]],"Headquarters")</f>
        <v>106 East Babcock Street, Suite 3A, BOZEMAN, MT, 59715 US</v>
      </c>
      <c r="AA12" s="60" cm="1">
        <f t="array" aca="1" ref="AA12" ca="1">_FV(Table4[[#This Row],[Company]],"Employees")</f>
        <v>7834</v>
      </c>
      <c r="AB12" s="4" t="str" cm="1">
        <f t="array" aca="1" ref="AB12" ca="1">_FV(Table4[[#This Row],[Company]],"Official name",TRUE)</f>
        <v>SNOWFLAKE INC.</v>
      </c>
      <c r="AC12" s="4" t="str" cm="1">
        <f t="array" aca="1" ref="AC12" ca="1">_FV(Table4[[#This Row],[Company]],"Industry")</f>
        <v>Software &amp; IT Services</v>
      </c>
      <c r="AD12" s="61" cm="1">
        <f t="array" aca="1" ref="AD12" ca="1">_FV(Table4[[#This Row],[Company]],"Year incorporated",TRUE)</f>
        <v>2012</v>
      </c>
      <c r="AE12" s="6" cm="1">
        <f t="array" aca="1" ref="AE12" ca="1">_FV(Table4[[#This Row],[Company]],"52 week low",TRUE)</f>
        <v>113.23</v>
      </c>
      <c r="AF12" s="4" t="str" cm="1">
        <f t="array" aca="1" ref="AF12" ca="1">_FV(Table4[[#This Row],[Company]],"Headquarters")</f>
        <v>106 East Babcock Street, Suite 3A, BOZEMAN, MT, 59715 US</v>
      </c>
      <c r="AG12" s="6" cm="1">
        <f t="array" aca="1" ref="AG12" ca="1">_FV(Table4[[#This Row],[Company]],"Low")</f>
        <v>252.69730000000001</v>
      </c>
    </row>
    <row r="13" spans="1:33" ht="87.65" x14ac:dyDescent="0.4">
      <c r="A13" s="1" t="e" vm="80">
        <v>#VALUE!</v>
      </c>
      <c r="B13" s="1" cm="1" vm="81">
        <f t="array" aca="1" ref="B13" ca="1">_FV(Table2[[#This Row],[Country]],"Calling code",TRUE)</f>
        <v>254</v>
      </c>
      <c r="C13" s="1" cm="1" vm="82">
        <f t="array" aca="1" ref="C13" ca="1">_FV(Table2[[#This Row],[Country]],"GDP")</f>
        <v>95503088538.091995</v>
      </c>
      <c r="D13" s="1" t="str" cm="1">
        <f t="array" aca="1" ref="D13" ca="1">_FV(Table2[[#This Row],[Country]],"National anthem",TRUE)</f>
        <v>Ee Mungu Nguvu Yetu</v>
      </c>
      <c r="E13" s="1" t="e" cm="1" vm="83">
        <f t="array" aca="1" ref="E13" ca="1">_FV(Table2[[#This Row],[Country]],"Largest city",TRUE)</f>
        <v>#VALUE!</v>
      </c>
      <c r="F13" s="1" t="e" cm="1" vm="84">
        <f t="array" aca="1" ref="F13" ca="1">_FV(Table2[[#This Row],[Country]],"Image")</f>
        <v>#VALUE!</v>
      </c>
      <c r="G13" s="1" t="e" cm="1" vm="83">
        <f t="array" aca="1" ref="G13" ca="1">_FV(Table2[[#This Row],[Country]],"Capital/Major City",TRUE)</f>
        <v>#VALUE!</v>
      </c>
      <c r="H13" s="1" t="str" cm="1">
        <f t="array" aca="1" ref="H13" ca="1">_xlfn.ARRAYTOTEXT(_FV(Table2[[#This Row],[Country]],"Leader(s)",TRUE))</f>
        <v>William Ruto (President), Martha Koome (Chief justice)</v>
      </c>
      <c r="K13" s="3" t="e" vm="85">
        <v>#VALUE!</v>
      </c>
      <c r="L13" s="11" cm="1">
        <f t="array" aca="1" ref="L13" ca="1">_FV(Table3[[#This Row],[Currency Pair]],"52 week high",TRUE)</f>
        <v>1.6906000000000001</v>
      </c>
      <c r="M13" s="11" cm="1">
        <f t="array" aca="1" ref="M13" ca="1">_FV(Table3[[#This Row],[Currency Pair]],"52 week low",TRUE)</f>
        <v>1.4904999999999999</v>
      </c>
      <c r="N13" s="11" cm="1">
        <f t="array" aca="1" ref="N13" ca="1">_FV(Table3[[#This Row],[Currency Pair]],"Price")</f>
        <v>1.5305</v>
      </c>
      <c r="O13" s="5" t="str" cm="1">
        <f t="array" aca="1" ref="O13" ca="1">_FV(Table3[[#This Row],[Currency Pair]],"Instrument type",TRUE)</f>
        <v>Currency Pair</v>
      </c>
      <c r="P13" s="5" t="str" cm="1">
        <f t="array" aca="1" ref="P13" ca="1">_FV(Table3[[#This Row],[Currency Pair]],"Ticker symbol",TRUE)</f>
        <v>USDAUD</v>
      </c>
      <c r="Q13" s="5" cm="1">
        <f t="array" aca="1" ref="Q13" ca="1">_FV(Table3[[#This Row],[Currency Pair]],"Change (%)",TRUE)</f>
        <v>-3.3210000000000002E-3</v>
      </c>
      <c r="R13" s="5" cm="1">
        <f t="array" aca="1" ref="R13" ca="1">_FV(Table3[[#This Row],[Currency Pair]],"Last trade time",TRUE)</f>
        <v>45957.217557870368</v>
      </c>
      <c r="W13" s="3" t="e" vm="86">
        <v>#VALUE!</v>
      </c>
      <c r="X13" s="6" cm="1">
        <f t="array" aca="1" ref="X13" ca="1">_FV(Table4[[#This Row],[Company]],"52 week high",TRUE)</f>
        <v>174.74</v>
      </c>
      <c r="Y13" s="6" cm="1">
        <f t="array" aca="1" ref="Y13" ca="1">_FV(Table4[[#This Row],[Company]],"Change")</f>
        <v>5.92</v>
      </c>
      <c r="Z13" s="4" t="str" cm="1">
        <f t="array" aca="1" ref="Z13" ca="1">_FV(Table4[[#This Row],[Company]],"Headquarters")</f>
        <v>151 O'connor Street, Ground Floor, OTTAWA, ON, K2P 2L8 CA</v>
      </c>
      <c r="AA13" s="60" cm="1">
        <f t="array" aca="1" ref="AA13" ca="1">_FV(Table4[[#This Row],[Company]],"Employees")</f>
        <v>8100</v>
      </c>
      <c r="AB13" s="4" t="str" cm="1">
        <f t="array" aca="1" ref="AB13" ca="1">_FV(Table4[[#This Row],[Company]],"Official name",TRUE)</f>
        <v>SHOPIFY INC.</v>
      </c>
      <c r="AC13" s="4" t="str" cm="1">
        <f t="array" aca="1" ref="AC13" ca="1">_FV(Table4[[#This Row],[Company]],"Industry")</f>
        <v>Software &amp; IT Services</v>
      </c>
      <c r="AD13" s="61" cm="1">
        <f t="array" aca="1" ref="AD13" ca="1">_FV(Table4[[#This Row],[Company]],"Year incorporated",TRUE)</f>
        <v>2004</v>
      </c>
      <c r="AE13" s="6" cm="1">
        <f t="array" aca="1" ref="AE13" ca="1">_FV(Table4[[#This Row],[Company]],"52 week low",TRUE)</f>
        <v>69.84</v>
      </c>
      <c r="AF13" s="4" t="str" cm="1">
        <f t="array" aca="1" ref="AF13" ca="1">_FV(Table4[[#This Row],[Company]],"Headquarters")</f>
        <v>151 O'connor Street, Ground Floor, OTTAWA, ON, K2P 2L8 CA</v>
      </c>
      <c r="AG13" s="6" cm="1">
        <f t="array" aca="1" ref="AG13" ca="1">_FV(Table4[[#This Row],[Company]],"Low")</f>
        <v>168.5</v>
      </c>
    </row>
    <row r="14" spans="1:33" ht="70.150000000000006" x14ac:dyDescent="0.4">
      <c r="A14" s="1" t="e" vm="87">
        <v>#VALUE!</v>
      </c>
      <c r="B14" s="1" cm="1" vm="88">
        <f t="array" aca="1" ref="B14" ca="1">_FV(Table2[[#This Row],[Country]],"Calling code",TRUE)</f>
        <v>686</v>
      </c>
      <c r="C14" s="1" cm="1" vm="89">
        <f t="array" aca="1" ref="C14" ca="1">_FV(Table2[[#This Row],[Country]],"GDP")</f>
        <v>194647201.94647199</v>
      </c>
      <c r="D14" s="1" t="str" cm="1">
        <f t="array" aca="1" ref="D14" ca="1">_FV(Table2[[#This Row],[Country]],"National anthem",TRUE)</f>
        <v>Kunan Kiribati</v>
      </c>
      <c r="E14" s="1" t="e" cm="1" vm="90">
        <f t="array" aca="1" ref="E14" ca="1">_FV(Table2[[#This Row],[Country]],"Largest city",TRUE)</f>
        <v>#VALUE!</v>
      </c>
      <c r="F14" s="1" t="e" cm="1" vm="91">
        <f t="array" aca="1" ref="F14" ca="1">_FV(Table2[[#This Row],[Country]],"Image")</f>
        <v>#VALUE!</v>
      </c>
      <c r="G14" s="1" t="e" cm="1" vm="90">
        <f t="array" aca="1" ref="G14" ca="1">_FV(Table2[[#This Row],[Country]],"Capital/Major City",TRUE)</f>
        <v>#VALUE!</v>
      </c>
      <c r="H14" s="1" t="str" cm="1">
        <f t="array" aca="1" ref="H14" ca="1">_xlfn.ARRAYTOTEXT(_FV(Table2[[#This Row],[Country]],"Leader(s)",TRUE))</f>
        <v>Taneti Maamau (President), Teuea Toatu (Vice president)</v>
      </c>
      <c r="K14" s="3" t="e" vm="92">
        <v>#VALUE!</v>
      </c>
      <c r="L14" s="12" cm="1">
        <f t="array" aca="1" ref="L14" ca="1">_FV(Table3[[#This Row],[Currency Pair]],"52 week high",TRUE)</f>
        <v>0.92</v>
      </c>
      <c r="M14" s="12" cm="1">
        <f t="array" aca="1" ref="M14" ca="1">_FV(Table3[[#This Row],[Currency Pair]],"52 week low",TRUE)</f>
        <v>0.78269999999999995</v>
      </c>
      <c r="N14" s="12" cm="1">
        <f t="array" aca="1" ref="N14" ca="1">_FV(Table3[[#This Row],[Currency Pair]],"Price")</f>
        <v>0.79649999999999999</v>
      </c>
      <c r="O14" s="5" t="str" cm="1">
        <f t="array" aca="1" ref="O14" ca="1">_FV(Table3[[#This Row],[Currency Pair]],"Instrument type",TRUE)</f>
        <v>Currency Pair</v>
      </c>
      <c r="P14" s="5" t="str" cm="1">
        <f t="array" aca="1" ref="P14" ca="1">_FV(Table3[[#This Row],[Currency Pair]],"Ticker symbol",TRUE)</f>
        <v>USDCHF</v>
      </c>
      <c r="Q14" s="5" cm="1">
        <f t="array" aca="1" ref="Q14" ca="1">_FV(Table3[[#This Row],[Currency Pair]],"Change (%)",TRUE)</f>
        <v>1.3830000000000001E-3</v>
      </c>
      <c r="R14" s="5" cm="1">
        <f t="array" aca="1" ref="R14" ca="1">_FV(Table3[[#This Row],[Currency Pair]],"Last trade time",TRUE)</f>
        <v>45957.217615740738</v>
      </c>
      <c r="W14" s="3" t="e" vm="93">
        <v>#VALUE!</v>
      </c>
      <c r="X14" s="6" cm="1">
        <f t="array" aca="1" ref="X14" ca="1">_FV(Table4[[#This Row],[Company]],"52 week high",TRUE)</f>
        <v>535.52</v>
      </c>
      <c r="Y14" s="6" cm="1">
        <f t="array" aca="1" ref="Y14" ca="1">_FV(Table4[[#This Row],[Company]],"Change")</f>
        <v>5.34</v>
      </c>
      <c r="Z14" s="4" t="str" cm="1">
        <f t="array" aca="1" ref="Z14" ca="1">_FV(Table4[[#This Row],[Company]],"Headquarters")</f>
        <v>206 E. 9TH STREET, SUITE 1400, AUSTIN, TX, 78701 US</v>
      </c>
      <c r="AA14" s="60" cm="1">
        <f t="array" aca="1" ref="AA14" ca="1">_FV(Table4[[#This Row],[Company]],"Employees")</f>
        <v>10047</v>
      </c>
      <c r="AB14" s="4" t="str" cm="1">
        <f t="array" aca="1" ref="AB14" ca="1">_FV(Table4[[#This Row],[Company]],"Official name",TRUE)</f>
        <v>CROWDSTRIKE HOLDINGS, INC.</v>
      </c>
      <c r="AC14" s="4" t="str" cm="1">
        <f t="array" aca="1" ref="AC14" ca="1">_FV(Table4[[#This Row],[Company]],"Industry")</f>
        <v>Software &amp; IT Services</v>
      </c>
      <c r="AD14" s="61" cm="1">
        <f t="array" aca="1" ref="AD14" ca="1">_FV(Table4[[#This Row],[Company]],"Year incorporated",TRUE)</f>
        <v>2011</v>
      </c>
      <c r="AE14" s="6" cm="1">
        <f t="array" aca="1" ref="AE14" ca="1">_FV(Table4[[#This Row],[Company]],"52 week low",TRUE)</f>
        <v>294.68</v>
      </c>
      <c r="AF14" s="4" t="str" cm="1">
        <f t="array" aca="1" ref="AF14" ca="1">_FV(Table4[[#This Row],[Company]],"Headquarters")</f>
        <v>206 E. 9TH STREET, SUITE 1400, AUSTIN, TX, 78701 US</v>
      </c>
      <c r="AG14" s="6" cm="1">
        <f t="array" aca="1" ref="AG14" ca="1">_FV(Table4[[#This Row],[Company]],"Low")</f>
        <v>521.87</v>
      </c>
    </row>
    <row r="15" spans="1:33" ht="175.3" x14ac:dyDescent="0.4">
      <c r="A15" s="1" t="e" vm="94">
        <v>#VALUE!</v>
      </c>
      <c r="B15" s="1" cm="1" vm="95">
        <f t="array" aca="1" ref="B15" ca="1">_FV(Table2[[#This Row],[Country]],"Calling code",TRUE)</f>
        <v>383</v>
      </c>
      <c r="C15" s="1" cm="1" vm="96">
        <f t="array" aca="1" ref="C15" ca="1">_FV(Table2[[#This Row],[Country]],"GDP")</f>
        <v>6959638874</v>
      </c>
      <c r="D15" s="1" t="str" cm="1">
        <f t="array" aca="1" ref="D15" ca="1">_FV(Table2[[#This Row],[Country]],"National anthem",TRUE)</f>
        <v>Anthem of the Republic of Kosovo</v>
      </c>
      <c r="E15" s="1" t="e" cm="1" vm="97">
        <f t="array" aca="1" ref="E15" ca="1">_FV(Table2[[#This Row],[Country]],"Largest city",TRUE)</f>
        <v>#VALUE!</v>
      </c>
      <c r="F15" s="1" t="e" cm="1" vm="98">
        <f t="array" aca="1" ref="F15" ca="1">_FV(Table2[[#This Row],[Country]],"Image")</f>
        <v>#VALUE!</v>
      </c>
      <c r="G15" s="1" t="e" cm="1" vm="97">
        <f t="array" aca="1" ref="G15" ca="1">_FV(Table2[[#This Row],[Country]],"Capital/Major City",TRUE)</f>
        <v>#VALUE!</v>
      </c>
      <c r="H15" s="1" t="str" cm="1">
        <f t="array" aca="1" ref="H15" ca="1">_xlfn.ARRAYTOTEXT(_FV(Table2[[#This Row],[Country]],"Leader(s)",TRUE))</f>
        <v>Vjosa Osmani (President), Albin Kurti (Prime minister)</v>
      </c>
      <c r="K15" s="3" t="e" vm="99">
        <v>#VALUE!</v>
      </c>
      <c r="L15" s="6" cm="1">
        <f t="array" aca="1" ref="L15" ca="1">_FV(Table3[[#This Row],[Currency Pair]],"52 week high",TRUE)</f>
        <v>1.2770999999999999</v>
      </c>
      <c r="M15" s="6" cm="1">
        <f t="array" aca="1" ref="M15" ca="1">_FV(Table3[[#This Row],[Currency Pair]],"52 week low",TRUE)</f>
        <v>1.0866</v>
      </c>
      <c r="N15" s="6" cm="1">
        <f t="array" aca="1" ref="N15" ca="1">_FV(Table3[[#This Row],[Currency Pair]],"Price")</f>
        <v>1.2553000000000001</v>
      </c>
      <c r="O15" s="5" t="str" cm="1">
        <f t="array" aca="1" ref="O15" ca="1">_FV(Table3[[#This Row],[Currency Pair]],"Instrument type",TRUE)</f>
        <v>Currency Pair</v>
      </c>
      <c r="P15" s="5" t="str" cm="1">
        <f t="array" aca="1" ref="P15" ca="1">_FV(Table3[[#This Row],[Currency Pair]],"Ticker symbol",TRUE)</f>
        <v>CHFUSD</v>
      </c>
      <c r="Q15" s="5" cm="1">
        <f t="array" aca="1" ref="Q15" ca="1">_FV(Table3[[#This Row],[Currency Pair]],"Change (%)",TRUE)</f>
        <v>-7.9600000000000005E-4</v>
      </c>
      <c r="R15" s="5" cm="1">
        <f t="array" aca="1" ref="R15" ca="1">_FV(Table3[[#This Row],[Currency Pair]],"Last trade time",TRUE)</f>
        <v>45957.217615740738</v>
      </c>
      <c r="W15" s="3" t="e" vm="100">
        <v>#VALUE!</v>
      </c>
      <c r="X15" s="5" cm="1">
        <f t="array" aca="1" ref="X15" ca="1">_FV(Table4[[#This Row],[Company]],"52 week high",TRUE)</f>
        <v>4182.4399999999996</v>
      </c>
      <c r="Y15" s="5" cm="1">
        <f t="array" aca="1" ref="Y15" ca="1">_FV(Table4[[#This Row],[Company]],"Change")</f>
        <v>5.8</v>
      </c>
      <c r="Z15" s="4" t="str" cm="1">
        <f t="array" aca="1" ref="Z15" ca="1">_FV(Table4[[#This Row],[Company]],"Headquarters")</f>
        <v>Birla Aurora, Level 21, Plot No. 1080, Dr. Annie Besant Road, Worli, Kharghar Node, MUMBAI, MAHARASHTRA, 400030 IN</v>
      </c>
      <c r="AA15" s="60" cm="1">
        <f t="array" aca="1" ref="AA15" ca="1">_FV(Table4[[#This Row],[Company]],"Employees")</f>
        <v>9848</v>
      </c>
      <c r="AB15" s="4" t="str" cm="1">
        <f t="array" aca="1" ref="AB15" ca="1">_FV(Table4[[#This Row],[Company]],"Official name",TRUE)</f>
        <v>SIEMENS LIMITED</v>
      </c>
      <c r="AC15" s="4" t="str" cm="1">
        <f t="array" aca="1" ref="AC15" ca="1">_FV(Table4[[#This Row],[Company]],"Industry")</f>
        <v>Machinery, Equipment &amp; Components</v>
      </c>
      <c r="AD15" s="61" cm="1">
        <f t="array" aca="1" ref="AD15" ca="1">_FV(Table4[[#This Row],[Company]],"Year incorporated",TRUE)</f>
        <v>1957</v>
      </c>
      <c r="AE15" s="62" cm="1">
        <f t="array" aca="1" ref="AE15" ca="1">_FV(Table4[[#This Row],[Company]],"52 week low",TRUE)</f>
        <v>2376.4499999999998</v>
      </c>
      <c r="AF15" s="4" t="str" cm="1">
        <f t="array" aca="1" ref="AF15" ca="1">_FV(Table4[[#This Row],[Company]],"Headquarters")</f>
        <v>Birla Aurora, Level 21, Plot No. 1080, Dr. Annie Besant Road, Worli, Kharghar Node, MUMBAI, MAHARASHTRA, 400030 IN</v>
      </c>
      <c r="AG15" s="62" cm="1">
        <f t="array" aca="1" ref="AG15" ca="1">_FV(Table4[[#This Row],[Company]],"Low")</f>
        <v>3141.3</v>
      </c>
    </row>
    <row r="16" spans="1:33" ht="105.2" x14ac:dyDescent="0.4">
      <c r="A16" s="1" t="e" vm="101">
        <v>#VALUE!</v>
      </c>
      <c r="B16" s="1" cm="1" vm="102">
        <f t="array" aca="1" ref="B16" ca="1">_FV(Table2[[#This Row],[Country]],"Calling code",TRUE)</f>
        <v>965</v>
      </c>
      <c r="C16" s="1" cm="1" vm="103">
        <f t="array" aca="1" ref="C16" ca="1">_FV(Table2[[#This Row],[Country]],"GDP")</f>
        <v>134761198945.98199</v>
      </c>
      <c r="D16" s="1" t="str" cm="1">
        <f t="array" aca="1" ref="D16" ca="1">_FV(Table2[[#This Row],[Country]],"National anthem",TRUE)</f>
        <v>National Anthem of Kuwait</v>
      </c>
      <c r="E16" s="1" t="e" cm="1" vm="104">
        <f t="array" aca="1" ref="E16" ca="1">_FV(Table2[[#This Row],[Country]],"Largest city",TRUE)</f>
        <v>#VALUE!</v>
      </c>
      <c r="F16" s="1" t="e" cm="1" vm="105">
        <f t="array" aca="1" ref="F16" ca="1">_FV(Table2[[#This Row],[Country]],"Image")</f>
        <v>#VALUE!</v>
      </c>
      <c r="G16" s="1" t="e" cm="1" vm="104">
        <f t="array" aca="1" ref="G16" ca="1">_FV(Table2[[#This Row],[Country]],"Capital/Major City",TRUE)</f>
        <v>#VALUE!</v>
      </c>
      <c r="H16" s="1" t="str" cm="1">
        <f t="array" aca="1" ref="H16" ca="1">_xlfn.ARRAYTOTEXT(_FV(Table2[[#This Row],[Country]],"Leader(s)",TRUE))</f>
        <v>Ahmad Nawaf Al-Ahmad Al-Sabah (Prime minister)</v>
      </c>
      <c r="K16" s="3" t="e" vm="106">
        <v>#VALUE!</v>
      </c>
      <c r="L16" s="13" cm="1">
        <f t="array" aca="1" ref="L16" ca="1">_FV(Table3[[#This Row],[Currency Pair]],"52 week high",TRUE)</f>
        <v>7.3509000000000002</v>
      </c>
      <c r="M16" s="13" cm="1">
        <f t="array" aca="1" ref="M16" ca="1">_FV(Table3[[#This Row],[Currency Pair]],"52 week low",TRUE)</f>
        <v>7.0857999999999999</v>
      </c>
      <c r="N16" s="13" cm="1">
        <f t="array" aca="1" ref="N16" ca="1">_FV(Table3[[#This Row],[Currency Pair]],"Price")</f>
        <v>7.1127000000000002</v>
      </c>
      <c r="O16" s="5" t="str" cm="1">
        <f t="array" aca="1" ref="O16" ca="1">_FV(Table3[[#This Row],[Currency Pair]],"Instrument type",TRUE)</f>
        <v>Currency Pair</v>
      </c>
      <c r="P16" s="5" t="str" cm="1">
        <f t="array" aca="1" ref="P16" ca="1">_FV(Table3[[#This Row],[Currency Pair]],"Ticker symbol",TRUE)</f>
        <v>USDCNY</v>
      </c>
      <c r="Q16" s="5" cm="1">
        <f t="array" aca="1" ref="Q16" ca="1">_FV(Table3[[#This Row],[Currency Pair]],"Change (%)",TRUE)</f>
        <v>-1.1799999999999998E-3</v>
      </c>
      <c r="R16" s="5" cm="1">
        <f t="array" aca="1" ref="R16" ca="1">_FV(Table3[[#This Row],[Currency Pair]],"Last trade time",TRUE)</f>
        <v>45957.217685185184</v>
      </c>
      <c r="W16" s="3" t="e" vm="107">
        <v>#VALUE!</v>
      </c>
      <c r="X16" s="6" cm="1">
        <f t="array" aca="1" ref="X16" ca="1">_FV(Table4[[#This Row],[Company]],"52 week high",TRUE)</f>
        <v>325.99990000000003</v>
      </c>
      <c r="Y16" s="6" cm="1">
        <f t="array" aca="1" ref="Y16" ca="1">_FV(Table4[[#This Row],[Company]],"Change")</f>
        <v>-2.37</v>
      </c>
      <c r="Z16" s="4" t="str" cm="1">
        <f t="array" aca="1" ref="Z16" ca="1">_FV(Table4[[#This Row],[Company]],"Headquarters")</f>
        <v>Level 6, 341 George Street,, SYDNEY, NEW SOUTH WALES, 2000 AU</v>
      </c>
      <c r="AA16" s="60" cm="1">
        <f t="array" aca="1" ref="AA16" ca="1">_FV(Table4[[#This Row],[Company]],"Employees")</f>
        <v>13813</v>
      </c>
      <c r="AB16" s="4" t="str" cm="1">
        <f t="array" aca="1" ref="AB16" ca="1">_FV(Table4[[#This Row],[Company]],"Official name",TRUE)</f>
        <v>ATLASSIAN CORPORATION</v>
      </c>
      <c r="AC16" s="4" t="str" cm="1">
        <f t="array" aca="1" ref="AC16" ca="1">_FV(Table4[[#This Row],[Company]],"Industry")</f>
        <v>Software &amp; IT Services</v>
      </c>
      <c r="AD16" s="61" cm="1">
        <f t="array" aca="1" ref="AD16" ca="1">_FV(Table4[[#This Row],[Company]],"Year incorporated",TRUE)</f>
        <v>2022</v>
      </c>
      <c r="AE16" s="6" cm="1">
        <f t="array" aca="1" ref="AE16" ca="1">_FV(Table4[[#This Row],[Company]],"52 week low",TRUE)</f>
        <v>144.32</v>
      </c>
      <c r="AF16" s="4" t="str" cm="1">
        <f t="array" aca="1" ref="AF16" ca="1">_FV(Table4[[#This Row],[Company]],"Headquarters")</f>
        <v>Level 6, 341 George Street,, SYDNEY, NEW SOUTH WALES, 2000 AU</v>
      </c>
      <c r="AG16" s="6" cm="1">
        <f t="array" aca="1" ref="AG16" ca="1">_FV(Table4[[#This Row],[Company]],"Low")</f>
        <v>162.15</v>
      </c>
    </row>
    <row r="17" spans="1:33" ht="87.65" x14ac:dyDescent="0.4">
      <c r="A17" s="1" t="e" vm="108">
        <v>#VALUE!</v>
      </c>
      <c r="B17" s="1" cm="1" vm="109">
        <f t="array" aca="1" ref="B17" ca="1">_FV(Table2[[#This Row],[Country]],"Calling code",TRUE)</f>
        <v>996</v>
      </c>
      <c r="C17" s="1" cm="1" vm="110">
        <f t="array" aca="1" ref="C17" ca="1">_FV(Table2[[#This Row],[Country]],"GDP")</f>
        <v>8454619607.8179502</v>
      </c>
      <c r="D17" s="1" t="str" cm="1">
        <f t="array" aca="1" ref="D17" ca="1">_FV(Table2[[#This Row],[Country]],"National anthem",TRUE)</f>
        <v>National Anthem of the Kyrgyz Republic</v>
      </c>
      <c r="E17" s="1" t="e" cm="1" vm="111">
        <f t="array" aca="1" ref="E17" ca="1">_FV(Table2[[#This Row],[Country]],"Largest city",TRUE)</f>
        <v>#VALUE!</v>
      </c>
      <c r="F17" s="1" t="e" cm="1" vm="112">
        <f t="array" aca="1" ref="F17" ca="1">_FV(Table2[[#This Row],[Country]],"Image")</f>
        <v>#VALUE!</v>
      </c>
      <c r="G17" s="1" t="e" cm="1" vm="111">
        <f t="array" aca="1" ref="G17" ca="1">_FV(Table2[[#This Row],[Country]],"Capital/Major City",TRUE)</f>
        <v>#VALUE!</v>
      </c>
      <c r="H17" s="1" t="str" cm="1">
        <f t="array" aca="1" ref="H17" ca="1">_xlfn.ARRAYTOTEXT(_FV(Table2[[#This Row],[Country]],"Leader(s)",TRUE))</f>
        <v>Sadyr Japarov (President)</v>
      </c>
      <c r="K17" s="3" t="e" vm="113">
        <v>#VALUE!</v>
      </c>
      <c r="L17" s="6" cm="1">
        <f t="array" aca="1" ref="L17" ca="1">_FV(Table3[[#This Row],[Currency Pair]],"52 week high",TRUE)</f>
        <v>0.1411</v>
      </c>
      <c r="M17" s="6" cm="1">
        <f t="array" aca="1" ref="M17" ca="1">_FV(Table3[[#This Row],[Currency Pair]],"52 week low",TRUE)</f>
        <v>0.13600000000000001</v>
      </c>
      <c r="N17" s="6" cm="1">
        <f t="array" aca="1" ref="N17" ca="1">_FV(Table3[[#This Row],[Currency Pair]],"Price")</f>
        <v>0.1406</v>
      </c>
      <c r="O17" s="5" t="str" cm="1">
        <f t="array" aca="1" ref="O17" ca="1">_FV(Table3[[#This Row],[Currency Pair]],"Instrument type",TRUE)</f>
        <v>Currency Pair</v>
      </c>
      <c r="P17" s="5" t="str" cm="1">
        <f t="array" aca="1" ref="P17" ca="1">_FV(Table3[[#This Row],[Currency Pair]],"Ticker symbol",TRUE)</f>
        <v>CNYUSD</v>
      </c>
      <c r="Q17" s="5" cm="1">
        <f t="array" aca="1" ref="Q17" ca="1">_FV(Table3[[#This Row],[Currency Pair]],"Change (%)",TRUE)</f>
        <v>1.196E-3</v>
      </c>
      <c r="R17" s="5" cm="1">
        <f t="array" aca="1" ref="R17" ca="1">_FV(Table3[[#This Row],[Currency Pair]],"Last trade time",TRUE)</f>
        <v>45957.217685185184</v>
      </c>
      <c r="W17" s="3" t="e" vm="114">
        <v>#VALUE!</v>
      </c>
      <c r="X17" s="6" cm="1">
        <f t="array" aca="1" ref="X17" ca="1">_FV(Table4[[#This Row],[Company]],"52 week high",TRUE)</f>
        <v>100</v>
      </c>
      <c r="Y17" s="6" cm="1">
        <f t="array" aca="1" ref="Y17" ca="1">_FV(Table4[[#This Row],[Company]],"Change")</f>
        <v>0</v>
      </c>
      <c r="Z17" s="4" t="str" cm="1">
        <f t="array" aca="1" ref="Z17" ca="1">_FV(Table4[[#This Row],[Company]],"Headquarters")</f>
        <v>1955 Broadway, Suite 600, OAKLAND, CA, 94612 US</v>
      </c>
      <c r="AA17" s="60" cm="1">
        <f t="array" aca="1" ref="AA17" ca="1">_FV(Table4[[#This Row],[Company]],"Employees")</f>
        <v>11372</v>
      </c>
      <c r="AB17" s="4" t="str" cm="1">
        <f t="array" aca="1" ref="AB17" ca="1">_FV(Table4[[#This Row],[Company]],"Official name",TRUE)</f>
        <v>BLOCK, INC.</v>
      </c>
      <c r="AC17" s="4" t="str" cm="1">
        <f t="array" aca="1" ref="AC17" ca="1">_FV(Table4[[#This Row],[Company]],"Industry")</f>
        <v>Professional &amp; Commercial Services</v>
      </c>
      <c r="AD17" s="61" cm="1">
        <f t="array" aca="1" ref="AD17" ca="1">_FV(Table4[[#This Row],[Company]],"Year incorporated",TRUE)</f>
        <v>2009</v>
      </c>
      <c r="AE17" s="6" cm="1">
        <f t="array" aca="1" ref="AE17" ca="1">_FV(Table4[[#This Row],[Company]],"52 week low",TRUE)</f>
        <v>41.805</v>
      </c>
      <c r="AF17" s="4" t="str" cm="1">
        <f t="array" aca="1" ref="AF17" ca="1">_FV(Table4[[#This Row],[Company]],"Headquarters")</f>
        <v>1955 Broadway, Suite 600, OAKLAND, CA, 94612 US</v>
      </c>
      <c r="AG17" s="4" t="e" cm="1" vm="115">
        <f t="array" ref="AG17">_FV(Table4[[#This Row],[Company]],"Low")</f>
        <v>#VALUE!</v>
      </c>
    </row>
    <row r="18" spans="1:33" ht="87.65" x14ac:dyDescent="0.4">
      <c r="A18" s="1" t="e" vm="116">
        <v>#VALUE!</v>
      </c>
      <c r="B18" s="1" cm="1" vm="117">
        <f t="array" aca="1" ref="B18" ca="1">_FV(Table2[[#This Row],[Country]],"Calling code",TRUE)</f>
        <v>856</v>
      </c>
      <c r="C18" s="1" cm="1" vm="118">
        <f t="array" aca="1" ref="C18" ca="1">_FV(Table2[[#This Row],[Country]],"GDP")</f>
        <v>18173839128.269901</v>
      </c>
      <c r="D18" s="1" t="str" cm="1">
        <f t="array" aca="1" ref="D18" ca="1">_FV(Table2[[#This Row],[Country]],"National anthem",TRUE)</f>
        <v>Pheng Xat Lao</v>
      </c>
      <c r="E18" s="1" t="e" cm="1" vm="119">
        <f t="array" aca="1" ref="E18" ca="1">_FV(Table2[[#This Row],[Country]],"Largest city",TRUE)</f>
        <v>#VALUE!</v>
      </c>
      <c r="F18" s="1" t="e" cm="1" vm="120">
        <f t="array" aca="1" ref="F18" ca="1">_FV(Table2[[#This Row],[Country]],"Image")</f>
        <v>#VALUE!</v>
      </c>
      <c r="G18" s="1" t="e" cm="1" vm="119">
        <f t="array" aca="1" ref="G18" ca="1">_FV(Table2[[#This Row],[Country]],"Capital/Major City",TRUE)</f>
        <v>#VALUE!</v>
      </c>
      <c r="H18" s="1" t="str" cm="1">
        <f t="array" aca="1" ref="H18" ca="1">_xlfn.ARRAYTOTEXT(_FV(Table2[[#This Row],[Country]],"Leader(s)",TRUE))</f>
        <v>Thongloun Sisoulith (President), Bounthong Chitmany (Vice president), Sonexay Siphandone (Prime minister)</v>
      </c>
      <c r="K18" s="3" t="e" vm="121">
        <v>#VALUE!</v>
      </c>
      <c r="L18" s="14" cm="1">
        <f t="array" aca="1" ref="L18" ca="1">_FV(Table3[[#This Row],[Currency Pair]],"52 week high",TRUE)</f>
        <v>1.375</v>
      </c>
      <c r="M18" s="14" cm="1">
        <f t="array" aca="1" ref="M18" ca="1">_FV(Table3[[#This Row],[Currency Pair]],"52 week low",TRUE)</f>
        <v>1.2695000000000001</v>
      </c>
      <c r="N18" s="14" cm="1">
        <f t="array" aca="1" ref="N18" ca="1">_FV(Table3[[#This Row],[Currency Pair]],"Price")</f>
        <v>1.2978000000000001</v>
      </c>
      <c r="O18" s="5" t="str" cm="1">
        <f t="array" aca="1" ref="O18" ca="1">_FV(Table3[[#This Row],[Currency Pair]],"Instrument type",TRUE)</f>
        <v>Currency Pair</v>
      </c>
      <c r="P18" s="5" t="str" cm="1">
        <f t="array" aca="1" ref="P18" ca="1">_FV(Table3[[#This Row],[Currency Pair]],"Ticker symbol",TRUE)</f>
        <v>USDSGD</v>
      </c>
      <c r="Q18" s="5" cm="1">
        <f t="array" aca="1" ref="Q18" ca="1">_FV(Table3[[#This Row],[Currency Pair]],"Change (%)",TRUE)</f>
        <v>-2.3109999999999998E-4</v>
      </c>
      <c r="R18" s="5" cm="1">
        <f t="array" aca="1" ref="R18" ca="1">_FV(Table3[[#This Row],[Currency Pair]],"Last trade time",TRUE)</f>
        <v>45957.217731481483</v>
      </c>
      <c r="W18" s="3" t="e" vm="122">
        <v>#VALUE!</v>
      </c>
      <c r="X18" s="6" cm="1">
        <f t="array" aca="1" ref="X18" ca="1">_FV(Table4[[#This Row],[Company]],"52 week high",TRUE)</f>
        <v>285.5</v>
      </c>
      <c r="Y18" s="6" cm="1">
        <f t="array" aca="1" ref="Y18" ca="1">_FV(Table4[[#This Row],[Company]],"Change")</f>
        <v>3.56</v>
      </c>
      <c r="Z18" s="4" t="str" cm="1">
        <f t="array" aca="1" ref="Z18" ca="1">_FV(Table4[[#This Row],[Company]],"Headquarters")</f>
        <v>303 2nd Street, South Tower, 8th Floor, San Francisco, CA, 94107 US</v>
      </c>
      <c r="AA18" s="60" cm="1">
        <f t="array" aca="1" ref="AA18" ca="1">_FV(Table4[[#This Row],[Company]],"Employees")</f>
        <v>23700</v>
      </c>
      <c r="AB18" s="4" t="str" cm="1">
        <f t="array" aca="1" ref="AB18" ca="1">_FV(Table4[[#This Row],[Company]],"Official name",TRUE)</f>
        <v>DOORDASH, INC.</v>
      </c>
      <c r="AC18" s="4" t="str" cm="1">
        <f t="array" aca="1" ref="AC18" ca="1">_FV(Table4[[#This Row],[Company]],"Industry")</f>
        <v>Software &amp; IT Services</v>
      </c>
      <c r="AD18" s="61" cm="1">
        <f t="array" aca="1" ref="AD18" ca="1">_FV(Table4[[#This Row],[Company]],"Year incorporated",TRUE)</f>
        <v>2013</v>
      </c>
      <c r="AE18" s="6" cm="1">
        <f t="array" aca="1" ref="AE18" ca="1">_FV(Table4[[#This Row],[Company]],"52 week low",TRUE)</f>
        <v>152.26009999999999</v>
      </c>
      <c r="AF18" s="4" t="str" cm="1">
        <f t="array" aca="1" ref="AF18" ca="1">_FV(Table4[[#This Row],[Company]],"Headquarters")</f>
        <v>303 2nd Street, South Tower, 8th Floor, San Francisco, CA, 94107 US</v>
      </c>
      <c r="AG18" s="6" cm="1">
        <f t="array" aca="1" ref="AG18" ca="1">_FV(Table4[[#This Row],[Company]],"Low")</f>
        <v>253.24</v>
      </c>
    </row>
    <row r="19" spans="1:33" ht="52.6" x14ac:dyDescent="0.4">
      <c r="A19" s="1" t="e" vm="123">
        <v>#VALUE!</v>
      </c>
      <c r="B19" s="1" cm="1" vm="124">
        <f t="array" aca="1" ref="B19" ca="1">_FV(Table2[[#This Row],[Country]],"Calling code",TRUE)</f>
        <v>371</v>
      </c>
      <c r="C19" s="1" cm="1" vm="125">
        <f t="array" aca="1" ref="C19" ca="1">_FV(Table2[[#This Row],[Country]],"GDP")</f>
        <v>34117202555.066601</v>
      </c>
      <c r="D19" s="1" t="str" cm="1">
        <f t="array" aca="1" ref="D19" ca="1">_FV(Table2[[#This Row],[Country]],"National anthem",TRUE)</f>
        <v>Dievs, svētī Latviju!</v>
      </c>
      <c r="E19" s="1" t="e" cm="1" vm="126">
        <f t="array" aca="1" ref="E19" ca="1">_FV(Table2[[#This Row],[Country]],"Largest city",TRUE)</f>
        <v>#VALUE!</v>
      </c>
      <c r="F19" s="1" t="e" cm="1" vm="127">
        <f t="array" aca="1" ref="F19" ca="1">_FV(Table2[[#This Row],[Country]],"Image")</f>
        <v>#VALUE!</v>
      </c>
      <c r="G19" s="1" t="e" cm="1" vm="126">
        <f t="array" aca="1" ref="G19" ca="1">_FV(Table2[[#This Row],[Country]],"Capital/Major City",TRUE)</f>
        <v>#VALUE!</v>
      </c>
      <c r="H19" s="1" t="str" cm="1">
        <f t="array" aca="1" ref="H19" ca="1">_xlfn.ARRAYTOTEXT(_FV(Table2[[#This Row],[Country]],"Leader(s)",TRUE))</f>
        <v>Edgars Rinkēvičs (President), Evika Siliņa (Prime minister)</v>
      </c>
      <c r="K19" s="3" t="e" vm="128">
        <v>#VALUE!</v>
      </c>
      <c r="L19" s="6" cm="1">
        <f t="array" aca="1" ref="L19" ca="1">_FV(Table3[[#This Row],[Currency Pair]],"52 week high",TRUE)</f>
        <v>0.78749999999999998</v>
      </c>
      <c r="M19" s="6" cm="1">
        <f t="array" aca="1" ref="M19" ca="1">_FV(Table3[[#This Row],[Currency Pair]],"52 week low",TRUE)</f>
        <v>0.72699999999999998</v>
      </c>
      <c r="N19" s="6" cm="1">
        <f t="array" aca="1" ref="N19" ca="1">_FV(Table3[[#This Row],[Currency Pair]],"Price")</f>
        <v>0.77010000000000001</v>
      </c>
      <c r="O19" s="5" t="str" cm="1">
        <f t="array" aca="1" ref="O19" ca="1">_FV(Table3[[#This Row],[Currency Pair]],"Instrument type",TRUE)</f>
        <v>Currency Pair</v>
      </c>
      <c r="P19" s="5" t="str" cm="1">
        <f t="array" aca="1" ref="P19" ca="1">_FV(Table3[[#This Row],[Currency Pair]],"Ticker symbol",TRUE)</f>
        <v>SGDUSD</v>
      </c>
      <c r="Q19" s="5" cm="1">
        <f t="array" aca="1" ref="Q19" ca="1">_FV(Table3[[#This Row],[Currency Pair]],"Change (%)",TRUE)</f>
        <v>5.197E-4</v>
      </c>
      <c r="R19" s="5" cm="1">
        <f t="array" aca="1" ref="R19" ca="1">_FV(Table3[[#This Row],[Currency Pair]],"Last trade time",TRUE)</f>
        <v>45957.217731481483</v>
      </c>
      <c r="W19" s="3" t="e" vm="129">
        <v>#VALUE!</v>
      </c>
      <c r="X19" s="6" cm="1">
        <f t="array" aca="1" ref="X19" ca="1">_FV(Table4[[#This Row],[Company]],"52 week high",TRUE)</f>
        <v>93.66</v>
      </c>
      <c r="Y19" s="6" cm="1">
        <f t="array" aca="1" ref="Y19" ca="1">_FV(Table4[[#This Row],[Company]],"Change")</f>
        <v>0.11</v>
      </c>
      <c r="Z19" s="4" t="str" cm="1">
        <f t="array" aca="1" ref="Z19" ca="1">_FV(Table4[[#This Row],[Company]],"Headquarters")</f>
        <v>2211 N 1st St, SAN JOSE, CA, 95131 US</v>
      </c>
      <c r="AA19" s="60" cm="1">
        <f t="array" aca="1" ref="AA19" ca="1">_FV(Table4[[#This Row],[Company]],"Employees")</f>
        <v>24400</v>
      </c>
      <c r="AB19" s="4" t="str" cm="1">
        <f t="array" aca="1" ref="AB19" ca="1">_FV(Table4[[#This Row],[Company]],"Official name",TRUE)</f>
        <v>PAYPAL HOLDINGS, INC.</v>
      </c>
      <c r="AC19" s="4" t="str" cm="1">
        <f t="array" aca="1" ref="AC19" ca="1">_FV(Table4[[#This Row],[Company]],"Industry")</f>
        <v>Professional &amp; Commercial Services</v>
      </c>
      <c r="AD19" s="61" cm="1">
        <f t="array" aca="1" ref="AD19" ca="1">_FV(Table4[[#This Row],[Company]],"Year incorporated",TRUE)</f>
        <v>2015</v>
      </c>
      <c r="AE19" s="6" cm="1">
        <f t="array" aca="1" ref="AE19" ca="1">_FV(Table4[[#This Row],[Company]],"52 week low",TRUE)</f>
        <v>55.85</v>
      </c>
      <c r="AF19" s="4" t="str" cm="1">
        <f t="array" aca="1" ref="AF19" ca="1">_FV(Table4[[#This Row],[Company]],"Headquarters")</f>
        <v>2211 N 1st St, SAN JOSE, CA, 95131 US</v>
      </c>
      <c r="AG19" s="6" cm="1">
        <f t="array" aca="1" ref="AG19" ca="1">_FV(Table4[[#This Row],[Company]],"Low")</f>
        <v>69.739999999999995</v>
      </c>
    </row>
    <row r="20" spans="1:33" ht="70.150000000000006" x14ac:dyDescent="0.4">
      <c r="A20" s="1" t="e" vm="130">
        <v>#VALUE!</v>
      </c>
      <c r="B20" s="1" cm="1" vm="131">
        <f t="array" aca="1" ref="B20" ca="1">_FV(Table2[[#This Row],[Country]],"Calling code",TRUE)</f>
        <v>961</v>
      </c>
      <c r="C20" s="1" cm="1" vm="132">
        <f t="array" aca="1" ref="C20" ca="1">_FV(Table2[[#This Row],[Country]],"GDP")</f>
        <v>53367042272.172501</v>
      </c>
      <c r="D20" s="1" t="str" cm="1">
        <f t="array" aca="1" ref="D20" ca="1">_FV(Table2[[#This Row],[Country]],"National anthem",TRUE)</f>
        <v>Lebanese national anthem</v>
      </c>
      <c r="E20" s="1" t="e" cm="1" vm="133">
        <f t="array" aca="1" ref="E20" ca="1">_FV(Table2[[#This Row],[Country]],"Largest city",TRUE)</f>
        <v>#VALUE!</v>
      </c>
      <c r="F20" s="1" t="e" cm="1" vm="134">
        <f t="array" aca="1" ref="F20" ca="1">_FV(Table2[[#This Row],[Country]],"Image")</f>
        <v>#VALUE!</v>
      </c>
      <c r="G20" s="1" t="e" cm="1" vm="133">
        <f t="array" aca="1" ref="G20" ca="1">_FV(Table2[[#This Row],[Country]],"Capital/Major City",TRUE)</f>
        <v>#VALUE!</v>
      </c>
      <c r="H20" s="1" t="str" cm="1">
        <f t="array" aca="1" ref="H20" ca="1">_xlfn.ARRAYTOTEXT(_FV(Table2[[#This Row],[Country]],"Leader(s)",TRUE))</f>
        <v>Najib Mikati (Prime minister)</v>
      </c>
      <c r="K20" s="3" t="e" vm="135">
        <v>#VALUE!</v>
      </c>
      <c r="L20" s="15" cm="1">
        <f t="array" aca="1" ref="L20" ca="1">_FV(Table3[[#This Row],[Currency Pair]],"52 week high",TRUE)</f>
        <v>7.85</v>
      </c>
      <c r="M20" s="15" cm="1">
        <f t="array" aca="1" ref="M20" ca="1">_FV(Table3[[#This Row],[Currency Pair]],"52 week low",TRUE)</f>
        <v>7.7496</v>
      </c>
      <c r="N20" s="15" cm="1">
        <f t="array" aca="1" ref="N20" ca="1">_FV(Table3[[#This Row],[Currency Pair]],"Price")</f>
        <v>7.7683</v>
      </c>
      <c r="O20" s="5" t="str" cm="1">
        <f t="array" aca="1" ref="O20" ca="1">_FV(Table3[[#This Row],[Currency Pair]],"Instrument type",TRUE)</f>
        <v>Currency Pair</v>
      </c>
      <c r="P20" s="5" t="str" cm="1">
        <f t="array" aca="1" ref="P20" ca="1">_FV(Table3[[#This Row],[Currency Pair]],"Ticker symbol",TRUE)</f>
        <v>USDHKD</v>
      </c>
      <c r="Q20" s="5" cm="1">
        <f t="array" aca="1" ref="Q20" ca="1">_FV(Table3[[#This Row],[Currency Pair]],"Change (%)",TRUE)</f>
        <v>-1.6729999999999997E-4</v>
      </c>
      <c r="R20" s="5" cm="1">
        <f t="array" aca="1" ref="R20" ca="1">_FV(Table3[[#This Row],[Currency Pair]],"Last trade time",TRUE)</f>
        <v>45957.217650462961</v>
      </c>
      <c r="W20" s="3" t="e" vm="136">
        <v>#VALUE!</v>
      </c>
      <c r="X20" s="6" cm="1">
        <f t="array" aca="1" ref="X20" ca="1">_FV(Table4[[#This Row],[Company]],"52 week high",TRUE)</f>
        <v>1198.0899999999999</v>
      </c>
      <c r="Y20" s="6" cm="1">
        <f t="array" aca="1" ref="Y20" ca="1">_FV(Table4[[#This Row],[Company]],"Change")</f>
        <v>-9</v>
      </c>
      <c r="Z20" s="4" t="str" cm="1">
        <f t="array" aca="1" ref="Z20" ca="1">_FV(Table4[[#This Row],[Company]],"Headquarters")</f>
        <v>2225 Lawson Lane, SANTA CLARA, CA, 95054 US</v>
      </c>
      <c r="AA20" s="60" cm="1">
        <f t="array" aca="1" ref="AA20" ca="1">_FV(Table4[[#This Row],[Company]],"Employees")</f>
        <v>26293</v>
      </c>
      <c r="AB20" s="4" t="str" cm="1">
        <f t="array" aca="1" ref="AB20" ca="1">_FV(Table4[[#This Row],[Company]],"Official name",TRUE)</f>
        <v>SERVICENOW, INC.</v>
      </c>
      <c r="AC20" s="4" t="str" cm="1">
        <f t="array" aca="1" ref="AC20" ca="1">_FV(Table4[[#This Row],[Company]],"Industry")</f>
        <v>Software &amp; IT Services</v>
      </c>
      <c r="AD20" s="61" cm="1">
        <f t="array" aca="1" ref="AD20" ca="1">_FV(Table4[[#This Row],[Company]],"Year incorporated",TRUE)</f>
        <v>2012</v>
      </c>
      <c r="AE20" s="6" cm="1">
        <f t="array" aca="1" ref="AE20" ca="1">_FV(Table4[[#This Row],[Company]],"52 week low",TRUE)</f>
        <v>678.65880000000004</v>
      </c>
      <c r="AF20" s="4" t="str" cm="1">
        <f t="array" aca="1" ref="AF20" ca="1">_FV(Table4[[#This Row],[Company]],"Headquarters")</f>
        <v>2225 Lawson Lane, SANTA CLARA, CA, 95054 US</v>
      </c>
      <c r="AG20" s="6" cm="1">
        <f t="array" aca="1" ref="AG20" ca="1">_FV(Table4[[#This Row],[Company]],"Low")</f>
        <v>928.88</v>
      </c>
    </row>
    <row r="21" spans="1:33" ht="87.65" x14ac:dyDescent="0.4">
      <c r="A21" s="1" t="e" vm="137">
        <v>#VALUE!</v>
      </c>
      <c r="B21" s="1" cm="1" vm="138">
        <f t="array" aca="1" ref="B21" ca="1">_FV(Table2[[#This Row],[Country]],"Calling code",TRUE)</f>
        <v>266</v>
      </c>
      <c r="C21" s="1" cm="1" vm="139">
        <f t="array" aca="1" ref="C21" ca="1">_FV(Table2[[#This Row],[Country]],"GDP")</f>
        <v>2460072443.6284199</v>
      </c>
      <c r="D21" s="1" t="str" cm="1">
        <f t="array" aca="1" ref="D21" ca="1">_FV(Table2[[#This Row],[Country]],"National anthem",TRUE)</f>
        <v>Lesotho Fatse La Bontata Rona</v>
      </c>
      <c r="E21" s="1" t="e" cm="1" vm="140">
        <f t="array" aca="1" ref="E21" ca="1">_FV(Table2[[#This Row],[Country]],"Largest city",TRUE)</f>
        <v>#VALUE!</v>
      </c>
      <c r="F21" s="1" t="e" cm="1" vm="141">
        <f t="array" aca="1" ref="F21" ca="1">_FV(Table2[[#This Row],[Country]],"Image")</f>
        <v>#VALUE!</v>
      </c>
      <c r="G21" s="1" t="e" cm="1" vm="140">
        <f t="array" aca="1" ref="G21" ca="1">_FV(Table2[[#This Row],[Country]],"Capital/Major City",TRUE)</f>
        <v>#VALUE!</v>
      </c>
      <c r="H21" s="1" t="str" cm="1">
        <f t="array" aca="1" ref="H21" ca="1">_xlfn.ARRAYTOTEXT(_FV(Table2[[#This Row],[Country]],"Leader(s)",TRUE))</f>
        <v>Letsie III (Monarch), Sam Matekane (Prime minister)</v>
      </c>
      <c r="K21" s="3" t="e" vm="142">
        <v>#VALUE!</v>
      </c>
      <c r="L21" s="6" cm="1">
        <f t="array" aca="1" ref="L21" ca="1">_FV(Table3[[#This Row],[Currency Pair]],"52 week high",TRUE)</f>
        <v>0.129</v>
      </c>
      <c r="M21" s="6" cm="1">
        <f t="array" aca="1" ref="M21" ca="1">_FV(Table3[[#This Row],[Currency Pair]],"52 week low",TRUE)</f>
        <v>0.12740000000000001</v>
      </c>
      <c r="N21" s="6" cm="1">
        <f t="array" aca="1" ref="N21" ca="1">_FV(Table3[[#This Row],[Currency Pair]],"Price")</f>
        <v>0.12870000000000001</v>
      </c>
      <c r="O21" s="5" t="str" cm="1">
        <f t="array" aca="1" ref="O21" ca="1">_FV(Table3[[#This Row],[Currency Pair]],"Instrument type",TRUE)</f>
        <v>Currency Pair</v>
      </c>
      <c r="P21" s="5" t="str" cm="1">
        <f t="array" aca="1" ref="P21" ca="1">_FV(Table3[[#This Row],[Currency Pair]],"Ticker symbol",TRUE)</f>
        <v>HKDUSD</v>
      </c>
      <c r="Q21" s="5" cm="1">
        <f t="array" aca="1" ref="Q21" ca="1">_FV(Table3[[#This Row],[Currency Pair]],"Change (%)",TRUE)</f>
        <v>2.0979999999999998E-4</v>
      </c>
      <c r="R21" s="5" cm="1">
        <f t="array" aca="1" ref="R21" ca="1">_FV(Table3[[#This Row],[Currency Pair]],"Last trade time",TRUE)</f>
        <v>45957.217650462961</v>
      </c>
      <c r="W21" s="3" t="e" vm="143">
        <v>#VALUE!</v>
      </c>
      <c r="X21" s="6" cm="1">
        <f t="array" aca="1" ref="X21" ca="1">_FV(Table4[[#This Row],[Company]],"52 week high",TRUE)</f>
        <v>335.88</v>
      </c>
      <c r="Y21" s="6" cm="1">
        <f t="array" aca="1" ref="Y21" ca="1">_FV(Table4[[#This Row],[Company]],"Change")</f>
        <v>-1.1299999999999999</v>
      </c>
      <c r="Z21" s="4" t="str" cm="1">
        <f t="array" aca="1" ref="Z21" ca="1">_FV(Table4[[#This Row],[Company]],"Headquarters")</f>
        <v>One Amgen Center Drive, THOUSAND OAKS, CA, 91320-1799 US</v>
      </c>
      <c r="AA21" s="60" cm="1">
        <f t="array" aca="1" ref="AA21" ca="1">_FV(Table4[[#This Row],[Company]],"Employees")</f>
        <v>28000</v>
      </c>
      <c r="AB21" s="4" t="str" cm="1">
        <f t="array" aca="1" ref="AB21" ca="1">_FV(Table4[[#This Row],[Company]],"Official name",TRUE)</f>
        <v>AMGEN INC.</v>
      </c>
      <c r="AC21" s="4" t="str" cm="1">
        <f t="array" aca="1" ref="AC21" ca="1">_FV(Table4[[#This Row],[Company]],"Industry")</f>
        <v>Pharmaceuticals</v>
      </c>
      <c r="AD21" s="61" cm="1">
        <f t="array" aca="1" ref="AD21" ca="1">_FV(Table4[[#This Row],[Company]],"Year incorporated",TRUE)</f>
        <v>1986</v>
      </c>
      <c r="AE21" s="6" cm="1">
        <f t="array" aca="1" ref="AE21" ca="1">_FV(Table4[[#This Row],[Company]],"52 week low",TRUE)</f>
        <v>253.3</v>
      </c>
      <c r="AF21" s="4" t="str" cm="1">
        <f t="array" aca="1" ref="AF21" ca="1">_FV(Table4[[#This Row],[Company]],"Headquarters")</f>
        <v>One Amgen Center Drive, THOUSAND OAKS, CA, 91320-1799 US</v>
      </c>
      <c r="AG21" s="6" cm="1">
        <f t="array" aca="1" ref="AG21" ca="1">_FV(Table4[[#This Row],[Company]],"Low")</f>
        <v>290.66000000000003</v>
      </c>
    </row>
    <row r="22" spans="1:33" ht="87.65" x14ac:dyDescent="0.4">
      <c r="A22" s="1" t="e" vm="144">
        <v>#VALUE!</v>
      </c>
      <c r="B22" s="1" cm="1" vm="145">
        <f t="array" aca="1" ref="B22" ca="1">_FV(Table2[[#This Row],[Country]],"Calling code",TRUE)</f>
        <v>231</v>
      </c>
      <c r="C22" s="1" cm="1" vm="146">
        <f t="array" aca="1" ref="C22" ca="1">_FV(Table2[[#This Row],[Country]],"GDP")</f>
        <v>3070518100</v>
      </c>
      <c r="D22" s="1" t="str" cm="1">
        <f t="array" aca="1" ref="D22" ca="1">_FV(Table2[[#This Row],[Country]],"National anthem",TRUE)</f>
        <v>All Hail, Liberia, Hail!</v>
      </c>
      <c r="E22" s="1" t="e" cm="1" vm="147">
        <f t="array" aca="1" ref="E22" ca="1">_FV(Table2[[#This Row],[Country]],"Largest city",TRUE)</f>
        <v>#VALUE!</v>
      </c>
      <c r="F22" s="1" t="e" cm="1" vm="148">
        <f t="array" aca="1" ref="F22" ca="1">_FV(Table2[[#This Row],[Country]],"Image")</f>
        <v>#VALUE!</v>
      </c>
      <c r="G22" s="1" t="e" cm="1" vm="147">
        <f t="array" aca="1" ref="G22" ca="1">_FV(Table2[[#This Row],[Country]],"Capital/Major City",TRUE)</f>
        <v>#VALUE!</v>
      </c>
      <c r="H22" s="1" t="str" cm="1">
        <f t="array" aca="1" ref="H22" ca="1">_xlfn.ARRAYTOTEXT(_FV(Table2[[#This Row],[Country]],"Leader(s)",TRUE))</f>
        <v>George Weah (President), Jewel Taylor (Vice president), Bhofal Chambers (Speaker), Sie-A-Nyene Yuoh (Chief justice)</v>
      </c>
      <c r="K22" s="3" t="e" vm="149">
        <v>#VALUE!</v>
      </c>
      <c r="L22" s="16" cm="1">
        <f t="array" aca="1" ref="L22" ca="1">_FV(Table3[[#This Row],[Currency Pair]],"52 week high",TRUE)</f>
        <v>11.3207</v>
      </c>
      <c r="M22" s="16" cm="1">
        <f t="array" aca="1" ref="M22" ca="1">_FV(Table3[[#This Row],[Currency Pair]],"52 week low",TRUE)</f>
        <v>9.1842000000000006</v>
      </c>
      <c r="N22" s="16" cm="1">
        <f t="array" aca="1" ref="N22" ca="1">_FV(Table3[[#This Row],[Currency Pair]],"Price")</f>
        <v>9.3867999999999991</v>
      </c>
      <c r="O22" s="5" t="str" cm="1">
        <f t="array" aca="1" ref="O22" ca="1">_FV(Table3[[#This Row],[Currency Pair]],"Instrument type",TRUE)</f>
        <v>Currency Pair</v>
      </c>
      <c r="P22" s="5" t="str" cm="1">
        <f t="array" aca="1" ref="P22" ca="1">_FV(Table3[[#This Row],[Currency Pair]],"Ticker symbol",TRUE)</f>
        <v>USDSEK</v>
      </c>
      <c r="Q22" s="5" cm="1">
        <f t="array" aca="1" ref="Q22" ca="1">_FV(Table3[[#This Row],[Currency Pair]],"Change (%)",TRUE)</f>
        <v>4.9029999999999994E-4</v>
      </c>
      <c r="R22" s="5" cm="1">
        <f t="array" aca="1" ref="R22" ca="1">_FV(Table3[[#This Row],[Currency Pair]],"Last trade time",TRUE)</f>
        <v>45957.217719907407</v>
      </c>
      <c r="W22" s="3" t="e" vm="150">
        <v>#VALUE!</v>
      </c>
      <c r="X22" s="6" cm="1">
        <f t="array" aca="1" ref="X22" ca="1">_FV(Table4[[#This Row],[Company]],"52 week high",TRUE)</f>
        <v>195.62</v>
      </c>
      <c r="Y22" s="6" cm="1">
        <f t="array" aca="1" ref="Y22" ca="1">_FV(Table4[[#This Row],[Company]],"Change")</f>
        <v>4.0999999999999996</v>
      </c>
      <c r="Z22" s="4" t="str" cm="1">
        <f t="array" aca="1" ref="Z22" ca="1">_FV(Table4[[#This Row],[Company]],"Headquarters")</f>
        <v>2788 San Tomas Expressway, SANTA CLARA, CA, 95051 US</v>
      </c>
      <c r="AA22" s="60" cm="1">
        <f t="array" aca="1" ref="AA22" ca="1">_FV(Table4[[#This Row],[Company]],"Employees")</f>
        <v>36000</v>
      </c>
      <c r="AB22" s="4" t="str" cm="1">
        <f t="array" aca="1" ref="AB22" ca="1">_FV(Table4[[#This Row],[Company]],"Official name",TRUE)</f>
        <v>NVIDIA CORPORATION</v>
      </c>
      <c r="AC22" s="4" t="str" cm="1">
        <f t="array" aca="1" ref="AC22" ca="1">_FV(Table4[[#This Row],[Company]],"Industry")</f>
        <v>Semiconductors &amp; Semiconductor Equipment</v>
      </c>
      <c r="AD22" s="61" cm="1">
        <f t="array" aca="1" ref="AD22" ca="1">_FV(Table4[[#This Row],[Company]],"Year incorporated",TRUE)</f>
        <v>1998</v>
      </c>
      <c r="AE22" s="6" cm="1">
        <f t="array" aca="1" ref="AE22" ca="1">_FV(Table4[[#This Row],[Company]],"52 week low",TRUE)</f>
        <v>86.62</v>
      </c>
      <c r="AF22" s="4" t="str" cm="1">
        <f t="array" aca="1" ref="AF22" ca="1">_FV(Table4[[#This Row],[Company]],"Headquarters")</f>
        <v>2788 San Tomas Expressway, SANTA CLARA, CA, 95051 US</v>
      </c>
      <c r="AG22" s="6" cm="1">
        <f t="array" aca="1" ref="AG22" ca="1">_FV(Table4[[#This Row],[Company]],"Low")</f>
        <v>183.5</v>
      </c>
    </row>
    <row r="23" spans="1:33" ht="70.150000000000006" x14ac:dyDescent="0.4">
      <c r="A23" s="1" t="e" vm="151">
        <v>#VALUE!</v>
      </c>
      <c r="B23" s="1" cm="1" vm="152">
        <f t="array" aca="1" ref="B23" ca="1">_FV(Table2[[#This Row],[Country]],"Calling code",TRUE)</f>
        <v>218</v>
      </c>
      <c r="C23" s="1" cm="1" vm="153">
        <f t="array" aca="1" ref="C23" ca="1">_FV(Table2[[#This Row],[Country]],"GDP")</f>
        <v>52076250947.579201</v>
      </c>
      <c r="D23" s="1" t="str" cm="1">
        <f t="array" aca="1" ref="D23" ca="1">_FV(Table2[[#This Row],[Country]],"National anthem",TRUE)</f>
        <v>Libya, Libya, Libya</v>
      </c>
      <c r="E23" s="1" t="e" cm="1" vm="154">
        <f t="array" aca="1" ref="E23" ca="1">_FV(Table2[[#This Row],[Country]],"Largest city",TRUE)</f>
        <v>#VALUE!</v>
      </c>
      <c r="F23" s="1" t="e" cm="1" vm="155">
        <f t="array" aca="1" ref="F23" ca="1">_FV(Table2[[#This Row],[Country]],"Image")</f>
        <v>#VALUE!</v>
      </c>
      <c r="G23" s="1" t="e" cm="1" vm="154">
        <f t="array" aca="1" ref="G23" ca="1">_FV(Table2[[#This Row],[Country]],"Capital/Major City",TRUE)</f>
        <v>#VALUE!</v>
      </c>
      <c r="H23" s="1" t="str" cm="1">
        <f t="array" aca="1" ref="H23" ca="1">_xlfn.ARRAYTOTEXT(_FV(Table2[[#This Row],[Country]],"Leader(s)",TRUE))</f>
        <v>Abdul Hamid Dbeibeh (Prime minister)</v>
      </c>
      <c r="K23" s="3" t="e" vm="156">
        <v>#VALUE!</v>
      </c>
      <c r="L23" s="6" cm="1">
        <f t="array" aca="1" ref="L23" ca="1">_FV(Table3[[#This Row],[Currency Pair]],"52 week high",TRUE)</f>
        <v>0.1087</v>
      </c>
      <c r="M23" s="6" cm="1">
        <f t="array" aca="1" ref="M23" ca="1">_FV(Table3[[#This Row],[Currency Pair]],"52 week low",TRUE)</f>
        <v>8.8099999999999998E-2</v>
      </c>
      <c r="N23" s="6" cm="1">
        <f t="array" aca="1" ref="N23" ca="1">_FV(Table3[[#This Row],[Currency Pair]],"Price")</f>
        <v>0.1065</v>
      </c>
      <c r="O23" s="5" t="str" cm="1">
        <f t="array" aca="1" ref="O23" ca="1">_FV(Table3[[#This Row],[Currency Pair]],"Instrument type",TRUE)</f>
        <v>Currency Pair</v>
      </c>
      <c r="P23" s="5" t="str" cm="1">
        <f t="array" aca="1" ref="P23" ca="1">_FV(Table3[[#This Row],[Currency Pair]],"Ticker symbol",TRUE)</f>
        <v>SEKUSD</v>
      </c>
      <c r="Q23" s="5" cm="1">
        <f t="array" aca="1" ref="Q23" ca="1">_FV(Table3[[#This Row],[Currency Pair]],"Change (%)",TRUE)</f>
        <v>1.8809999999999999E-3</v>
      </c>
      <c r="R23" s="5" cm="1">
        <f t="array" aca="1" ref="R23" ca="1">_FV(Table3[[#This Row],[Currency Pair]],"Last trade time",TRUE)</f>
        <v>45957.217650462961</v>
      </c>
      <c r="W23" s="3" t="e" vm="157">
        <v>#VALUE!</v>
      </c>
      <c r="X23" s="6" cm="1">
        <f t="array" aca="1" ref="X23" ca="1">_FV(Table4[[#This Row],[Company]],"52 week high",TRUE)</f>
        <v>101.99</v>
      </c>
      <c r="Y23" s="6" cm="1">
        <f t="array" aca="1" ref="Y23" ca="1">_FV(Table4[[#This Row],[Company]],"Change")</f>
        <v>-0.54</v>
      </c>
      <c r="Z23" s="4" t="str" cm="1">
        <f t="array" aca="1" ref="Z23" ca="1">_FV(Table4[[#This Row],[Company]],"Headquarters")</f>
        <v>1725 3Rd Street, SAN FRANCISCO, CA, 94158 US</v>
      </c>
      <c r="AA23" s="60" cm="1">
        <f t="array" aca="1" ref="AA23" ca="1">_FV(Table4[[#This Row],[Company]],"Employees")</f>
        <v>31100</v>
      </c>
      <c r="AB23" s="4" t="str" cm="1">
        <f t="array" aca="1" ref="AB23" ca="1">_FV(Table4[[#This Row],[Company]],"Official name",TRUE)</f>
        <v>UBER TECHNOLOGIES, INC.</v>
      </c>
      <c r="AC23" s="4" t="str" cm="1">
        <f t="array" aca="1" ref="AC23" ca="1">_FV(Table4[[#This Row],[Company]],"Industry")</f>
        <v>Software &amp; IT Services</v>
      </c>
      <c r="AD23" s="61" cm="1">
        <f t="array" aca="1" ref="AD23" ca="1">_FV(Table4[[#This Row],[Company]],"Year incorporated",TRUE)</f>
        <v>2010</v>
      </c>
      <c r="AE23" s="6" cm="1">
        <f t="array" aca="1" ref="AE23" ca="1">_FV(Table4[[#This Row],[Company]],"52 week low",TRUE)</f>
        <v>59.33</v>
      </c>
      <c r="AF23" s="4" t="str" cm="1">
        <f t="array" aca="1" ref="AF23" ca="1">_FV(Table4[[#This Row],[Company]],"Headquarters")</f>
        <v>1725 3Rd Street, SAN FRANCISCO, CA, 94158 US</v>
      </c>
      <c r="AG23" s="6" cm="1">
        <f t="array" aca="1" ref="AG23" ca="1">_FV(Table4[[#This Row],[Company]],"Low")</f>
        <v>93.900099999999995</v>
      </c>
    </row>
    <row r="24" spans="1:33" ht="87.65" x14ac:dyDescent="0.4">
      <c r="A24" s="1" t="e" vm="158">
        <v>#VALUE!</v>
      </c>
      <c r="B24" s="1" cm="1" vm="159">
        <f t="array" aca="1" ref="B24" ca="1">_FV(Table2[[#This Row],[Country]],"Calling code",TRUE)</f>
        <v>423</v>
      </c>
      <c r="C24" s="1" cm="1" vm="160">
        <f t="array" aca="1" ref="C24" ca="1">_FV(Table2[[#This Row],[Country]],"GDP")</f>
        <v>6552858738.7021399</v>
      </c>
      <c r="D24" s="1" t="str" cm="1">
        <f t="array" aca="1" ref="D24" ca="1">_FV(Table2[[#This Row],[Country]],"National anthem",TRUE)</f>
        <v>Oben am jungen Rhein</v>
      </c>
      <c r="E24" s="1" t="e" cm="1" vm="161">
        <f t="array" aca="1" ref="E24" ca="1">_FV(Table2[[#This Row],[Country]],"Largest city",TRUE)</f>
        <v>#VALUE!</v>
      </c>
      <c r="F24" s="1" t="e" cm="1" vm="162">
        <f t="array" aca="1" ref="F24" ca="1">_FV(Table2[[#This Row],[Country]],"Image")</f>
        <v>#VALUE!</v>
      </c>
      <c r="G24" s="1" t="e" cm="1" vm="163">
        <f t="array" aca="1" ref="G24" ca="1">_FV(Table2[[#This Row],[Country]],"Capital/Major City",TRUE)</f>
        <v>#VALUE!</v>
      </c>
      <c r="H24" s="1" t="str" cm="1">
        <f t="array" aca="1" ref="H24" ca="1">_xlfn.ARRAYTOTEXT(_FV(Table2[[#This Row],[Country]],"Leader(s)",TRUE))</f>
        <v>Hans-Adam II, Prince of Liechtenstein (Monarch), Daniel Risch (Prime minister)</v>
      </c>
      <c r="K24" s="3" t="e" vm="164">
        <v>#VALUE!</v>
      </c>
      <c r="L24" s="17" cm="1">
        <f t="array" aca="1" ref="L24" ca="1">_FV(Table3[[#This Row],[Currency Pair]],"52 week high",TRUE)</f>
        <v>11.529</v>
      </c>
      <c r="M24" s="17" cm="1">
        <f t="array" aca="1" ref="M24" ca="1">_FV(Table3[[#This Row],[Currency Pair]],"52 week low",TRUE)</f>
        <v>9.7178000000000004</v>
      </c>
      <c r="N24" s="17" cm="1">
        <f t="array" aca="1" ref="N24" ca="1">_FV(Table3[[#This Row],[Currency Pair]],"Price")</f>
        <v>10.007300000000001</v>
      </c>
      <c r="O24" s="5" t="str" cm="1">
        <f t="array" aca="1" ref="O24" ca="1">_FV(Table3[[#This Row],[Currency Pair]],"Instrument type",TRUE)</f>
        <v>Currency Pair</v>
      </c>
      <c r="P24" s="5" t="str" cm="1">
        <f t="array" aca="1" ref="P24" ca="1">_FV(Table3[[#This Row],[Currency Pair]],"Ticker symbol",TRUE)</f>
        <v>USDNOK</v>
      </c>
      <c r="Q24" s="5" cm="1">
        <f t="array" aca="1" ref="Q24" ca="1">_FV(Table3[[#This Row],[Currency Pair]],"Change (%)",TRUE)</f>
        <v>3.3789999999999996E-3</v>
      </c>
      <c r="R24" s="5" cm="1">
        <f t="array" aca="1" ref="R24" ca="1">_FV(Table3[[#This Row],[Currency Pair]],"Last trade time",TRUE)</f>
        <v>45957.217638888891</v>
      </c>
      <c r="W24" s="3" t="e" vm="165">
        <v>#VALUE!</v>
      </c>
      <c r="X24" s="6" cm="1">
        <f t="array" aca="1" ref="X24" ca="1">_FV(Table4[[#This Row],[Company]],"52 week high",TRUE)</f>
        <v>375.51</v>
      </c>
      <c r="Y24" s="6" cm="1">
        <f t="array" aca="1" ref="Y24" ca="1">_FV(Table4[[#This Row],[Company]],"Change")</f>
        <v>1.42</v>
      </c>
      <c r="Z24" s="4" t="str" cm="1">
        <f t="array" aca="1" ref="Z24" ca="1">_FV(Table4[[#This Row],[Company]],"Headquarters")</f>
        <v>P.O. Box 8999, SAN FRANCISCO, CA, 94128-8999 US</v>
      </c>
      <c r="AA24" s="60" cm="1">
        <f t="array" aca="1" ref="AA24" ca="1">_FV(Table4[[#This Row],[Company]],"Employees")</f>
        <v>31600</v>
      </c>
      <c r="AB24" s="4" t="str" cm="1">
        <f t="array" aca="1" ref="AB24" ca="1">_FV(Table4[[#This Row],[Company]],"Official name",TRUE)</f>
        <v>VISA INC.</v>
      </c>
      <c r="AC24" s="4" t="str" cm="1">
        <f t="array" aca="1" ref="AC24" ca="1">_FV(Table4[[#This Row],[Company]],"Industry")</f>
        <v>Professional &amp; Commercial Services</v>
      </c>
      <c r="AD24" s="61" cm="1">
        <f t="array" aca="1" ref="AD24" ca="1">_FV(Table4[[#This Row],[Company]],"Year incorporated",TRUE)</f>
        <v>2007</v>
      </c>
      <c r="AE24" s="6" cm="1">
        <f t="array" aca="1" ref="AE24" ca="1">_FV(Table4[[#This Row],[Company]],"52 week low",TRUE)</f>
        <v>281.35000000000002</v>
      </c>
      <c r="AF24" s="4" t="str" cm="1">
        <f t="array" aca="1" ref="AF24" ca="1">_FV(Table4[[#This Row],[Company]],"Headquarters")</f>
        <v>P.O. Box 8999, SAN FRANCISCO, CA, 94128-8999 US</v>
      </c>
      <c r="AG24" s="6" cm="1">
        <f t="array" aca="1" ref="AG24" ca="1">_FV(Table4[[#This Row],[Company]],"Low")</f>
        <v>345.32</v>
      </c>
    </row>
    <row r="25" spans="1:33" ht="87.65" x14ac:dyDescent="0.4">
      <c r="A25" s="1" t="e" vm="166">
        <v>#VALUE!</v>
      </c>
      <c r="B25" s="1" cm="1" vm="167">
        <f t="array" aca="1" ref="B25" ca="1">_FV(Table2[[#This Row],[Country]],"Calling code",TRUE)</f>
        <v>370</v>
      </c>
      <c r="C25" s="1" cm="1" vm="168">
        <f t="array" aca="1" ref="C25" ca="1">_FV(Table2[[#This Row],[Country]],"GDP")</f>
        <v>54219315600.085403</v>
      </c>
      <c r="D25" s="1" t="str" cm="1">
        <f t="array" aca="1" ref="D25" ca="1">_FV(Table2[[#This Row],[Country]],"National anthem",TRUE)</f>
        <v>Tautiška giesmė</v>
      </c>
      <c r="E25" s="1" t="e" cm="1" vm="169">
        <f t="array" aca="1" ref="E25" ca="1">_FV(Table2[[#This Row],[Country]],"Largest city",TRUE)</f>
        <v>#VALUE!</v>
      </c>
      <c r="F25" s="1" t="e" cm="1" vm="170">
        <f t="array" aca="1" ref="F25" ca="1">_FV(Table2[[#This Row],[Country]],"Image")</f>
        <v>#VALUE!</v>
      </c>
      <c r="G25" s="1" t="e" cm="1" vm="169">
        <f t="array" aca="1" ref="G25" ca="1">_FV(Table2[[#This Row],[Country]],"Capital/Major City",TRUE)</f>
        <v>#VALUE!</v>
      </c>
      <c r="H25" s="1" t="str" cm="1">
        <f t="array" aca="1" ref="H25" ca="1">_xlfn.ARRAYTOTEXT(_FV(Table2[[#This Row],[Country]],"Leader(s)",TRUE))</f>
        <v>Gitanas Nausėda (President), Ingrida Šimonytė (Prime minister)</v>
      </c>
      <c r="K25" s="3" t="e" vm="171">
        <v>#VALUE!</v>
      </c>
      <c r="L25" s="6" cm="1">
        <f t="array" aca="1" ref="L25" ca="1">_FV(Table3[[#This Row],[Currency Pair]],"52 week high",TRUE)</f>
        <v>0.1027</v>
      </c>
      <c r="M25" s="6" cm="1">
        <f t="array" aca="1" ref="M25" ca="1">_FV(Table3[[#This Row],[Currency Pair]],"52 week low",TRUE)</f>
        <v>8.6319999999999994E-2</v>
      </c>
      <c r="N25" s="6" cm="1">
        <f t="array" aca="1" ref="N25" ca="1">_FV(Table3[[#This Row],[Currency Pair]],"Price")</f>
        <v>9.9890000000000007E-2</v>
      </c>
      <c r="O25" s="5" t="str" cm="1">
        <f t="array" aca="1" ref="O25" ca="1">_FV(Table3[[#This Row],[Currency Pair]],"Instrument type",TRUE)</f>
        <v>Currency Pair</v>
      </c>
      <c r="P25" s="5" t="str" cm="1">
        <f t="array" aca="1" ref="P25" ca="1">_FV(Table3[[#This Row],[Currency Pair]],"Ticker symbol",TRUE)</f>
        <v>NOKUSD</v>
      </c>
      <c r="Q25" s="5" cm="1">
        <f t="array" aca="1" ref="Q25" ca="1">_FV(Table3[[#This Row],[Currency Pair]],"Change (%)",TRUE)</f>
        <v>3.7180000000000004E-3</v>
      </c>
      <c r="R25" s="5" cm="1">
        <f t="array" aca="1" ref="R25" ca="1">_FV(Table3[[#This Row],[Currency Pair]],"Last trade time",TRUE)</f>
        <v>45957.217719907407</v>
      </c>
      <c r="W25" s="3" t="e" vm="172">
        <v>#VALUE!</v>
      </c>
      <c r="X25" s="6" cm="1">
        <f t="array" aca="1" ref="X25" ca="1">_FV(Table4[[#This Row],[Company]],"52 week high",TRUE)</f>
        <v>63.33</v>
      </c>
      <c r="Y25" s="6" cm="1">
        <f t="array" aca="1" ref="Y25" ca="1">_FV(Table4[[#This Row],[Company]],"Change")</f>
        <v>0</v>
      </c>
      <c r="Z25" s="4" t="str" cm="1">
        <f t="array" aca="1" ref="Z25" ca="1">_FV(Table4[[#This Row],[Company]],"Headquarters")</f>
        <v>Route 206 And Province Line Road, PRINCETON, NJ, 08543 US</v>
      </c>
      <c r="AA25" s="60" cm="1">
        <f t="array" aca="1" ref="AA25" ca="1">_FV(Table4[[#This Row],[Company]],"Employees")</f>
        <v>34100</v>
      </c>
      <c r="AB25" s="4" t="str" cm="1">
        <f t="array" aca="1" ref="AB25" ca="1">_FV(Table4[[#This Row],[Company]],"Official name",TRUE)</f>
        <v>BRISTOL-MYERS SQUIBB COMPANY</v>
      </c>
      <c r="AC25" s="4" t="str" cm="1">
        <f t="array" aca="1" ref="AC25" ca="1">_FV(Table4[[#This Row],[Company]],"Industry")</f>
        <v>Pharmaceuticals</v>
      </c>
      <c r="AD25" s="61" cm="1">
        <f t="array" aca="1" ref="AD25" ca="1">_FV(Table4[[#This Row],[Company]],"Year incorporated",TRUE)</f>
        <v>1933</v>
      </c>
      <c r="AE25" s="6" cm="1">
        <f t="array" aca="1" ref="AE25" ca="1">_FV(Table4[[#This Row],[Company]],"52 week low",TRUE)</f>
        <v>42.96</v>
      </c>
      <c r="AF25" s="4" t="str" cm="1">
        <f t="array" aca="1" ref="AF25" ca="1">_FV(Table4[[#This Row],[Company]],"Headquarters")</f>
        <v>Route 206 And Province Line Road, PRINCETON, NJ, 08543 US</v>
      </c>
      <c r="AG25" s="6" cm="1">
        <f t="array" aca="1" ref="AG25" ca="1">_FV(Table4[[#This Row],[Company]],"Low")</f>
        <v>43.575000000000003</v>
      </c>
    </row>
    <row r="26" spans="1:33" ht="52.6" x14ac:dyDescent="0.4">
      <c r="A26" s="1" t="e" vm="173">
        <v>#VALUE!</v>
      </c>
      <c r="B26" s="1" cm="1" vm="174">
        <f t="array" aca="1" ref="B26" ca="1">_FV(Table2[[#This Row],[Country]],"Calling code",TRUE)</f>
        <v>352</v>
      </c>
      <c r="C26" s="1" cm="1" vm="175">
        <f t="array" aca="1" ref="C26" ca="1">_FV(Table2[[#This Row],[Country]],"GDP")</f>
        <v>71104919108.141098</v>
      </c>
      <c r="D26" s="1" t="str" cm="1">
        <f t="array" aca="1" ref="D26" ca="1">_FV(Table2[[#This Row],[Country]],"National anthem",TRUE)</f>
        <v>Ons Heemecht</v>
      </c>
      <c r="E26" s="1" t="e" cm="1" vm="176">
        <f t="array" aca="1" ref="E26" ca="1">_FV(Table2[[#This Row],[Country]],"Largest city",TRUE)</f>
        <v>#VALUE!</v>
      </c>
      <c r="F26" s="1" t="e" cm="1" vm="177">
        <f t="array" aca="1" ref="F26" ca="1">_FV(Table2[[#This Row],[Country]],"Image")</f>
        <v>#VALUE!</v>
      </c>
      <c r="G26" s="1" t="e" cm="1" vm="176">
        <f t="array" aca="1" ref="G26" ca="1">_FV(Table2[[#This Row],[Country]],"Capital/Major City",TRUE)</f>
        <v>#VALUE!</v>
      </c>
      <c r="H26" s="1" t="str" cm="1">
        <f t="array" aca="1" ref="H26" ca="1">_xlfn.ARRAYTOTEXT(_FV(Table2[[#This Row],[Country]],"Leader(s)",TRUE))</f>
        <v>Xavier Bettel (Prime minister)</v>
      </c>
      <c r="K26" s="3" t="e" vm="178">
        <v>#VALUE!</v>
      </c>
      <c r="L26" s="18" cm="1">
        <f t="array" aca="1" ref="L26" ca="1">_FV(Table3[[#This Row],[Currency Pair]],"52 week high",TRUE)</f>
        <v>7.3297999999999996</v>
      </c>
      <c r="M26" s="18" cm="1">
        <f t="array" aca="1" ref="M26" ca="1">_FV(Table3[[#This Row],[Currency Pair]],"52 week low",TRUE)</f>
        <v>6.2624000000000004</v>
      </c>
      <c r="N26" s="18" cm="1">
        <f t="array" aca="1" ref="N26" ca="1">_FV(Table3[[#This Row],[Currency Pair]],"Price")</f>
        <v>6.4257999999999997</v>
      </c>
      <c r="O26" s="5" t="str" cm="1">
        <f t="array" aca="1" ref="O26" ca="1">_FV(Table3[[#This Row],[Currency Pair]],"Instrument type",TRUE)</f>
        <v>Currency Pair</v>
      </c>
      <c r="P26" s="5" t="str" cm="1">
        <f t="array" aca="1" ref="P26" ca="1">_FV(Table3[[#This Row],[Currency Pair]],"Ticker symbol",TRUE)</f>
        <v>USDDKK</v>
      </c>
      <c r="Q26" s="5" cm="1">
        <f t="array" aca="1" ref="Q26" ca="1">_FV(Table3[[#This Row],[Currency Pair]],"Change (%)",TRUE)</f>
        <v>3.8920000000000003E-4</v>
      </c>
      <c r="R26" s="5" cm="1">
        <f t="array" aca="1" ref="R26" ca="1">_FV(Table3[[#This Row],[Currency Pair]],"Last trade time",TRUE)</f>
        <v>45957.217731481483</v>
      </c>
      <c r="W26" s="3" t="e" vm="179">
        <v>#VALUE!</v>
      </c>
      <c r="X26" s="6" cm="1">
        <f t="array" aca="1" ref="X26" ca="1">_FV(Table4[[#This Row],[Company]],"52 week high",TRUE)</f>
        <v>601.77</v>
      </c>
      <c r="Y26" s="6" cm="1">
        <f t="array" aca="1" ref="Y26" ca="1">_FV(Table4[[#This Row],[Company]],"Change")</f>
        <v>-0.1</v>
      </c>
      <c r="Z26" s="4" t="str" cm="1">
        <f t="array" aca="1" ref="Z26" ca="1">_FV(Table4[[#This Row],[Company]],"Headquarters")</f>
        <v>2000 Purchase St, PURCHASE, NY, 10577 US</v>
      </c>
      <c r="AA26" s="60" cm="1">
        <f t="array" aca="1" ref="AA26" ca="1">_FV(Table4[[#This Row],[Company]],"Employees")</f>
        <v>35300</v>
      </c>
      <c r="AB26" s="4" t="str" cm="1">
        <f t="array" aca="1" ref="AB26" ca="1">_FV(Table4[[#This Row],[Company]],"Official name",TRUE)</f>
        <v>MASTERCARD INCORPORATED.</v>
      </c>
      <c r="AC26" s="4" t="str" cm="1">
        <f t="array" aca="1" ref="AC26" ca="1">_FV(Table4[[#This Row],[Company]],"Industry")</f>
        <v>Software &amp; IT Services</v>
      </c>
      <c r="AD26" s="61" cm="1">
        <f t="array" aca="1" ref="AD26" ca="1">_FV(Table4[[#This Row],[Company]],"Year incorporated",TRUE)</f>
        <v>2001</v>
      </c>
      <c r="AE26" s="6" cm="1">
        <f t="array" aca="1" ref="AE26" ca="1">_FV(Table4[[#This Row],[Company]],"52 week low",TRUE)</f>
        <v>465.59</v>
      </c>
      <c r="AF26" s="4" t="str" cm="1">
        <f t="array" aca="1" ref="AF26" ca="1">_FV(Table4[[#This Row],[Company]],"Headquarters")</f>
        <v>2000 Purchase St, PURCHASE, NY, 10577 US</v>
      </c>
      <c r="AG26" s="6" cm="1">
        <f t="array" aca="1" ref="AG26" ca="1">_FV(Table4[[#This Row],[Company]],"Low")</f>
        <v>573.08000000000004</v>
      </c>
    </row>
    <row r="27" spans="1:33" ht="70.150000000000006" x14ac:dyDescent="0.4">
      <c r="A27" s="1" t="e" vm="180">
        <v>#VALUE!</v>
      </c>
      <c r="B27" s="1" cm="1" vm="181">
        <f t="array" aca="1" ref="B27" ca="1">_FV(Table2[[#This Row],[Country]],"Calling code",TRUE)</f>
        <v>261</v>
      </c>
      <c r="C27" s="1" cm="1" vm="182">
        <f t="array" aca="1" ref="C27" ca="1">_FV(Table2[[#This Row],[Country]],"GDP")</f>
        <v>14083906356.618</v>
      </c>
      <c r="D27" s="1" t="str" cm="1">
        <f t="array" aca="1" ref="D27" ca="1">_FV(Table2[[#This Row],[Country]],"National anthem",TRUE)</f>
        <v>Ry Tanindrazanay malala ô!</v>
      </c>
      <c r="E27" s="1" t="e" cm="1" vm="183">
        <f t="array" aca="1" ref="E27" ca="1">_FV(Table2[[#This Row],[Country]],"Largest city",TRUE)</f>
        <v>#VALUE!</v>
      </c>
      <c r="F27" s="1" t="e" cm="1" vm="184">
        <f t="array" aca="1" ref="F27" ca="1">_FV(Table2[[#This Row],[Country]],"Image")</f>
        <v>#VALUE!</v>
      </c>
      <c r="G27" s="1" t="e" cm="1" vm="183">
        <f t="array" aca="1" ref="G27" ca="1">_FV(Table2[[#This Row],[Country]],"Capital/Major City",TRUE)</f>
        <v>#VALUE!</v>
      </c>
      <c r="H27" s="1" t="str" cm="1">
        <f t="array" aca="1" ref="H27" ca="1">_xlfn.ARRAYTOTEXT(_FV(Table2[[#This Row],[Country]],"Leader(s)",TRUE))</f>
        <v>Christian Ntsay (Prime minister)</v>
      </c>
      <c r="K27" s="3" t="e" vm="185">
        <v>#VALUE!</v>
      </c>
      <c r="L27" s="6" cm="1">
        <f t="array" aca="1" ref="L27" ca="1">_FV(Table3[[#This Row],[Currency Pair]],"52 week high",TRUE)</f>
        <v>0.15970000000000001</v>
      </c>
      <c r="M27" s="6" cm="1">
        <f t="array" aca="1" ref="M27" ca="1">_FV(Table3[[#This Row],[Currency Pair]],"52 week low",TRUE)</f>
        <v>0.13639999999999999</v>
      </c>
      <c r="N27" s="6" cm="1">
        <f t="array" aca="1" ref="N27" ca="1">_FV(Table3[[#This Row],[Currency Pair]],"Price")</f>
        <v>0.15559999999999999</v>
      </c>
      <c r="O27" s="5" t="str" cm="1">
        <f t="array" aca="1" ref="O27" ca="1">_FV(Table3[[#This Row],[Currency Pair]],"Instrument type",TRUE)</f>
        <v>Currency Pair</v>
      </c>
      <c r="P27" s="5" t="str" cm="1">
        <f t="array" aca="1" ref="P27" ca="1">_FV(Table3[[#This Row],[Currency Pair]],"Ticker symbol",TRUE)</f>
        <v>DKKUSD</v>
      </c>
      <c r="Q27" s="5" cm="1">
        <f t="array" aca="1" ref="Q27" ca="1">_FV(Table3[[#This Row],[Currency Pair]],"Change (%)",TRUE)</f>
        <v>-6.4229999999999995E-4</v>
      </c>
      <c r="R27" s="5" cm="1">
        <f t="array" aca="1" ref="R27" ca="1">_FV(Table3[[#This Row],[Currency Pair]],"Last trade time",TRUE)</f>
        <v>45957.21770833333</v>
      </c>
      <c r="W27" s="3" t="e" vm="186">
        <v>#VALUE!</v>
      </c>
      <c r="X27" s="6" cm="1">
        <f t="array" aca="1" ref="X27" ca="1">_FV(Table4[[#This Row],[Company]],"52 week high",TRUE)</f>
        <v>168.96</v>
      </c>
      <c r="Y27" s="6" cm="1">
        <f t="array" aca="1" ref="Y27" ca="1">_FV(Table4[[#This Row],[Company]],"Change")</f>
        <v>-1</v>
      </c>
      <c r="Z27" s="4" t="str" cm="1">
        <f t="array" aca="1" ref="Z27" ca="1">_FV(Table4[[#This Row],[Company]],"Headquarters")</f>
        <v>1400 SMITH STREET, HOUSTON, TX, 77002 US</v>
      </c>
      <c r="AA27" s="60" cm="1">
        <f t="array" aca="1" ref="AA27" ca="1">_FV(Table4[[#This Row],[Company]],"Employees")</f>
        <v>45298</v>
      </c>
      <c r="AB27" s="4" t="str" cm="1">
        <f t="array" aca="1" ref="AB27" ca="1">_FV(Table4[[#This Row],[Company]],"Official name",TRUE)</f>
        <v>CHEVRON CORPORATION</v>
      </c>
      <c r="AC27" s="4" t="str" cm="1">
        <f t="array" aca="1" ref="AC27" ca="1">_FV(Table4[[#This Row],[Company]],"Industry")</f>
        <v>Oil &amp; Gas</v>
      </c>
      <c r="AD27" s="61" cm="1">
        <f t="array" aca="1" ref="AD27" ca="1">_FV(Table4[[#This Row],[Company]],"Year incorporated",TRUE)</f>
        <v>1926</v>
      </c>
      <c r="AE27" s="6" cm="1">
        <f t="array" aca="1" ref="AE27" ca="1">_FV(Table4[[#This Row],[Company]],"52 week low",TRUE)</f>
        <v>132.04</v>
      </c>
      <c r="AF27" s="4" t="str" cm="1">
        <f t="array" aca="1" ref="AF27" ca="1">_FV(Table4[[#This Row],[Company]],"Headquarters")</f>
        <v>1400 SMITH STREET, HOUSTON, TX, 77002 US</v>
      </c>
      <c r="AG27" s="6" cm="1">
        <f t="array" aca="1" ref="AG27" ca="1">_FV(Table4[[#This Row],[Company]],"Low")</f>
        <v>155.42699999999999</v>
      </c>
    </row>
    <row r="28" spans="1:33" ht="87.65" x14ac:dyDescent="0.4">
      <c r="A28" s="1" t="e" vm="187">
        <v>#VALUE!</v>
      </c>
      <c r="B28" s="1" cm="1" vm="188">
        <f t="array" aca="1" ref="B28" ca="1">_FV(Table2[[#This Row],[Country]],"Calling code",TRUE)</f>
        <v>265</v>
      </c>
      <c r="C28" s="1" cm="1" vm="189">
        <f t="array" aca="1" ref="C28" ca="1">_FV(Table2[[#This Row],[Country]],"GDP")</f>
        <v>7666704427.0091496</v>
      </c>
      <c r="D28" s="1" t="str" cm="1">
        <f t="array" aca="1" ref="D28" ca="1">_FV(Table2[[#This Row],[Country]],"National anthem",TRUE)</f>
        <v>Mlungu dalitsani Malaŵi</v>
      </c>
      <c r="E28" s="1" t="e" cm="1" vm="190">
        <f t="array" aca="1" ref="E28" ca="1">_FV(Table2[[#This Row],[Country]],"Largest city",TRUE)</f>
        <v>#VALUE!</v>
      </c>
      <c r="F28" s="1" t="e" cm="1" vm="191">
        <f t="array" aca="1" ref="F28" ca="1">_FV(Table2[[#This Row],[Country]],"Image")</f>
        <v>#VALUE!</v>
      </c>
      <c r="G28" s="1" t="e" cm="1" vm="190">
        <f t="array" aca="1" ref="G28" ca="1">_FV(Table2[[#This Row],[Country]],"Capital/Major City",TRUE)</f>
        <v>#VALUE!</v>
      </c>
      <c r="H28" s="1" t="str" cm="1">
        <f t="array" aca="1" ref="H28" ca="1">_xlfn.ARRAYTOTEXT(_FV(Table2[[#This Row],[Country]],"Leader(s)",TRUE))</f>
        <v>Lazarus Chakwera (President), Saulos Chilima (Vice president), Catherine Gotani Hara (Speaker), Rizine Mzikamanda (Chief justice)</v>
      </c>
      <c r="K28" s="3" t="e" vm="7">
        <v>#VALUE!</v>
      </c>
      <c r="L28" s="5" cm="1">
        <f t="array" aca="1" ref="L28" ca="1">_FV(Table3[[#This Row],[Currency Pair]],"52 week high",TRUE)</f>
        <v>88.891999999999996</v>
      </c>
      <c r="M28" s="5" cm="1">
        <f t="array" aca="1" ref="M28" ca="1">_FV(Table3[[#This Row],[Currency Pair]],"52 week low",TRUE)</f>
        <v>83.76</v>
      </c>
      <c r="N28" s="5" cm="1">
        <f t="array" aca="1" ref="N28" ca="1">_FV(Table3[[#This Row],[Currency Pair]],"Price")</f>
        <v>88.02</v>
      </c>
      <c r="O28" s="5" t="str" cm="1">
        <f t="array" aca="1" ref="O28" ca="1">_FV(Table3[[#This Row],[Currency Pair]],"Instrument type",TRUE)</f>
        <v>Currency Pair</v>
      </c>
      <c r="P28" s="5" t="str" cm="1">
        <f t="array" aca="1" ref="P28" ca="1">_FV(Table3[[#This Row],[Currency Pair]],"Ticker symbol",TRUE)</f>
        <v>USDINR</v>
      </c>
      <c r="Q28" s="5" cm="1">
        <f t="array" aca="1" ref="Q28" ca="1">_FV(Table3[[#This Row],[Currency Pair]],"Change (%)",TRUE)</f>
        <v>2.323E-3</v>
      </c>
      <c r="R28" s="5" cm="1">
        <f t="array" aca="1" ref="R28" ca="1">_FV(Table3[[#This Row],[Currency Pair]],"Last trade time",TRUE)</f>
        <v>45957.217418981483</v>
      </c>
      <c r="W28" s="3" t="e" vm="192">
        <v>#VALUE!</v>
      </c>
      <c r="X28" s="6" cm="1">
        <f t="array" aca="1" ref="X28" ca="1">_FV(Table4[[#This Row],[Company]],"52 week high",TRUE)</f>
        <v>182.1</v>
      </c>
      <c r="Y28" s="6" cm="1">
        <f t="array" aca="1" ref="Y28" ca="1">_FV(Table4[[#This Row],[Company]],"Change")</f>
        <v>-1.0900000000000001</v>
      </c>
      <c r="Z28" s="4" t="str" cm="1">
        <f t="array" aca="1" ref="Z28" ca="1">_FV(Table4[[#This Row],[Company]],"Headquarters")</f>
        <v>5775 Morehouse Drive, SAN DIEGO, CA, 92121 US</v>
      </c>
      <c r="AA28" s="60" cm="1">
        <f t="array" aca="1" ref="AA28" ca="1">_FV(Table4[[#This Row],[Company]],"Employees")</f>
        <v>49000</v>
      </c>
      <c r="AB28" s="4" t="str" cm="1">
        <f t="array" aca="1" ref="AB28" ca="1">_FV(Table4[[#This Row],[Company]],"Official name",TRUE)</f>
        <v>QUALCOMM INCORPORATED</v>
      </c>
      <c r="AC28" s="4" t="str" cm="1">
        <f t="array" aca="1" ref="AC28" ca="1">_FV(Table4[[#This Row],[Company]],"Industry")</f>
        <v>Semiconductors &amp; Semiconductor Equipment</v>
      </c>
      <c r="AD28" s="61" cm="1">
        <f t="array" aca="1" ref="AD28" ca="1">_FV(Table4[[#This Row],[Company]],"Year incorporated",TRUE)</f>
        <v>1991</v>
      </c>
      <c r="AE28" s="6" cm="1">
        <f t="array" aca="1" ref="AE28" ca="1">_FV(Table4[[#This Row],[Company]],"52 week low",TRUE)</f>
        <v>120.8019</v>
      </c>
      <c r="AF28" s="4" t="str" cm="1">
        <f t="array" aca="1" ref="AF28" ca="1">_FV(Table4[[#This Row],[Company]],"Headquarters")</f>
        <v>5775 Morehouse Drive, SAN DIEGO, CA, 92121 US</v>
      </c>
      <c r="AG28" s="6" cm="1">
        <f t="array" aca="1" ref="AG28" ca="1">_FV(Table4[[#This Row],[Company]],"Low")</f>
        <v>168.47</v>
      </c>
    </row>
    <row r="29" spans="1:33" ht="70.150000000000006" x14ac:dyDescent="0.4">
      <c r="A29" s="1" t="e" vm="193">
        <v>#VALUE!</v>
      </c>
      <c r="B29" s="1" cm="1" vm="194">
        <f t="array" aca="1" ref="B29" ca="1">_FV(Table2[[#This Row],[Country]],"Calling code",TRUE)</f>
        <v>60</v>
      </c>
      <c r="C29" s="1" cm="1" vm="195">
        <f t="array" aca="1" ref="C29" ca="1">_FV(Table2[[#This Row],[Country]],"GDP")</f>
        <v>364701517787.84399</v>
      </c>
      <c r="D29" s="1" t="str" cm="1">
        <f t="array" aca="1" ref="D29" ca="1">_FV(Table2[[#This Row],[Country]],"National anthem",TRUE)</f>
        <v>Negaraku</v>
      </c>
      <c r="E29" s="1" t="e" cm="1" vm="196">
        <f t="array" aca="1" ref="E29" ca="1">_FV(Table2[[#This Row],[Country]],"Largest city",TRUE)</f>
        <v>#VALUE!</v>
      </c>
      <c r="F29" s="1" t="e" cm="1" vm="197">
        <f t="array" aca="1" ref="F29" ca="1">_FV(Table2[[#This Row],[Country]],"Image")</f>
        <v>#VALUE!</v>
      </c>
      <c r="G29" s="1" t="e" cm="1" vm="196">
        <f t="array" aca="1" ref="G29" ca="1">_FV(Table2[[#This Row],[Country]],"Capital/Major City",TRUE)</f>
        <v>#VALUE!</v>
      </c>
      <c r="H29" s="1" t="str" cm="1">
        <f t="array" aca="1" ref="H29" ca="1">_xlfn.ARRAYTOTEXT(_FV(Table2[[#This Row],[Country]],"Leader(s)",TRUE))</f>
        <v>Abdullah of Pahang (Monarch), Anwar Ibrahim (Prime minister), Tengku Maimun Tuan Mat (Chief justice)</v>
      </c>
      <c r="K29" s="3" t="e" vm="14">
        <v>#VALUE!</v>
      </c>
      <c r="L29" s="6" cm="1">
        <f t="array" aca="1" ref="L29" ca="1">_FV(Table3[[#This Row],[Currency Pair]],"52 week high",TRUE)</f>
        <v>1.1939999999999999E-2</v>
      </c>
      <c r="M29" s="6" cm="1">
        <f t="array" aca="1" ref="M29" ca="1">_FV(Table3[[#This Row],[Currency Pair]],"52 week low",TRUE)</f>
        <v>1.124E-2</v>
      </c>
      <c r="N29" s="6" cm="1">
        <f t="array" aca="1" ref="N29" ca="1">_FV(Table3[[#This Row],[Currency Pair]],"Price")</f>
        <v>1.136E-2</v>
      </c>
      <c r="O29" s="5" t="str" cm="1">
        <f t="array" aca="1" ref="O29" ca="1">_FV(Table3[[#This Row],[Currency Pair]],"Instrument type",TRUE)</f>
        <v>Currency Pair</v>
      </c>
      <c r="P29" s="5" t="str" cm="1">
        <f t="array" aca="1" ref="P29" ca="1">_FV(Table3[[#This Row],[Currency Pair]],"Ticker symbol",TRUE)</f>
        <v>INRUSD</v>
      </c>
      <c r="Q29" s="5" cm="1">
        <f t="array" aca="1" ref="Q29" ca="1">_FV(Table3[[#This Row],[Currency Pair]],"Change (%)",TRUE)</f>
        <v>-1.933E-3</v>
      </c>
      <c r="R29" s="5" cm="1">
        <f t="array" aca="1" ref="R29" ca="1">_FV(Table3[[#This Row],[Currency Pair]],"Last trade time",TRUE)</f>
        <v>45957.217615740738</v>
      </c>
      <c r="W29" s="3" t="e" vm="198">
        <v>#VALUE!</v>
      </c>
      <c r="X29" s="59" cm="1">
        <f t="array" aca="1" ref="X29" ca="1">_FV(Table4[[#This Row],[Company]],"52 week high",TRUE)</f>
        <v>119800</v>
      </c>
      <c r="Y29" s="59" cm="1">
        <f t="array" aca="1" ref="Y29" ca="1">_FV(Table4[[#This Row],[Company]],"Change")</f>
        <v>100</v>
      </c>
      <c r="Z29" s="4" t="str" cm="1">
        <f t="array" aca="1" ref="Z29" ca="1">_FV(Table4[[#This Row],[Company]],"Headquarters")</f>
        <v>12, Heolleung-ro, Seocho-gu, SEOUL, SEOUL, 06797 KR</v>
      </c>
      <c r="AA29" s="60" cm="1">
        <f t="array" aca="1" ref="AA29" ca="1">_FV(Table4[[#This Row],[Company]],"Employees")</f>
        <v>51357</v>
      </c>
      <c r="AB29" s="4" t="str" cm="1">
        <f t="array" aca="1" ref="AB29" ca="1">_FV(Table4[[#This Row],[Company]],"Official name",TRUE)</f>
        <v>KIA CORPORATION</v>
      </c>
      <c r="AC29" s="4" t="str" cm="1">
        <f t="array" aca="1" ref="AC29" ca="1">_FV(Table4[[#This Row],[Company]],"Industry")</f>
        <v>Automobiles &amp; Auto Parts</v>
      </c>
      <c r="AD29" s="61" cm="1">
        <f t="array" aca="1" ref="AD29" ca="1">_FV(Table4[[#This Row],[Company]],"Year incorporated",TRUE)</f>
        <v>1944</v>
      </c>
      <c r="AE29" s="59" cm="1">
        <f t="array" aca="1" ref="AE29" ca="1">_FV(Table4[[#This Row],[Company]],"52 week low",TRUE)</f>
        <v>81300</v>
      </c>
      <c r="AF29" s="4" t="str" cm="1">
        <f t="array" aca="1" ref="AF29" ca="1">_FV(Table4[[#This Row],[Company]],"Headquarters")</f>
        <v>12, Heolleung-ro, Seocho-gu, SEOUL, SEOUL, 06797 KR</v>
      </c>
      <c r="AG29" s="59" cm="1">
        <f t="array" aca="1" ref="AG29" ca="1">_FV(Table4[[#This Row],[Company]],"Low")</f>
        <v>114800</v>
      </c>
    </row>
    <row r="30" spans="1:33" ht="52.6" x14ac:dyDescent="0.4">
      <c r="A30" s="1" t="e" vm="199">
        <v>#VALUE!</v>
      </c>
      <c r="B30" s="1" cm="1" vm="200">
        <f t="array" aca="1" ref="B30" ca="1">_FV(Table2[[#This Row],[Country]],"Calling code",TRUE)</f>
        <v>960</v>
      </c>
      <c r="C30" s="1" cm="1" vm="201">
        <f t="array" aca="1" ref="C30" ca="1">_FV(Table2[[#This Row],[Country]],"GDP")</f>
        <v>5729248472.2402802</v>
      </c>
      <c r="D30" s="1" t="str" cm="1">
        <f t="array" aca="1" ref="D30" ca="1">_FV(Table2[[#This Row],[Country]],"National anthem",TRUE)</f>
        <v>Gaumiii salaaam</v>
      </c>
      <c r="E30" s="1" t="e" cm="1" vm="202">
        <f t="array" aca="1" ref="E30" ca="1">_FV(Table2[[#This Row],[Country]],"Largest city",TRUE)</f>
        <v>#VALUE!</v>
      </c>
      <c r="F30" s="1" t="e" cm="1" vm="203">
        <f t="array" aca="1" ref="F30" ca="1">_FV(Table2[[#This Row],[Country]],"Image")</f>
        <v>#VALUE!</v>
      </c>
      <c r="G30" s="1" t="e" cm="1" vm="202">
        <f t="array" aca="1" ref="G30" ca="1">_FV(Table2[[#This Row],[Country]],"Capital/Major City",TRUE)</f>
        <v>#VALUE!</v>
      </c>
      <c r="H30" s="1" t="str" cm="1">
        <f t="array" aca="1" ref="H30" ca="1">_xlfn.ARRAYTOTEXT(_FV(Table2[[#This Row],[Country]],"Leader(s)",TRUE))</f>
        <v>Ibrahim Mohamed Solih (President), Faisal Naseem (Vice president), Ahmed Muthasim Adnan (Chief justice)</v>
      </c>
      <c r="K30" s="3" t="e" vm="204">
        <v>#VALUE!</v>
      </c>
      <c r="L30" s="8" cm="1">
        <f t="array" aca="1" ref="L30" ca="1">_FV(Table3[[#This Row],[Currency Pair]],"52 week high",TRUE)</f>
        <v>0.87629999999999997</v>
      </c>
      <c r="M30" s="8" cm="1">
        <f t="array" aca="1" ref="M30" ca="1">_FV(Table3[[#This Row],[Currency Pair]],"52 week low",TRUE)</f>
        <v>0.82189999999999996</v>
      </c>
      <c r="N30" s="8" cm="1">
        <f t="array" aca="1" ref="N30" ca="1">_FV(Table3[[#This Row],[Currency Pair]],"Price")</f>
        <v>0.87250000000000005</v>
      </c>
      <c r="O30" s="5" t="str" cm="1">
        <f t="array" aca="1" ref="O30" ca="1">_FV(Table3[[#This Row],[Currency Pair]],"Instrument type",TRUE)</f>
        <v>Currency Pair</v>
      </c>
      <c r="P30" s="5" t="str" cm="1">
        <f t="array" aca="1" ref="P30" ca="1">_FV(Table3[[#This Row],[Currency Pair]],"Ticker symbol",TRUE)</f>
        <v>EURGBP</v>
      </c>
      <c r="Q30" s="5" cm="1">
        <f t="array" aca="1" ref="Q30" ca="1">_FV(Table3[[#This Row],[Currency Pair]],"Change (%)",TRUE)</f>
        <v>-4.5819999999999997E-4</v>
      </c>
      <c r="R30" s="5" cm="1">
        <f t="array" aca="1" ref="R30" ca="1">_FV(Table3[[#This Row],[Currency Pair]],"Last trade time",TRUE)</f>
        <v>45957.217604166668</v>
      </c>
      <c r="W30" s="3" t="e" vm="205">
        <v>#VALUE!</v>
      </c>
      <c r="X30" s="6" cm="1">
        <f t="array" aca="1" ref="X30" ca="1">_FV(Table4[[#This Row],[Company]],"52 week high",TRUE)</f>
        <v>316.52999999999997</v>
      </c>
      <c r="Y30" s="6" cm="1">
        <f t="array" aca="1" ref="Y30" ca="1">_FV(Table4[[#This Row],[Company]],"Change")</f>
        <v>-2.52</v>
      </c>
      <c r="Z30" s="4" t="str" cm="1">
        <f t="array" aca="1" ref="Z30" ca="1">_FV(Table4[[#This Row],[Company]],"Headquarters")</f>
        <v>1 Neumann Way, Evendale, OH, 45215 US</v>
      </c>
      <c r="AA30" s="60" cm="1">
        <f t="array" aca="1" ref="AA30" ca="1">_FV(Table4[[#This Row],[Company]],"Employees")</f>
        <v>53000</v>
      </c>
      <c r="AB30" s="4" t="str" cm="1">
        <f t="array" aca="1" ref="AB30" ca="1">_FV(Table4[[#This Row],[Company]],"Official name",TRUE)</f>
        <v>GENERAL ELECTRIC COMPANY</v>
      </c>
      <c r="AC30" s="4" t="str" cm="1">
        <f t="array" aca="1" ref="AC30" ca="1">_FV(Table4[[#This Row],[Company]],"Industry")</f>
        <v>Aerospace &amp; Defense</v>
      </c>
      <c r="AD30" s="61" cm="1">
        <f t="array" aca="1" ref="AD30" ca="1">_FV(Table4[[#This Row],[Company]],"Year incorporated",TRUE)</f>
        <v>1892</v>
      </c>
      <c r="AE30" s="6" cm="1">
        <f t="array" aca="1" ref="AE30" ca="1">_FV(Table4[[#This Row],[Company]],"52 week low",TRUE)</f>
        <v>159.36000000000001</v>
      </c>
      <c r="AF30" s="4" t="str" cm="1">
        <f t="array" aca="1" ref="AF30" ca="1">_FV(Table4[[#This Row],[Company]],"Headquarters")</f>
        <v>1 Neumann Way, Evendale, OH, 45215 US</v>
      </c>
      <c r="AG30" s="6" cm="1">
        <f t="array" aca="1" ref="AG30" ca="1">_FV(Table4[[#This Row],[Company]],"Low")</f>
        <v>303.57</v>
      </c>
    </row>
    <row r="31" spans="1:33" ht="70.150000000000006" x14ac:dyDescent="0.4">
      <c r="A31" s="1" t="e" vm="206">
        <v>#VALUE!</v>
      </c>
      <c r="B31" s="1" cm="1" vm="207">
        <f t="array" aca="1" ref="B31" ca="1">_FV(Table2[[#This Row],[Country]],"Calling code",TRUE)</f>
        <v>223</v>
      </c>
      <c r="C31" s="1" cm="1" vm="208">
        <f t="array" aca="1" ref="C31" ca="1">_FV(Table2[[#This Row],[Country]],"GDP")</f>
        <v>17510141171.340302</v>
      </c>
      <c r="D31" s="1" t="str" cm="1">
        <f t="array" aca="1" ref="D31" ca="1">_FV(Table2[[#This Row],[Country]],"National anthem",TRUE)</f>
        <v>Le Mali</v>
      </c>
      <c r="E31" s="1" t="e" cm="1" vm="209">
        <f t="array" aca="1" ref="E31" ca="1">_FV(Table2[[#This Row],[Country]],"Largest city",TRUE)</f>
        <v>#VALUE!</v>
      </c>
      <c r="F31" s="1" t="e" cm="1" vm="210">
        <f t="array" aca="1" ref="F31" ca="1">_FV(Table2[[#This Row],[Country]],"Image")</f>
        <v>#VALUE!</v>
      </c>
      <c r="G31" s="1" t="e" cm="1" vm="209">
        <f t="array" aca="1" ref="G31" ca="1">_FV(Table2[[#This Row],[Country]],"Capital/Major City",TRUE)</f>
        <v>#VALUE!</v>
      </c>
      <c r="H31" s="1" t="str" cm="1">
        <f t="array" aca="1" ref="H31" ca="1">_xlfn.ARRAYTOTEXT(_FV(Table2[[#This Row],[Country]],"Leader(s)",TRUE))</f>
        <v>Assimi Goïta (President), Choguel Kokalla Maïga (Prime minister)</v>
      </c>
      <c r="K31" s="3" t="e" vm="211">
        <v>#VALUE!</v>
      </c>
      <c r="L31" s="7" cm="1">
        <f t="array" aca="1" ref="L31" ca="1">_FV(Table3[[#This Row],[Currency Pair]],"52 week high",TRUE)</f>
        <v>1.216</v>
      </c>
      <c r="M31" s="7" cm="1">
        <f t="array" aca="1" ref="M31" ca="1">_FV(Table3[[#This Row],[Currency Pair]],"52 week low",TRUE)</f>
        <v>1.1403000000000001</v>
      </c>
      <c r="N31" s="7" cm="1">
        <f t="array" aca="1" ref="N31" ca="1">_FV(Table3[[#This Row],[Currency Pair]],"Price")</f>
        <v>1.1451</v>
      </c>
      <c r="O31" s="5" t="str" cm="1">
        <f t="array" aca="1" ref="O31" ca="1">_FV(Table3[[#This Row],[Currency Pair]],"Instrument type",TRUE)</f>
        <v>Currency Pair</v>
      </c>
      <c r="P31" s="5" t="str" cm="1">
        <f t="array" aca="1" ref="P31" ca="1">_FV(Table3[[#This Row],[Currency Pair]],"Ticker symbol",TRUE)</f>
        <v>GBPEUR</v>
      </c>
      <c r="Q31" s="5" cm="1">
        <f t="array" aca="1" ref="Q31" ca="1">_FV(Table3[[#This Row],[Currency Pair]],"Change (%)",TRUE)</f>
        <v>3.4939999999999998E-4</v>
      </c>
      <c r="R31" s="5" cm="1">
        <f t="array" aca="1" ref="R31" ca="1">_FV(Table3[[#This Row],[Currency Pair]],"Last trade time",TRUE)</f>
        <v>45957.217731481483</v>
      </c>
      <c r="W31" s="3" t="e" vm="212">
        <v>#VALUE!</v>
      </c>
      <c r="X31" s="6" cm="1">
        <f t="array" aca="1" ref="X31" ca="1">_FV(Table4[[#This Row],[Company]],"52 week high",TRUE)</f>
        <v>244.81</v>
      </c>
      <c r="Y31" s="6" cm="1">
        <f t="array" aca="1" ref="Y31" ca="1">_FV(Table4[[#This Row],[Company]],"Change")</f>
        <v>-0.26</v>
      </c>
      <c r="Z31" s="4" t="str" cm="1">
        <f t="array" aca="1" ref="Z31" ca="1">_FV(Table4[[#This Row],[Company]],"Headquarters")</f>
        <v>1 N Waukegan Rd, NORTH CHICAGO, IL, 60064 US</v>
      </c>
      <c r="AA31" s="60" cm="1">
        <f t="array" aca="1" ref="AA31" ca="1">_FV(Table4[[#This Row],[Company]],"Employees")</f>
        <v>55000</v>
      </c>
      <c r="AB31" s="4" t="str" cm="1">
        <f t="array" aca="1" ref="AB31" ca="1">_FV(Table4[[#This Row],[Company]],"Official name",TRUE)</f>
        <v>ABBVIE INC.</v>
      </c>
      <c r="AC31" s="4" t="str" cm="1">
        <f t="array" aca="1" ref="AC31" ca="1">_FV(Table4[[#This Row],[Company]],"Industry")</f>
        <v>Pharmaceuticals</v>
      </c>
      <c r="AD31" s="61" cm="1">
        <f t="array" aca="1" ref="AD31" ca="1">_FV(Table4[[#This Row],[Company]],"Year incorporated",TRUE)</f>
        <v>2012</v>
      </c>
      <c r="AE31" s="6" cm="1">
        <f t="array" aca="1" ref="AE31" ca="1">_FV(Table4[[#This Row],[Company]],"52 week low",TRUE)</f>
        <v>163.81</v>
      </c>
      <c r="AF31" s="4" t="str" cm="1">
        <f t="array" aca="1" ref="AF31" ca="1">_FV(Table4[[#This Row],[Company]],"Headquarters")</f>
        <v>1 N Waukegan Rd, NORTH CHICAGO, IL, 60064 US</v>
      </c>
      <c r="AG31" s="6" cm="1">
        <f t="array" aca="1" ref="AG31" ca="1">_FV(Table4[[#This Row],[Company]],"Low")</f>
        <v>226.25</v>
      </c>
    </row>
    <row r="32" spans="1:33" ht="105.2" x14ac:dyDescent="0.4">
      <c r="A32" s="1" t="e" vm="213">
        <v>#VALUE!</v>
      </c>
      <c r="B32" s="1" cm="1" vm="214">
        <f t="array" aca="1" ref="B32" ca="1">_FV(Table2[[#This Row],[Country]],"Calling code",TRUE)</f>
        <v>356</v>
      </c>
      <c r="C32" s="1" cm="1" vm="215">
        <f t="array" aca="1" ref="C32" ca="1">_FV(Table2[[#This Row],[Country]],"GDP")</f>
        <v>14786156563.3046</v>
      </c>
      <c r="D32" s="1" t="str" cm="1">
        <f t="array" aca="1" ref="D32" ca="1">_FV(Table2[[#This Row],[Country]],"National anthem",TRUE)</f>
        <v>L-Innu Malti</v>
      </c>
      <c r="E32" s="1" t="e" cm="1" vm="216">
        <f t="array" ref="E32">_FV(Table2[[#This Row],[Country]],"Largest city",TRUE)</f>
        <v>#VALUE!</v>
      </c>
      <c r="F32" s="1" t="e" cm="1" vm="217">
        <f t="array" aca="1" ref="F32" ca="1">_FV(Table2[[#This Row],[Country]],"Image")</f>
        <v>#VALUE!</v>
      </c>
      <c r="G32" s="1" t="e" cm="1" vm="218">
        <f t="array" aca="1" ref="G32" ca="1">_FV(Table2[[#This Row],[Country]],"Capital/Major City",TRUE)</f>
        <v>#VALUE!</v>
      </c>
      <c r="H32" s="1" t="str" cm="1">
        <f t="array" aca="1" ref="H32" ca="1">_xlfn.ARRAYTOTEXT(_FV(Table2[[#This Row],[Country]],"Leader(s)",TRUE))</f>
        <v>George Vella (President), Robert Abela (Prime minister)</v>
      </c>
      <c r="K32" s="3" t="e" vm="219">
        <v>#VALUE!</v>
      </c>
      <c r="L32" s="9" cm="1">
        <f t="array" aca="1" ref="L32" ca="1">_FV(Table3[[#This Row],[Currency Pair]],"52 week high",TRUE)</f>
        <v>178.14</v>
      </c>
      <c r="M32" s="9" cm="1">
        <f t="array" aca="1" ref="M32" ca="1">_FV(Table3[[#This Row],[Currency Pair]],"52 week low",TRUE)</f>
        <v>154.76</v>
      </c>
      <c r="N32" s="9" cm="1">
        <f t="array" aca="1" ref="N32" ca="1">_FV(Table3[[#This Row],[Currency Pair]],"Price")</f>
        <v>178.03</v>
      </c>
      <c r="O32" s="5" t="str" cm="1">
        <f t="array" aca="1" ref="O32" ca="1">_FV(Table3[[#This Row],[Currency Pair]],"Instrument type",TRUE)</f>
        <v>Currency Pair</v>
      </c>
      <c r="P32" s="5" t="str" cm="1">
        <f t="array" aca="1" ref="P32" ca="1">_FV(Table3[[#This Row],[Currency Pair]],"Ticker symbol",TRUE)</f>
        <v>EURJPY</v>
      </c>
      <c r="Q32" s="5" cm="1">
        <f t="array" aca="1" ref="Q32" ca="1">_FV(Table3[[#This Row],[Currency Pair]],"Change (%)",TRUE)</f>
        <v>1.8010000000000001E-3</v>
      </c>
      <c r="R32" s="5" cm="1">
        <f t="array" aca="1" ref="R32" ca="1">_FV(Table3[[#This Row],[Currency Pair]],"Last trade time",TRUE)</f>
        <v>45957.217673611114</v>
      </c>
      <c r="W32" s="3" t="e" vm="220">
        <v>#VALUE!</v>
      </c>
      <c r="X32" s="6" cm="1">
        <f t="array" aca="1" ref="X32" ca="1">_FV(Table4[[#This Row],[Company]],"52 week high",TRUE)</f>
        <v>123.21</v>
      </c>
      <c r="Y32" s="6" cm="1">
        <f t="array" aca="1" ref="Y32" ca="1">_FV(Table4[[#This Row],[Company]],"Change")</f>
        <v>-0.59</v>
      </c>
      <c r="Z32" s="4" t="str" cm="1">
        <f t="array" aca="1" ref="Z32" ca="1">_FV(Table4[[#This Row],[Company]],"Headquarters")</f>
        <v>22777 SPRINGWOODS VILLAGE PARKWAY, SPRING, TX, 77389-1425 US</v>
      </c>
      <c r="AA32" s="60" cm="1">
        <f t="array" aca="1" ref="AA32" ca="1">_FV(Table4[[#This Row],[Company]],"Employees")</f>
        <v>61000</v>
      </c>
      <c r="AB32" s="4" t="str" cm="1">
        <f t="array" aca="1" ref="AB32" ca="1">_FV(Table4[[#This Row],[Company]],"Official name",TRUE)</f>
        <v>EXXON MOBIL CORPORATION</v>
      </c>
      <c r="AC32" s="4" t="str" cm="1">
        <f t="array" aca="1" ref="AC32" ca="1">_FV(Table4[[#This Row],[Company]],"Industry")</f>
        <v>Oil &amp; Gas</v>
      </c>
      <c r="AD32" s="61" cm="1">
        <f t="array" aca="1" ref="AD32" ca="1">_FV(Table4[[#This Row],[Company]],"Year incorporated",TRUE)</f>
        <v>1882</v>
      </c>
      <c r="AE32" s="6" cm="1">
        <f t="array" aca="1" ref="AE32" ca="1">_FV(Table4[[#This Row],[Company]],"52 week low",TRUE)</f>
        <v>97.8</v>
      </c>
      <c r="AF32" s="4" t="str" cm="1">
        <f t="array" aca="1" ref="AF32" ca="1">_FV(Table4[[#This Row],[Company]],"Headquarters")</f>
        <v>22777 SPRINGWOODS VILLAGE PARKWAY, SPRING, TX, 77389-1425 US</v>
      </c>
      <c r="AG32" s="6" cm="1">
        <f t="array" aca="1" ref="AG32" ca="1">_FV(Table4[[#This Row],[Company]],"Low")</f>
        <v>115.18</v>
      </c>
    </row>
    <row r="33" spans="1:33" ht="105.2" x14ac:dyDescent="0.4">
      <c r="A33" s="1" t="e" vm="221">
        <v>#VALUE!</v>
      </c>
      <c r="B33" s="1" cm="1" vm="222">
        <f t="array" aca="1" ref="B33" ca="1">_FV(Table2[[#This Row],[Country]],"Calling code",TRUE)</f>
        <v>692</v>
      </c>
      <c r="C33" s="1" cm="1" vm="223">
        <f t="array" aca="1" ref="C33" ca="1">_FV(Table2[[#This Row],[Country]],"GDP")</f>
        <v>221278000</v>
      </c>
      <c r="D33" s="1" t="str" cm="1">
        <f t="array" aca="1" ref="D33" ca="1">_FV(Table2[[#This Row],[Country]],"National anthem",TRUE)</f>
        <v>Forever Marshall Islands</v>
      </c>
      <c r="E33" s="1" t="e" cm="1" vm="224">
        <f t="array" aca="1" ref="E33" ca="1">_FV(Table2[[#This Row],[Country]],"Largest city",TRUE)</f>
        <v>#VALUE!</v>
      </c>
      <c r="F33" s="1" t="e" cm="1" vm="225">
        <f t="array" aca="1" ref="F33" ca="1">_FV(Table2[[#This Row],[Country]],"Image")</f>
        <v>#VALUE!</v>
      </c>
      <c r="G33" s="1" t="e" cm="1" vm="224">
        <f t="array" aca="1" ref="G33" ca="1">_FV(Table2[[#This Row],[Country]],"Capital/Major City",TRUE)</f>
        <v>#VALUE!</v>
      </c>
      <c r="H33" s="1" t="str" cm="1">
        <f t="array" aca="1" ref="H33" ca="1">_xlfn.ARRAYTOTEXT(_FV(Table2[[#This Row],[Country]],"Leader(s)",TRUE))</f>
        <v>David Kabua (President), Kenneth Kedi (Speaker)</v>
      </c>
      <c r="K33" s="3" t="e" vm="226">
        <v>#VALUE!</v>
      </c>
      <c r="L33" s="7" cm="1">
        <f t="array" aca="1" ref="L33" ca="1">_FV(Table3[[#This Row],[Currency Pair]],"52 week high",TRUE)</f>
        <v>6.4590000000000003E-3</v>
      </c>
      <c r="M33" s="7" cm="1">
        <f t="array" aca="1" ref="M33" ca="1">_FV(Table3[[#This Row],[Currency Pair]],"52 week low",TRUE)</f>
        <v>5.6140000000000001E-3</v>
      </c>
      <c r="N33" s="7" cm="1">
        <f t="array" aca="1" ref="N33" ca="1">_FV(Table3[[#This Row],[Currency Pair]],"Price")</f>
        <v>5.6150000000000002E-3</v>
      </c>
      <c r="O33" s="5" t="str" cm="1">
        <f t="array" aca="1" ref="O33" ca="1">_FV(Table3[[#This Row],[Currency Pair]],"Instrument type",TRUE)</f>
        <v>Currency Pair</v>
      </c>
      <c r="P33" s="5" t="str" cm="1">
        <f t="array" aca="1" ref="P33" ca="1">_FV(Table3[[#This Row],[Currency Pair]],"Ticker symbol",TRUE)</f>
        <v>JPYEUR</v>
      </c>
      <c r="Q33" s="5" cm="1">
        <f t="array" aca="1" ref="Q33" ca="1">_FV(Table3[[#This Row],[Currency Pair]],"Change (%)",TRUE)</f>
        <v>-1.7780000000000001E-3</v>
      </c>
      <c r="R33" s="5" cm="1">
        <f t="array" aca="1" ref="R33" ca="1">_FV(Table3[[#This Row],[Currency Pair]],"Last trade time",TRUE)</f>
        <v>45957.217766203707</v>
      </c>
      <c r="W33" s="3" t="e" vm="227">
        <v>#VALUE!</v>
      </c>
      <c r="X33" s="6" cm="1">
        <f t="array" aca="1" ref="X33" ca="1">_FV(Table4[[#This Row],[Company]],"52 week high",TRUE)</f>
        <v>105.11</v>
      </c>
      <c r="Y33" s="6" cm="1">
        <f t="array" aca="1" ref="Y33" ca="1">_FV(Table4[[#This Row],[Company]],"Change")</f>
        <v>0.31</v>
      </c>
      <c r="Z33" s="4" t="str" cm="1">
        <f t="array" aca="1" ref="Z33" ca="1">_FV(Table4[[#This Row],[Company]],"Headquarters")</f>
        <v>126 East Lincoln Avenue, P.O. Box 2000, RAHWAY, NJ, 07065 US</v>
      </c>
      <c r="AA33" s="60" cm="1">
        <f t="array" aca="1" ref="AA33" ca="1">_FV(Table4[[#This Row],[Company]],"Employees")</f>
        <v>75000</v>
      </c>
      <c r="AB33" s="4" t="str" cm="1">
        <f t="array" aca="1" ref="AB33" ca="1">_FV(Table4[[#This Row],[Company]],"Official name",TRUE)</f>
        <v>MERCK &amp; CO., INC.</v>
      </c>
      <c r="AC33" s="4" t="str" cm="1">
        <f t="array" aca="1" ref="AC33" ca="1">_FV(Table4[[#This Row],[Company]],"Industry")</f>
        <v>Pharmaceuticals</v>
      </c>
      <c r="AD33" s="61" cm="1">
        <f t="array" aca="1" ref="AD33" ca="1">_FV(Table4[[#This Row],[Company]],"Year incorporated",TRUE)</f>
        <v>1970</v>
      </c>
      <c r="AE33" s="6" cm="1">
        <f t="array" aca="1" ref="AE33" ca="1">_FV(Table4[[#This Row],[Company]],"52 week low",TRUE)</f>
        <v>73.31</v>
      </c>
      <c r="AF33" s="4" t="str" cm="1">
        <f t="array" aca="1" ref="AF33" ca="1">_FV(Table4[[#This Row],[Company]],"Headquarters")</f>
        <v>126 East Lincoln Avenue, P.O. Box 2000, RAHWAY, NJ, 07065 US</v>
      </c>
      <c r="AG33" s="6" cm="1">
        <f t="array" aca="1" ref="AG33" ca="1">_FV(Table4[[#This Row],[Company]],"Low")</f>
        <v>87.1083</v>
      </c>
    </row>
    <row r="34" spans="1:33" ht="122.75" x14ac:dyDescent="0.4">
      <c r="A34" s="1" t="e" vm="228">
        <v>#VALUE!</v>
      </c>
      <c r="B34" s="1" cm="1" vm="229">
        <f t="array" aca="1" ref="B34" ca="1">_FV(Table2[[#This Row],[Country]],"Calling code",TRUE)</f>
        <v>222</v>
      </c>
      <c r="C34" s="1" cm="1" vm="230">
        <f t="array" aca="1" ref="C34" ca="1">_FV(Table2[[#This Row],[Country]],"GDP")</f>
        <v>7593752450.2054996</v>
      </c>
      <c r="D34" s="1" t="str" cm="1">
        <f t="array" aca="1" ref="D34" ca="1">_FV(Table2[[#This Row],[Country]],"National anthem",TRUE)</f>
        <v>National anthem of Mauritania</v>
      </c>
      <c r="E34" s="1" t="e" cm="1" vm="231">
        <f t="array" aca="1" ref="E34" ca="1">_FV(Table2[[#This Row],[Country]],"Largest city",TRUE)</f>
        <v>#VALUE!</v>
      </c>
      <c r="F34" s="1" t="e" cm="1" vm="232">
        <f t="array" aca="1" ref="F34" ca="1">_FV(Table2[[#This Row],[Country]],"Image")</f>
        <v>#VALUE!</v>
      </c>
      <c r="G34" s="1" t="e" cm="1" vm="231">
        <f t="array" aca="1" ref="G34" ca="1">_FV(Table2[[#This Row],[Country]],"Capital/Major City",TRUE)</f>
        <v>#VALUE!</v>
      </c>
      <c r="H34" s="1" t="str" cm="1">
        <f t="array" aca="1" ref="H34" ca="1">_xlfn.ARRAYTOTEXT(_FV(Table2[[#This Row],[Country]],"Leader(s)",TRUE))</f>
        <v>Mohamed Ould Ghazouani (President), Mohamed Ould Bilal (Prime minister)</v>
      </c>
      <c r="K34" s="3" t="e" vm="233">
        <v>#VALUE!</v>
      </c>
      <c r="L34" s="9" cm="1">
        <f t="array" aca="1" ref="L34" ca="1">_FV(Table3[[#This Row],[Currency Pair]],"52 week high",TRUE)</f>
        <v>205.31</v>
      </c>
      <c r="M34" s="9" cm="1">
        <f t="array" aca="1" ref="M34" ca="1">_FV(Table3[[#This Row],[Currency Pair]],"52 week low",TRUE)</f>
        <v>184.31</v>
      </c>
      <c r="N34" s="9" cm="1">
        <f t="array" aca="1" ref="N34" ca="1">_FV(Table3[[#This Row],[Currency Pair]],"Price")</f>
        <v>203.92</v>
      </c>
      <c r="O34" s="5" t="str" cm="1">
        <f t="array" aca="1" ref="O34" ca="1">_FV(Table3[[#This Row],[Currency Pair]],"Instrument type",TRUE)</f>
        <v>Currency Pair</v>
      </c>
      <c r="P34" s="5" t="str" cm="1">
        <f t="array" aca="1" ref="P34" ca="1">_FV(Table3[[#This Row],[Currency Pair]],"Ticker symbol",TRUE)</f>
        <v>GBPJPY</v>
      </c>
      <c r="Q34" s="5" cm="1">
        <f t="array" aca="1" ref="Q34" ca="1">_FV(Table3[[#This Row],[Currency Pair]],"Change (%)",TRUE)</f>
        <v>2.31E-3</v>
      </c>
      <c r="R34" s="5" cm="1">
        <f t="array" aca="1" ref="R34" ca="1">_FV(Table3[[#This Row],[Currency Pair]],"Last trade time",TRUE)</f>
        <v>45957.217662037037</v>
      </c>
      <c r="W34" s="3" t="e" vm="234">
        <v>#VALUE!</v>
      </c>
      <c r="X34" s="6" cm="1">
        <f t="array" aca="1" ref="X34" ca="1">_FV(Table4[[#This Row],[Company]],"52 week high",TRUE)</f>
        <v>369</v>
      </c>
      <c r="Y34" s="6" cm="1">
        <f t="array" aca="1" ref="Y34" ca="1">_FV(Table4[[#This Row],[Company]],"Change")</f>
        <v>-0.22</v>
      </c>
      <c r="Z34" s="4" t="str" cm="1">
        <f t="array" aca="1" ref="Z34" ca="1">_FV(Table4[[#This Row],[Company]],"Headquarters")</f>
        <v>SALESFORCE TOWER, 415 MISSION STREET 3RD FL, SAN FRANCISCO, CA, 94105 US</v>
      </c>
      <c r="AA34" s="60" cm="1">
        <f t="array" aca="1" ref="AA34" ca="1">_FV(Table4[[#This Row],[Company]],"Employees")</f>
        <v>76453</v>
      </c>
      <c r="AB34" s="4" t="str" cm="1">
        <f t="array" aca="1" ref="AB34" ca="1">_FV(Table4[[#This Row],[Company]],"Official name",TRUE)</f>
        <v>SALESFORCE, INC.</v>
      </c>
      <c r="AC34" s="4" t="str" cm="1">
        <f t="array" aca="1" ref="AC34" ca="1">_FV(Table4[[#This Row],[Company]],"Industry")</f>
        <v>Software &amp; IT Services</v>
      </c>
      <c r="AD34" s="61" cm="1">
        <f t="array" aca="1" ref="AD34" ca="1">_FV(Table4[[#This Row],[Company]],"Year incorporated",TRUE)</f>
        <v>1999</v>
      </c>
      <c r="AE34" s="6" cm="1">
        <f t="array" aca="1" ref="AE34" ca="1">_FV(Table4[[#This Row],[Company]],"52 week low",TRUE)</f>
        <v>226.48</v>
      </c>
      <c r="AF34" s="4" t="str" cm="1">
        <f t="array" aca="1" ref="AF34" ca="1">_FV(Table4[[#This Row],[Company]],"Headquarters")</f>
        <v>SALESFORCE TOWER, 415 MISSION STREET 3RD FL, SAN FRANCISCO, CA, 94105 US</v>
      </c>
      <c r="AG34" s="6" cm="1">
        <f t="array" aca="1" ref="AG34" ca="1">_FV(Table4[[#This Row],[Company]],"Low")</f>
        <v>254</v>
      </c>
    </row>
    <row r="35" spans="1:33" ht="122.75" x14ac:dyDescent="0.4">
      <c r="A35" s="1" t="e" vm="235">
        <v>#VALUE!</v>
      </c>
      <c r="B35" s="1" cm="1" vm="236">
        <f t="array" aca="1" ref="B35" ca="1">_FV(Table2[[#This Row],[Country]],"Calling code",TRUE)</f>
        <v>230</v>
      </c>
      <c r="C35" s="1" cm="1" vm="237">
        <f t="array" aca="1" ref="C35" ca="1">_FV(Table2[[#This Row],[Country]],"GDP")</f>
        <v>14180444557.2047</v>
      </c>
      <c r="D35" s="1" t="str" cm="1">
        <f t="array" aca="1" ref="D35" ca="1">_FV(Table2[[#This Row],[Country]],"National anthem",TRUE)</f>
        <v>Motherland</v>
      </c>
      <c r="E35" s="1" t="e" cm="1" vm="238">
        <f t="array" aca="1" ref="E35" ca="1">_FV(Table2[[#This Row],[Country]],"Largest city",TRUE)</f>
        <v>#VALUE!</v>
      </c>
      <c r="F35" s="1" t="e" cm="1" vm="239">
        <f t="array" aca="1" ref="F35" ca="1">_FV(Table2[[#This Row],[Country]],"Image")</f>
        <v>#VALUE!</v>
      </c>
      <c r="G35" s="1" t="e" cm="1" vm="238">
        <f t="array" aca="1" ref="G35" ca="1">_FV(Table2[[#This Row],[Country]],"Capital/Major City",TRUE)</f>
        <v>#VALUE!</v>
      </c>
      <c r="H35" s="1" t="str" cm="1">
        <f t="array" aca="1" ref="H35" ca="1">_xlfn.ARRAYTOTEXT(_FV(Table2[[#This Row],[Country]],"Leader(s)",TRUE))</f>
        <v>Prithvirajsing Roopun (President), Eddy Boissézon (Vice president), Pravind Jugnauth (Prime minister)</v>
      </c>
      <c r="K35" s="3" t="e" vm="240">
        <v>#VALUE!</v>
      </c>
      <c r="L35" s="8" cm="1">
        <f t="array" aca="1" ref="L35" ca="1">_FV(Table3[[#This Row],[Currency Pair]],"52 week high",TRUE)</f>
        <v>5.4229999999999999E-3</v>
      </c>
      <c r="M35" s="8" cm="1">
        <f t="array" aca="1" ref="M35" ca="1">_FV(Table3[[#This Row],[Currency Pair]],"52 week low",TRUE)</f>
        <v>4.8679999999999999E-3</v>
      </c>
      <c r="N35" s="8" cm="1">
        <f t="array" aca="1" ref="N35" ca="1">_FV(Table3[[#This Row],[Currency Pair]],"Price")</f>
        <v>4.8999999999999998E-3</v>
      </c>
      <c r="O35" s="5" t="str" cm="1">
        <f t="array" aca="1" ref="O35" ca="1">_FV(Table3[[#This Row],[Currency Pair]],"Instrument type",TRUE)</f>
        <v>Currency Pair</v>
      </c>
      <c r="P35" s="5" t="str" cm="1">
        <f t="array" aca="1" ref="P35" ca="1">_FV(Table3[[#This Row],[Currency Pair]],"Ticker symbol",TRUE)</f>
        <v>JPYGBP</v>
      </c>
      <c r="Q35" s="5" cm="1">
        <f t="array" aca="1" ref="Q35" ca="1">_FV(Table3[[#This Row],[Currency Pair]],"Change (%)",TRUE)</f>
        <v>-2.2400000000000002E-3</v>
      </c>
      <c r="R35" s="5" cm="1">
        <f t="array" aca="1" ref="R35" ca="1">_FV(Table3[[#This Row],[Currency Pair]],"Last trade time",TRUE)</f>
        <v>45957.217800925922</v>
      </c>
      <c r="W35" s="3" t="e" vm="234">
        <v>#VALUE!</v>
      </c>
      <c r="X35" s="6" cm="1">
        <f t="array" aca="1" ref="X35" ca="1">_FV(Table4[[#This Row],[Company]],"52 week high",TRUE)</f>
        <v>369</v>
      </c>
      <c r="Y35" s="6" cm="1">
        <f t="array" aca="1" ref="Y35" ca="1">_FV(Table4[[#This Row],[Company]],"Change")</f>
        <v>-0.22</v>
      </c>
      <c r="Z35" s="4" t="str" cm="1">
        <f t="array" aca="1" ref="Z35" ca="1">_FV(Table4[[#This Row],[Company]],"Headquarters")</f>
        <v>SALESFORCE TOWER, 415 MISSION STREET 3RD FL, SAN FRANCISCO, CA, 94105 US</v>
      </c>
      <c r="AA35" s="60" cm="1">
        <f t="array" aca="1" ref="AA35" ca="1">_FV(Table4[[#This Row],[Company]],"Employees")</f>
        <v>76453</v>
      </c>
      <c r="AB35" s="4" t="str" cm="1">
        <f t="array" aca="1" ref="AB35" ca="1">_FV(Table4[[#This Row],[Company]],"Official name",TRUE)</f>
        <v>SALESFORCE, INC.</v>
      </c>
      <c r="AC35" s="4" t="str" cm="1">
        <f t="array" aca="1" ref="AC35" ca="1">_FV(Table4[[#This Row],[Company]],"Industry")</f>
        <v>Software &amp; IT Services</v>
      </c>
      <c r="AD35" s="61" cm="1">
        <f t="array" aca="1" ref="AD35" ca="1">_FV(Table4[[#This Row],[Company]],"Year incorporated",TRUE)</f>
        <v>1999</v>
      </c>
      <c r="AE35" s="6" cm="1">
        <f t="array" aca="1" ref="AE35" ca="1">_FV(Table4[[#This Row],[Company]],"52 week low",TRUE)</f>
        <v>226.48</v>
      </c>
      <c r="AF35" s="4" t="str" cm="1">
        <f t="array" aca="1" ref="AF35" ca="1">_FV(Table4[[#This Row],[Company]],"Headquarters")</f>
        <v>SALESFORCE TOWER, 415 MISSION STREET 3RD FL, SAN FRANCISCO, CA, 94105 US</v>
      </c>
      <c r="AG35" s="6" cm="1">
        <f t="array" aca="1" ref="AG35" ca="1">_FV(Table4[[#This Row],[Company]],"Low")</f>
        <v>254</v>
      </c>
    </row>
    <row r="36" spans="1:33" ht="70.150000000000006" x14ac:dyDescent="0.4">
      <c r="A36" s="1" t="e" vm="241">
        <v>#VALUE!</v>
      </c>
      <c r="B36" s="1" cm="1" vm="242">
        <f t="array" aca="1" ref="B36" ca="1">_FV(Table2[[#This Row],[Country]],"Calling code",TRUE)</f>
        <v>52</v>
      </c>
      <c r="C36" s="1" cm="1" vm="243">
        <f t="array" aca="1" ref="C36" ca="1">_FV(Table2[[#This Row],[Country]],"GDP")</f>
        <v>1258286717124.53</v>
      </c>
      <c r="D36" s="1" t="str" cm="1">
        <f t="array" aca="1" ref="D36" ca="1">_FV(Table2[[#This Row],[Country]],"National anthem",TRUE)</f>
        <v>Himno Nacional Mexicano</v>
      </c>
      <c r="E36" s="1" t="e" cm="1" vm="244">
        <f t="array" aca="1" ref="E36" ca="1">_FV(Table2[[#This Row],[Country]],"Largest city",TRUE)</f>
        <v>#VALUE!</v>
      </c>
      <c r="F36" s="1" t="e" cm="1" vm="245">
        <f t="array" aca="1" ref="F36" ca="1">_FV(Table2[[#This Row],[Country]],"Image")</f>
        <v>#VALUE!</v>
      </c>
      <c r="G36" s="1" t="e" cm="1" vm="244">
        <f t="array" aca="1" ref="G36" ca="1">_FV(Table2[[#This Row],[Country]],"Capital/Major City",TRUE)</f>
        <v>#VALUE!</v>
      </c>
      <c r="H36" s="1" t="str" cm="1">
        <f t="array" aca="1" ref="H36" ca="1">_xlfn.ARRAYTOTEXT(_FV(Table2[[#This Row],[Country]],"Leader(s)",TRUE))</f>
        <v>Andrés Manuel López Obrador (President), Norma Lucía Piña Hernández (Chief justice)</v>
      </c>
      <c r="K36" s="3" t="e" vm="246">
        <v>#VALUE!</v>
      </c>
      <c r="L36" s="19" cm="1">
        <f t="array" aca="1" ref="L36" ca="1">_FV(Table3[[#This Row],[Currency Pair]],"52 week high",TRUE)</f>
        <v>42.058500000000002</v>
      </c>
      <c r="M36" s="19" cm="1">
        <f t="array" aca="1" ref="M36" ca="1">_FV(Table3[[#This Row],[Currency Pair]],"52 week low",TRUE)</f>
        <v>33.906999999999996</v>
      </c>
      <c r="N36" s="19" cm="1">
        <f t="array" aca="1" ref="N36" ca="1">_FV(Table3[[#This Row],[Currency Pair]],"Price")</f>
        <v>41.997</v>
      </c>
      <c r="O36" s="5" t="str" cm="1">
        <f t="array" aca="1" ref="O36" ca="1">_FV(Table3[[#This Row],[Currency Pair]],"Instrument type",TRUE)</f>
        <v>Currency Pair</v>
      </c>
      <c r="P36" s="5" t="str" cm="1">
        <f t="array" aca="1" ref="P36" ca="1">_FV(Table3[[#This Row],[Currency Pair]],"Ticker symbol",TRUE)</f>
        <v>USDTRY</v>
      </c>
      <c r="Q36" s="5" cm="1">
        <f t="array" aca="1" ref="Q36" ca="1">_FV(Table3[[#This Row],[Currency Pair]],"Change (%)",TRUE)</f>
        <v>1.8440000000000002E-3</v>
      </c>
      <c r="R36" s="5" cm="1">
        <f t="array" aca="1" ref="R36" ca="1">_FV(Table3[[#This Row],[Currency Pair]],"Last trade time",TRUE)</f>
        <v>45957.216921296298</v>
      </c>
      <c r="W36" s="3" t="e" vm="247">
        <v>#VALUE!</v>
      </c>
      <c r="X36" s="6" cm="1">
        <f t="array" aca="1" ref="X36" ca="1">_FV(Table4[[#This Row],[Company]],"52 week high",TRUE)</f>
        <v>74.38</v>
      </c>
      <c r="Y36" s="6" cm="1">
        <f t="array" aca="1" ref="Y36" ca="1">_FV(Table4[[#This Row],[Company]],"Change")</f>
        <v>-0.23</v>
      </c>
      <c r="Z36" s="4" t="str" cm="1">
        <f t="array" aca="1" ref="Z36" ca="1">_FV(Table4[[#This Row],[Company]],"Headquarters")</f>
        <v>1 Coca Cola Plz NW, ATLANTA, GA, 30313-2420 US</v>
      </c>
      <c r="AA36" s="60" cm="1">
        <f t="array" aca="1" ref="AA36" ca="1">_FV(Table4[[#This Row],[Company]],"Employees")</f>
        <v>69700</v>
      </c>
      <c r="AB36" s="4" t="str" cm="1">
        <f t="array" aca="1" ref="AB36" ca="1">_FV(Table4[[#This Row],[Company]],"Official name",TRUE)</f>
        <v>THE COCA-COLA COMPANY</v>
      </c>
      <c r="AC36" s="4" t="str" cm="1">
        <f t="array" aca="1" ref="AC36" ca="1">_FV(Table4[[#This Row],[Company]],"Industry")</f>
        <v>Beverages</v>
      </c>
      <c r="AD36" s="61" cm="1">
        <f t="array" aca="1" ref="AD36" ca="1">_FV(Table4[[#This Row],[Company]],"Year incorporated",TRUE)</f>
        <v>1919</v>
      </c>
      <c r="AE36" s="6" cm="1">
        <f t="array" aca="1" ref="AE36" ca="1">_FV(Table4[[#This Row],[Company]],"52 week low",TRUE)</f>
        <v>60.615000000000002</v>
      </c>
      <c r="AF36" s="4" t="str" cm="1">
        <f t="array" aca="1" ref="AF36" ca="1">_FV(Table4[[#This Row],[Company]],"Headquarters")</f>
        <v>1 Coca Cola Plz NW, ATLANTA, GA, 30313-2420 US</v>
      </c>
      <c r="AG36" s="6" cm="1">
        <f t="array" aca="1" ref="AG36" ca="1">_FV(Table4[[#This Row],[Company]],"Low")</f>
        <v>69.644999999999996</v>
      </c>
    </row>
    <row r="37" spans="1:33" ht="70.150000000000006" x14ac:dyDescent="0.4">
      <c r="A37" s="1" t="e" vm="248">
        <v>#VALUE!</v>
      </c>
      <c r="B37" s="1" cm="1" vm="249">
        <f t="array" aca="1" ref="B37" ca="1">_FV(Table2[[#This Row],[Country]],"Calling code",TRUE)</f>
        <v>691</v>
      </c>
      <c r="C37" s="1" cm="1" vm="250">
        <f t="array" aca="1" ref="C37" ca="1">_FV(Table2[[#This Row],[Country]],"GDP")</f>
        <v>401932279.01922101</v>
      </c>
      <c r="D37" s="1" t="str" cm="1">
        <f t="array" aca="1" ref="D37" ca="1">_FV(Table2[[#This Row],[Country]],"National anthem",TRUE)</f>
        <v>Patriots of Micronesia</v>
      </c>
      <c r="E37" s="1" t="e" cm="1" vm="251">
        <f t="array" aca="1" ref="E37" ca="1">_FV(Table2[[#This Row],[Country]],"Largest city",TRUE)</f>
        <v>#VALUE!</v>
      </c>
      <c r="F37" s="1" t="e" cm="1" vm="252">
        <f t="array" aca="1" ref="F37" ca="1">_FV(Table2[[#This Row],[Country]],"Image")</f>
        <v>#VALUE!</v>
      </c>
      <c r="G37" s="1" t="e" cm="1" vm="251">
        <f t="array" aca="1" ref="G37" ca="1">_FV(Table2[[#This Row],[Country]],"Capital/Major City",TRUE)</f>
        <v>#VALUE!</v>
      </c>
      <c r="H37" s="1" t="str" cm="1">
        <f t="array" aca="1" ref="H37" ca="1">_xlfn.ARRAYTOTEXT(_FV(Table2[[#This Row],[Country]],"Leader(s)",TRUE))</f>
        <v>Wesley Simina (President), Aren Palik (Vice president)</v>
      </c>
      <c r="K37" s="3" t="e" vm="253">
        <v>#VALUE!</v>
      </c>
      <c r="L37" s="6" cm="1">
        <f t="array" aca="1" ref="L37" ca="1">_FV(Table3[[#This Row],[Currency Pair]],"52 week high",TRUE)</f>
        <v>2.93E-2</v>
      </c>
      <c r="M37" s="6" cm="1">
        <f t="array" aca="1" ref="M37" ca="1">_FV(Table3[[#This Row],[Currency Pair]],"52 week low",TRUE)</f>
        <v>2.35E-2</v>
      </c>
      <c r="N37" s="6" cm="1">
        <f t="array" aca="1" ref="N37" ca="1">_FV(Table3[[#This Row],[Currency Pair]],"Price")</f>
        <v>2.3800000000000002E-2</v>
      </c>
      <c r="O37" s="5" t="str" cm="1">
        <f t="array" aca="1" ref="O37" ca="1">_FV(Table3[[#This Row],[Currency Pair]],"Instrument type",TRUE)</f>
        <v>Currency Pair</v>
      </c>
      <c r="P37" s="5" t="str" cm="1">
        <f t="array" aca="1" ref="P37" ca="1">_FV(Table3[[#This Row],[Currency Pair]],"Ticker symbol",TRUE)</f>
        <v>TRYUSD</v>
      </c>
      <c r="Q37" s="5" cm="1">
        <f t="array" aca="1" ref="Q37" ca="1">_FV(Table3[[#This Row],[Currency Pair]],"Change (%)",TRUE)</f>
        <v>0</v>
      </c>
      <c r="R37" s="5" cm="1">
        <f t="array" aca="1" ref="R37" ca="1">_FV(Table3[[#This Row],[Currency Pair]],"Last trade time",TRUE)</f>
        <v>45957.217731481483</v>
      </c>
      <c r="W37" s="3" t="e" vm="254">
        <v>#VALUE!</v>
      </c>
      <c r="X37" s="6" cm="1">
        <f t="array" aca="1" ref="X37" ca="1">_FV(Table4[[#This Row],[Company]],"52 week high",TRUE)</f>
        <v>72.55</v>
      </c>
      <c r="Y37" s="6" cm="1">
        <f t="array" aca="1" ref="Y37" ca="1">_FV(Table4[[#This Row],[Company]],"Change")</f>
        <v>0.36</v>
      </c>
      <c r="Z37" s="4" t="str" cm="1">
        <f t="array" aca="1" ref="Z37" ca="1">_FV(Table4[[#This Row],[Company]],"Headquarters")</f>
        <v>170 West Tasman Dr, SAN JOSE, CA, 95134-1706 US</v>
      </c>
      <c r="AA37" s="60" cm="1">
        <f t="array" aca="1" ref="AA37" ca="1">_FV(Table4[[#This Row],[Company]],"Employees")</f>
        <v>86200</v>
      </c>
      <c r="AB37" s="4" t="str" cm="1">
        <f t="array" aca="1" ref="AB37" ca="1">_FV(Table4[[#This Row],[Company]],"Official name",TRUE)</f>
        <v>CISCO SYSTEMS, INC.</v>
      </c>
      <c r="AC37" s="4" t="str" cm="1">
        <f t="array" aca="1" ref="AC37" ca="1">_FV(Table4[[#This Row],[Company]],"Industry")</f>
        <v>Communications &amp; Networking</v>
      </c>
      <c r="AD37" s="61" cm="1">
        <f t="array" aca="1" ref="AD37" ca="1">_FV(Table4[[#This Row],[Company]],"Year incorporated",TRUE)</f>
        <v>2021</v>
      </c>
      <c r="AE37" s="6" cm="1">
        <f t="array" aca="1" ref="AE37" ca="1">_FV(Table4[[#This Row],[Company]],"52 week low",TRUE)</f>
        <v>52.11</v>
      </c>
      <c r="AF37" s="4" t="str" cm="1">
        <f t="array" aca="1" ref="AF37" ca="1">_FV(Table4[[#This Row],[Company]],"Headquarters")</f>
        <v>170 West Tasman Dr, SAN JOSE, CA, 95134-1706 US</v>
      </c>
      <c r="AG37" s="6" cm="1">
        <f t="array" aca="1" ref="AG37" ca="1">_FV(Table4[[#This Row],[Company]],"Low")</f>
        <v>70.06</v>
      </c>
    </row>
    <row r="38" spans="1:33" ht="87.65" x14ac:dyDescent="0.4">
      <c r="A38" s="1" t="e" vm="255">
        <v>#VALUE!</v>
      </c>
      <c r="B38" s="1" cm="1" vm="256">
        <f t="array" aca="1" ref="B38" ca="1">_FV(Table2[[#This Row],[Country]],"Calling code",TRUE)</f>
        <v>373</v>
      </c>
      <c r="C38" s="1" cm="1" vm="257">
        <f t="array" aca="1" ref="C38" ca="1">_FV(Table2[[#This Row],[Country]],"GDP")</f>
        <v>11955435456.7957</v>
      </c>
      <c r="D38" s="1" t="str" cm="1">
        <f t="array" aca="1" ref="D38" ca="1">_FV(Table2[[#This Row],[Country]],"National anthem",TRUE)</f>
        <v>Limba noastră</v>
      </c>
      <c r="E38" s="1" t="e" cm="1" vm="258">
        <f t="array" aca="1" ref="E38" ca="1">_FV(Table2[[#This Row],[Country]],"Largest city",TRUE)</f>
        <v>#VALUE!</v>
      </c>
      <c r="F38" s="1" t="e" cm="1" vm="259">
        <f t="array" aca="1" ref="F38" ca="1">_FV(Table2[[#This Row],[Country]],"Image")</f>
        <v>#VALUE!</v>
      </c>
      <c r="G38" s="1" t="e" cm="1" vm="258">
        <f t="array" aca="1" ref="G38" ca="1">_FV(Table2[[#This Row],[Country]],"Capital/Major City",TRUE)</f>
        <v>#VALUE!</v>
      </c>
      <c r="H38" s="1" t="str" cm="1">
        <f t="array" aca="1" ref="H38" ca="1">_xlfn.ARRAYTOTEXT(_FV(Table2[[#This Row],[Country]],"Leader(s)",TRUE))</f>
        <v>Maia Sandu (President), Dorin Recean (Prime minister)</v>
      </c>
      <c r="K38" s="3" t="e" vm="260">
        <v>#VALUE!</v>
      </c>
      <c r="L38" s="20" cm="1">
        <f t="array" aca="1" ref="L38" ca="1">_FV(Table3[[#This Row],[Currency Pair]],"52 week high",TRUE)</f>
        <v>21.2882</v>
      </c>
      <c r="M38" s="20" cm="1">
        <f t="array" aca="1" ref="M38" ca="1">_FV(Table3[[#This Row],[Currency Pair]],"52 week low",TRUE)</f>
        <v>18.193000000000001</v>
      </c>
      <c r="N38" s="20" cm="1">
        <f t="array" aca="1" ref="N38" ca="1">_FV(Table3[[#This Row],[Currency Pair]],"Price")</f>
        <v>18.418199999999999</v>
      </c>
      <c r="O38" s="5" t="str" cm="1">
        <f t="array" aca="1" ref="O38" ca="1">_FV(Table3[[#This Row],[Currency Pair]],"Instrument type",TRUE)</f>
        <v>Currency Pair</v>
      </c>
      <c r="P38" s="5" t="str" cm="1">
        <f t="array" aca="1" ref="P38" ca="1">_FV(Table3[[#This Row],[Currency Pair]],"Ticker symbol",TRUE)</f>
        <v>USDMXN</v>
      </c>
      <c r="Q38" s="5" cm="1">
        <f t="array" aca="1" ref="Q38" ca="1">_FV(Table3[[#This Row],[Currency Pair]],"Change (%)",TRUE)</f>
        <v>-1.2800000000000001E-3</v>
      </c>
      <c r="R38" s="5" cm="1">
        <f t="array" aca="1" ref="R38" ca="1">_FV(Table3[[#This Row],[Currency Pair]],"Last trade time",TRUE)</f>
        <v>45957.217731481483</v>
      </c>
      <c r="W38" s="3" t="e" vm="261">
        <v>#VALUE!</v>
      </c>
      <c r="X38" s="6" cm="1">
        <f t="array" aca="1" ref="X38" ca="1">_FV(Table4[[#This Row],[Company]],"52 week high",TRUE)</f>
        <v>47.354999999999997</v>
      </c>
      <c r="Y38" s="6" cm="1">
        <f t="array" aca="1" ref="Y38" ca="1">_FV(Table4[[#This Row],[Company]],"Change")</f>
        <v>0.42</v>
      </c>
      <c r="Z38" s="4" t="str" cm="1">
        <f t="array" aca="1" ref="Z38" ca="1">_FV(Table4[[#This Row],[Company]],"Headquarters")</f>
        <v>1095 Avenue Of The Americas, NEW YORK, NY, 10036 US</v>
      </c>
      <c r="AA38" s="60" cm="1">
        <f t="array" aca="1" ref="AA38" ca="1">_FV(Table4[[#This Row],[Company]],"Employees")</f>
        <v>99600</v>
      </c>
      <c r="AB38" s="4" t="str" cm="1">
        <f t="array" aca="1" ref="AB38" ca="1">_FV(Table4[[#This Row],[Company]],"Official name",TRUE)</f>
        <v>VERIZON COMMUNICATIONS INC.</v>
      </c>
      <c r="AC38" s="4" t="str" cm="1">
        <f t="array" aca="1" ref="AC38" ca="1">_FV(Table4[[#This Row],[Company]],"Industry")</f>
        <v>Telecommunications Services</v>
      </c>
      <c r="AD38" s="61" cm="1">
        <f t="array" aca="1" ref="AD38" ca="1">_FV(Table4[[#This Row],[Company]],"Year incorporated",TRUE)</f>
        <v>1983</v>
      </c>
      <c r="AE38" s="6" cm="1">
        <f t="array" aca="1" ref="AE38" ca="1">_FV(Table4[[#This Row],[Company]],"52 week low",TRUE)</f>
        <v>37.585000000000001</v>
      </c>
      <c r="AF38" s="4" t="str" cm="1">
        <f t="array" aca="1" ref="AF38" ca="1">_FV(Table4[[#This Row],[Company]],"Headquarters")</f>
        <v>1095 Avenue Of The Americas, NEW YORK, NY, 10036 US</v>
      </c>
      <c r="AG38" s="6" cm="1">
        <f t="array" aca="1" ref="AG38" ca="1">_FV(Table4[[#This Row],[Company]],"Low")</f>
        <v>38.54</v>
      </c>
    </row>
    <row r="39" spans="1:33" ht="105.2" x14ac:dyDescent="0.4">
      <c r="A39" s="1" t="e" vm="262">
        <v>#VALUE!</v>
      </c>
      <c r="B39" s="1" cm="1" vm="263">
        <f t="array" aca="1" ref="B39" ca="1">_FV(Table2[[#This Row],[Country]],"Calling code",TRUE)</f>
        <v>377</v>
      </c>
      <c r="C39" s="1" cm="1" vm="264">
        <f t="array" aca="1" ref="C39" ca="1">_FV(Table2[[#This Row],[Country]],"GDP")</f>
        <v>7184844192.6345596</v>
      </c>
      <c r="D39" s="1" t="str" cm="1">
        <f t="array" aca="1" ref="D39" ca="1">_FV(Table2[[#This Row],[Country]],"National anthem",TRUE)</f>
        <v>Hymne monégasque</v>
      </c>
      <c r="E39" s="1" t="e" cm="1" vm="265">
        <f t="array" aca="1" ref="E39" ca="1">_FV(Table2[[#This Row],[Country]],"Largest city",TRUE)</f>
        <v>#VALUE!</v>
      </c>
      <c r="F39" s="1" t="e" cm="1" vm="266">
        <f t="array" aca="1" ref="F39" ca="1">_FV(Table2[[#This Row],[Country]],"Image")</f>
        <v>#VALUE!</v>
      </c>
      <c r="G39" s="1" t="e" cm="1" vm="265">
        <f t="array" aca="1" ref="G39" ca="1">_FV(Table2[[#This Row],[Country]],"Capital/Major City",TRUE)</f>
        <v>#VALUE!</v>
      </c>
      <c r="H39" s="1" t="str" cm="1">
        <f t="array" aca="1" ref="H39" ca="1">_xlfn.ARRAYTOTEXT(_FV(Table2[[#This Row],[Country]],"Leader(s)",TRUE))</f>
        <v>Albert II, Prince of Monaco (Monarch), Pierre Dartout (Prime minister)</v>
      </c>
      <c r="K39" s="3" t="e" vm="267">
        <v>#VALUE!</v>
      </c>
      <c r="L39" s="6" cm="1">
        <f t="array" aca="1" ref="L39" ca="1">_FV(Table3[[#This Row],[Currency Pair]],"52 week high",TRUE)</f>
        <v>5.4940000000000003E-2</v>
      </c>
      <c r="M39" s="6" cm="1">
        <f t="array" aca="1" ref="M39" ca="1">_FV(Table3[[#This Row],[Currency Pair]],"52 week low",TRUE)</f>
        <v>4.6949999999999999E-2</v>
      </c>
      <c r="N39" s="6" cm="1">
        <f t="array" aca="1" ref="N39" ca="1">_FV(Table3[[#This Row],[Currency Pair]],"Price")</f>
        <v>5.4260000000000003E-2</v>
      </c>
      <c r="O39" s="5" t="str" cm="1">
        <f t="array" aca="1" ref="O39" ca="1">_FV(Table3[[#This Row],[Currency Pair]],"Instrument type",TRUE)</f>
        <v>Currency Pair</v>
      </c>
      <c r="P39" s="5" t="str" cm="1">
        <f t="array" aca="1" ref="P39" ca="1">_FV(Table3[[#This Row],[Currency Pair]],"Ticker symbol",TRUE)</f>
        <v>MXNUSD</v>
      </c>
      <c r="Q39" s="5" cm="1">
        <f t="array" aca="1" ref="Q39" ca="1">_FV(Table3[[#This Row],[Currency Pair]],"Change (%)",TRUE)</f>
        <v>1.8649999999999999E-3</v>
      </c>
      <c r="R39" s="5" cm="1">
        <f t="array" aca="1" ref="R39" ca="1">_FV(Table3[[#This Row],[Currency Pair]],"Last trade time",TRUE)</f>
        <v>45957.21769675926</v>
      </c>
      <c r="W39" s="3" t="e" vm="268">
        <v>#VALUE!</v>
      </c>
      <c r="X39" s="6" cm="1">
        <f t="array" aca="1" ref="X39" ca="1">_FV(Table4[[#This Row],[Company]],"52 week high",TRUE)</f>
        <v>16.75</v>
      </c>
      <c r="Y39" s="6" cm="1">
        <f t="array" aca="1" ref="Y39" ca="1">_FV(Table4[[#This Row],[Company]],"Change")</f>
        <v>0</v>
      </c>
      <c r="Z39" s="4" t="str" cm="1">
        <f t="array" aca="1" ref="Z39" ca="1">_FV(Table4[[#This Row],[Company]],"Headquarters")</f>
        <v>Toshiba Bldg., 1-1-1, Shibaura, MINATO-KU, TOKYO-TO, 105-8001 JP</v>
      </c>
      <c r="AA39" s="60" cm="1">
        <f t="array" aca="1" ref="AA39" ca="1">_FV(Table4[[#This Row],[Company]],"Employees")</f>
        <v>106648</v>
      </c>
      <c r="AB39" s="4" t="str" cm="1">
        <f t="array" aca="1" ref="AB39" ca="1">_FV(Table4[[#This Row],[Company]],"Official name",TRUE)</f>
        <v>TOSHIBA CORPORATION</v>
      </c>
      <c r="AC39" s="4" t="str" cm="1">
        <f t="array" aca="1" ref="AC39" ca="1">_FV(Table4[[#This Row],[Company]],"Industry")</f>
        <v>Consumer Goods Conglomerates</v>
      </c>
      <c r="AD39" s="61" cm="1">
        <f t="array" aca="1" ref="AD39" ca="1">_FV(Table4[[#This Row],[Company]],"Year incorporated",TRUE)</f>
        <v>1904</v>
      </c>
      <c r="AE39" s="6" cm="1">
        <f t="array" aca="1" ref="AE39" ca="1">_FV(Table4[[#This Row],[Company]],"52 week low",TRUE)</f>
        <v>14.25</v>
      </c>
      <c r="AF39" s="4" t="str" cm="1">
        <f t="array" aca="1" ref="AF39" ca="1">_FV(Table4[[#This Row],[Company]],"Headquarters")</f>
        <v>Toshiba Bldg., 1-1-1, Shibaura, MINATO-KU, TOKYO-TO, 105-8001 JP</v>
      </c>
      <c r="AG39" s="6" cm="1">
        <f t="array" aca="1" ref="AG39" ca="1">_FV(Table4[[#This Row],[Company]],"Low")</f>
        <v>14.81</v>
      </c>
    </row>
    <row r="40" spans="1:33" ht="70.150000000000006" x14ac:dyDescent="0.4">
      <c r="A40" s="1" t="e" vm="269">
        <v>#VALUE!</v>
      </c>
      <c r="B40" s="1" cm="1" vm="270">
        <f t="array" aca="1" ref="B40" ca="1">_FV(Table2[[#This Row],[Country]],"Calling code",TRUE)</f>
        <v>976</v>
      </c>
      <c r="C40" s="1" cm="1" vm="271">
        <f t="array" aca="1" ref="C40" ca="1">_FV(Table2[[#This Row],[Country]],"GDP")</f>
        <v>13852850259.485399</v>
      </c>
      <c r="D40" s="1" t="str" cm="1">
        <f t="array" aca="1" ref="D40" ca="1">_FV(Table2[[#This Row],[Country]],"National anthem",TRUE)</f>
        <v>National anthem of Mongolia</v>
      </c>
      <c r="E40" s="1" t="e" cm="1" vm="272">
        <f t="array" aca="1" ref="E40" ca="1">_FV(Table2[[#This Row],[Country]],"Largest city",TRUE)</f>
        <v>#VALUE!</v>
      </c>
      <c r="F40" s="1" t="e" cm="1" vm="273">
        <f t="array" aca="1" ref="F40" ca="1">_FV(Table2[[#This Row],[Country]],"Image")</f>
        <v>#VALUE!</v>
      </c>
      <c r="G40" s="1" t="e" cm="1" vm="272">
        <f t="array" aca="1" ref="G40" ca="1">_FV(Table2[[#This Row],[Country]],"Capital/Major City",TRUE)</f>
        <v>#VALUE!</v>
      </c>
      <c r="H40" s="1" t="str" cm="1">
        <f t="array" aca="1" ref="H40" ca="1">_xlfn.ARRAYTOTEXT(_FV(Table2[[#This Row],[Country]],"Leader(s)",TRUE))</f>
        <v>Ukhnaagiin Khürelsükh (President), Luvsannamsrain Oyun-Erdene (Prime minister)</v>
      </c>
      <c r="K40" s="3" t="e" vm="274">
        <v>#VALUE!</v>
      </c>
      <c r="L40" s="21" cm="1">
        <f t="array" aca="1" ref="L40" ca="1">_FV(Table3[[#This Row],[Currency Pair]],"52 week high",TRUE)</f>
        <v>6.3139000000000003</v>
      </c>
      <c r="M40" s="21" cm="1">
        <f t="array" aca="1" ref="M40" ca="1">_FV(Table3[[#This Row],[Currency Pair]],"52 week low",TRUE)</f>
        <v>5.2689000000000004</v>
      </c>
      <c r="N40" s="21" cm="1">
        <f t="array" aca="1" ref="N40" ca="1">_FV(Table3[[#This Row],[Currency Pair]],"Price")</f>
        <v>5.3898999999999999</v>
      </c>
      <c r="O40" s="5" t="str" cm="1">
        <f t="array" aca="1" ref="O40" ca="1">_FV(Table3[[#This Row],[Currency Pair]],"Instrument type",TRUE)</f>
        <v>Currency Pair</v>
      </c>
      <c r="P40" s="5" t="str" cm="1">
        <f t="array" aca="1" ref="P40" ca="1">_FV(Table3[[#This Row],[Currency Pair]],"Ticker symbol",TRUE)</f>
        <v>USDBRL</v>
      </c>
      <c r="Q40" s="5" cm="1">
        <f t="array" aca="1" ref="Q40" ca="1">_FV(Table3[[#This Row],[Currency Pair]],"Change (%)",TRUE)</f>
        <v>2.2270000000000002E-4</v>
      </c>
      <c r="R40" s="5" cm="1">
        <f t="array" aca="1" ref="R40" ca="1">_FV(Table3[[#This Row],[Currency Pair]],"Last trade time",TRUE)</f>
        <v>45956.875023148146</v>
      </c>
      <c r="W40" s="3" t="e" vm="275">
        <v>#VALUE!</v>
      </c>
      <c r="X40" s="6" cm="1">
        <f t="array" aca="1" ref="X40" ca="1">_FV(Table4[[#This Row],[Company]],"52 week high",TRUE)</f>
        <v>180.43</v>
      </c>
      <c r="Y40" s="6" cm="1">
        <f t="array" aca="1" ref="Y40" ca="1">_FV(Table4[[#This Row],[Company]],"Change")</f>
        <v>1.337</v>
      </c>
      <c r="Z40" s="4" t="str" cm="1">
        <f t="array" aca="1" ref="Z40" ca="1">_FV(Table4[[#This Row],[Company]],"Headquarters")</f>
        <v>One Procter &amp; Gamble Plaza, CINCINNATI, OH, 45202 US</v>
      </c>
      <c r="AA40" s="60" cm="1">
        <f t="array" aca="1" ref="AA40" ca="1">_FV(Table4[[#This Row],[Company]],"Employees")</f>
        <v>109000</v>
      </c>
      <c r="AB40" s="4" t="str" cm="1">
        <f t="array" aca="1" ref="AB40" ca="1">_FV(Table4[[#This Row],[Company]],"Official name",TRUE)</f>
        <v>THE PROCTER &amp; GAMBLE COMPANY</v>
      </c>
      <c r="AC40" s="4" t="str" cm="1">
        <f t="array" aca="1" ref="AC40" ca="1">_FV(Table4[[#This Row],[Company]],"Industry")</f>
        <v>Personal &amp; Household Products &amp; Services</v>
      </c>
      <c r="AD40" s="61" cm="1">
        <f t="array" aca="1" ref="AD40" ca="1">_FV(Table4[[#This Row],[Company]],"Year incorporated",TRUE)</f>
        <v>1905</v>
      </c>
      <c r="AE40" s="6" cm="1">
        <f t="array" aca="1" ref="AE40" ca="1">_FV(Table4[[#This Row],[Company]],"52 week low",TRUE)</f>
        <v>146.965</v>
      </c>
      <c r="AF40" s="4" t="str" cm="1">
        <f t="array" aca="1" ref="AF40" ca="1">_FV(Table4[[#This Row],[Company]],"Headquarters")</f>
        <v>One Procter &amp; Gamble Plaza, CINCINNATI, OH, 45202 US</v>
      </c>
      <c r="AG40" s="6" cm="1">
        <f t="array" aca="1" ref="AG40" ca="1">_FV(Table4[[#This Row],[Company]],"Low")</f>
        <v>151.53</v>
      </c>
    </row>
    <row r="41" spans="1:33" ht="87.65" x14ac:dyDescent="0.4">
      <c r="A41" s="1" t="e" vm="276">
        <v>#VALUE!</v>
      </c>
      <c r="B41" s="1" cm="1" vm="277">
        <f t="array" aca="1" ref="B41" ca="1">_FV(Table2[[#This Row],[Country]],"Calling code",TRUE)</f>
        <v>382</v>
      </c>
      <c r="C41" s="1" cm="1" vm="278">
        <f t="array" aca="1" ref="C41" ca="1">_FV(Table2[[#This Row],[Country]],"GDP")</f>
        <v>5494736901.0299997</v>
      </c>
      <c r="D41" s="1" t="str" cm="1">
        <f t="array" aca="1" ref="D41" ca="1">_FV(Table2[[#This Row],[Country]],"National anthem",TRUE)</f>
        <v>Oj, svijetla majska zoro</v>
      </c>
      <c r="E41" s="1" t="e" cm="1" vm="279">
        <f t="array" aca="1" ref="E41" ca="1">_FV(Table2[[#This Row],[Country]],"Largest city",TRUE)</f>
        <v>#VALUE!</v>
      </c>
      <c r="F41" s="1" t="e" cm="1" vm="280">
        <f t="array" aca="1" ref="F41" ca="1">_FV(Table2[[#This Row],[Country]],"Image")</f>
        <v>#VALUE!</v>
      </c>
      <c r="G41" s="1" t="e" cm="1" vm="279">
        <f t="array" aca="1" ref="G41" ca="1">_FV(Table2[[#This Row],[Country]],"Capital/Major City",TRUE)</f>
        <v>#VALUE!</v>
      </c>
      <c r="H41" s="1" t="str" cm="1">
        <f t="array" aca="1" ref="H41" ca="1">_xlfn.ARRAYTOTEXT(_FV(Table2[[#This Row],[Country]],"Leader(s)",TRUE))</f>
        <v>Jakov Milatović (President), Dritan Abazović (Prime minister), Danijela Đurović (Speaker)</v>
      </c>
      <c r="K41" s="3" t="e" vm="281">
        <v>#VALUE!</v>
      </c>
      <c r="L41" s="6" cm="1">
        <f t="array" aca="1" ref="L41" ca="1">_FV(Table3[[#This Row],[Currency Pair]],"52 week high",TRUE)</f>
        <v>0.1898</v>
      </c>
      <c r="M41" s="6" cm="1">
        <f t="array" aca="1" ref="M41" ca="1">_FV(Table3[[#This Row],[Currency Pair]],"52 week low",TRUE)</f>
        <v>0.15840000000000001</v>
      </c>
      <c r="N41" s="6" cm="1">
        <f t="array" aca="1" ref="N41" ca="1">_FV(Table3[[#This Row],[Currency Pair]],"Price")</f>
        <v>0.1855</v>
      </c>
      <c r="O41" s="5" t="str" cm="1">
        <f t="array" aca="1" ref="O41" ca="1">_FV(Table3[[#This Row],[Currency Pair]],"Instrument type",TRUE)</f>
        <v>Currency Pair</v>
      </c>
      <c r="P41" s="5" t="str" cm="1">
        <f t="array" aca="1" ref="P41" ca="1">_FV(Table3[[#This Row],[Currency Pair]],"Ticker symbol",TRUE)</f>
        <v>BRLUSD</v>
      </c>
      <c r="Q41" s="5" cm="1">
        <f t="array" aca="1" ref="Q41" ca="1">_FV(Table3[[#This Row],[Currency Pair]],"Change (%)",TRUE)</f>
        <v>0</v>
      </c>
      <c r="R41" s="5" cm="1">
        <f t="array" aca="1" ref="R41" ca="1">_FV(Table3[[#This Row],[Currency Pair]],"Last trade time",TRUE)</f>
        <v>45956.875023148146</v>
      </c>
      <c r="W41" s="3" t="e" vm="282">
        <v>#VALUE!</v>
      </c>
      <c r="X41" s="6" cm="1">
        <f t="array" aca="1" ref="X41" ca="1">_FV(Table4[[#This Row],[Company]],"52 week high",TRUE)</f>
        <v>41.12</v>
      </c>
      <c r="Y41" s="6" cm="1">
        <f t="array" aca="1" ref="Y41" ca="1">_FV(Table4[[#This Row],[Company]],"Change")</f>
        <v>0.12</v>
      </c>
      <c r="Z41" s="4" t="str" cm="1">
        <f t="array" aca="1" ref="Z41" ca="1">_FV(Table4[[#This Row],[Company]],"Headquarters")</f>
        <v>2200 Mission College Blvd, Rnb-4-151, SANTA CLARA, CA, 95054 US</v>
      </c>
      <c r="AA41" s="60" cm="1">
        <f t="array" aca="1" ref="AA41" ca="1">_FV(Table4[[#This Row],[Company]],"Employees")</f>
        <v>108900</v>
      </c>
      <c r="AB41" s="4" t="str" cm="1">
        <f t="array" aca="1" ref="AB41" ca="1">_FV(Table4[[#This Row],[Company]],"Official name",TRUE)</f>
        <v>INTEL CORPORATION</v>
      </c>
      <c r="AC41" s="4" t="str" cm="1">
        <f t="array" aca="1" ref="AC41" ca="1">_FV(Table4[[#This Row],[Company]],"Industry")</f>
        <v>Semiconductors &amp; Semiconductor Equipment</v>
      </c>
      <c r="AD41" s="61" cm="1">
        <f t="array" aca="1" ref="AD41" ca="1">_FV(Table4[[#This Row],[Company]],"Year incorporated",TRUE)</f>
        <v>1989</v>
      </c>
      <c r="AE41" s="6" cm="1">
        <f t="array" aca="1" ref="AE41" ca="1">_FV(Table4[[#This Row],[Company]],"52 week low",TRUE)</f>
        <v>17.664999999999999</v>
      </c>
      <c r="AF41" s="4" t="str" cm="1">
        <f t="array" aca="1" ref="AF41" ca="1">_FV(Table4[[#This Row],[Company]],"Headquarters")</f>
        <v>2200 Mission College Blvd, Rnb-4-151, SANTA CLARA, CA, 95054 US</v>
      </c>
      <c r="AG41" s="6" cm="1">
        <f t="array" aca="1" ref="AG41" ca="1">_FV(Table4[[#This Row],[Company]],"Low")</f>
        <v>37.83</v>
      </c>
    </row>
    <row r="42" spans="1:33" ht="105.2" x14ac:dyDescent="0.4">
      <c r="A42" s="1" t="e" vm="283">
        <v>#VALUE!</v>
      </c>
      <c r="B42" s="1" cm="1" vm="284">
        <f t="array" aca="1" ref="B42" ca="1">_FV(Table2[[#This Row],[Country]],"Calling code",TRUE)</f>
        <v>212</v>
      </c>
      <c r="C42" s="1" cm="1" vm="285">
        <f t="array" aca="1" ref="C42" ca="1">_FV(Table2[[#This Row],[Country]],"GDP")</f>
        <v>118725279596.13</v>
      </c>
      <c r="D42" s="1" t="str" cm="1">
        <f t="array" aca="1" ref="D42" ca="1">_FV(Table2[[#This Row],[Country]],"National anthem",TRUE)</f>
        <v>Cherifian Anthem</v>
      </c>
      <c r="E42" s="1" t="e" cm="1" vm="286">
        <f t="array" aca="1" ref="E42" ca="1">_FV(Table2[[#This Row],[Country]],"Largest city",TRUE)</f>
        <v>#VALUE!</v>
      </c>
      <c r="F42" s="1" t="e" cm="1" vm="287">
        <f t="array" aca="1" ref="F42" ca="1">_FV(Table2[[#This Row],[Country]],"Image")</f>
        <v>#VALUE!</v>
      </c>
      <c r="G42" s="1" t="e" cm="1" vm="288">
        <f t="array" aca="1" ref="G42" ca="1">_FV(Table2[[#This Row],[Country]],"Capital/Major City",TRUE)</f>
        <v>#VALUE!</v>
      </c>
      <c r="H42" s="1" t="str" cm="1">
        <f t="array" aca="1" ref="H42" ca="1">_xlfn.ARRAYTOTEXT(_FV(Table2[[#This Row],[Country]],"Leader(s)",TRUE))</f>
        <v>Mohammed VI of Morocco (King), Aziz Akhannouch (Prime minister)</v>
      </c>
      <c r="K42" s="3" t="e" vm="289">
        <v>#VALUE!</v>
      </c>
      <c r="L42" s="22" cm="1">
        <f t="array" aca="1" ref="L42" ca="1">_FV(Table3[[#This Row],[Currency Pair]],"52 week high",TRUE)</f>
        <v>19.9316</v>
      </c>
      <c r="M42" s="22" cm="1">
        <f t="array" aca="1" ref="M42" ca="1">_FV(Table3[[#This Row],[Currency Pair]],"52 week low",TRUE)</f>
        <v>17.0532</v>
      </c>
      <c r="N42" s="22" cm="1">
        <f t="array" aca="1" ref="N42" ca="1">_FV(Table3[[#This Row],[Currency Pair]],"Price")</f>
        <v>17.2182</v>
      </c>
      <c r="O42" s="5" t="str" cm="1">
        <f t="array" aca="1" ref="O42" ca="1">_FV(Table3[[#This Row],[Currency Pair]],"Instrument type",TRUE)</f>
        <v>Currency Pair</v>
      </c>
      <c r="P42" s="5" t="str" cm="1">
        <f t="array" aca="1" ref="P42" ca="1">_FV(Table3[[#This Row],[Currency Pair]],"Ticker symbol",TRUE)</f>
        <v>USDZAR</v>
      </c>
      <c r="Q42" s="5" cm="1">
        <f t="array" aca="1" ref="Q42" ca="1">_FV(Table3[[#This Row],[Currency Pair]],"Change (%)",TRUE)</f>
        <v>-1.815E-3</v>
      </c>
      <c r="R42" s="5" cm="1">
        <f t="array" aca="1" ref="R42" ca="1">_FV(Table3[[#This Row],[Currency Pair]],"Last trade time",TRUE)</f>
        <v>45957.217766203707</v>
      </c>
      <c r="W42" s="3" t="e" vm="290">
        <v>#VALUE!</v>
      </c>
      <c r="X42" s="6" cm="1">
        <f t="array" aca="1" ref="X42" ca="1">_FV(Table4[[#This Row],[Company]],"52 week high",TRUE)</f>
        <v>313.27999999999997</v>
      </c>
      <c r="Y42" s="6" cm="1">
        <f t="array" aca="1" ref="Y42" ca="1">_FV(Table4[[#This Row],[Company]],"Change")</f>
        <v>-8.98</v>
      </c>
      <c r="Z42" s="4" t="str" cm="1">
        <f t="array" aca="1" ref="Z42" ca="1">_FV(Table4[[#This Row],[Company]],"Headquarters")</f>
        <v>Dietmar-Hopp-Allee 16, WALLDORF, BADEN-WUERTTEMBERG, 69190 DE</v>
      </c>
      <c r="AA42" s="60" cm="1">
        <f t="array" aca="1" ref="AA42" ca="1">_FV(Table4[[#This Row],[Company]],"Employees")</f>
        <v>108929</v>
      </c>
      <c r="AB42" s="4" t="str" cm="1">
        <f t="array" aca="1" ref="AB42" ca="1">_FV(Table4[[#This Row],[Company]],"Official name",TRUE)</f>
        <v>Sap Se</v>
      </c>
      <c r="AC42" s="4" t="str" cm="1">
        <f t="array" aca="1" ref="AC42" ca="1">_FV(Table4[[#This Row],[Company]],"Industry")</f>
        <v>Software &amp; IT Services</v>
      </c>
      <c r="AD42" s="61" cm="1">
        <f t="array" aca="1" ref="AD42" ca="1">_FV(Table4[[#This Row],[Company]],"Year incorporated",TRUE)</f>
        <v>2014</v>
      </c>
      <c r="AE42" s="6" cm="1">
        <f t="array" aca="1" ref="AE42" ca="1">_FV(Table4[[#This Row],[Company]],"52 week low",TRUE)</f>
        <v>227.52</v>
      </c>
      <c r="AF42" s="4" t="str" cm="1">
        <f t="array" aca="1" ref="AF42" ca="1">_FV(Table4[[#This Row],[Company]],"Headquarters")</f>
        <v>Dietmar-Hopp-Allee 16, WALLDORF, BADEN-WUERTTEMBERG, 69190 DE</v>
      </c>
      <c r="AG42" s="6" cm="1">
        <f t="array" aca="1" ref="AG42" ca="1">_FV(Table4[[#This Row],[Company]],"Low")</f>
        <v>268.89999999999998</v>
      </c>
    </row>
    <row r="43" spans="1:33" ht="70.150000000000006" x14ac:dyDescent="0.4">
      <c r="A43" s="1" t="e" vm="291">
        <v>#VALUE!</v>
      </c>
      <c r="B43" s="1" cm="1" vm="292">
        <f t="array" aca="1" ref="B43" ca="1">_FV(Table2[[#This Row],[Country]],"Calling code",TRUE)</f>
        <v>258</v>
      </c>
      <c r="C43" s="1" cm="1" vm="293">
        <f t="array" aca="1" ref="C43" ca="1">_FV(Table2[[#This Row],[Country]],"GDP")</f>
        <v>14934159925.523399</v>
      </c>
      <c r="D43" s="1" t="str" cm="1">
        <f t="array" aca="1" ref="D43" ca="1">_FV(Table2[[#This Row],[Country]],"National anthem",TRUE)</f>
        <v>Pátria Amada</v>
      </c>
      <c r="E43" s="1" t="e" cm="1" vm="294">
        <f t="array" aca="1" ref="E43" ca="1">_FV(Table2[[#This Row],[Country]],"Largest city",TRUE)</f>
        <v>#VALUE!</v>
      </c>
      <c r="F43" s="1" t="e" cm="1" vm="295">
        <f t="array" aca="1" ref="F43" ca="1">_FV(Table2[[#This Row],[Country]],"Image")</f>
        <v>#VALUE!</v>
      </c>
      <c r="G43" s="1" t="e" cm="1" vm="294">
        <f t="array" aca="1" ref="G43" ca="1">_FV(Table2[[#This Row],[Country]],"Capital/Major City",TRUE)</f>
        <v>#VALUE!</v>
      </c>
      <c r="H43" s="1" t="str" cm="1">
        <f t="array" aca="1" ref="H43" ca="1">_xlfn.ARRAYTOTEXT(_FV(Table2[[#This Row],[Country]],"Leader(s)",TRUE))</f>
        <v>Filipe Nyusi (President), Adriano Maleiane (Prime minister)</v>
      </c>
      <c r="K43" s="3" t="e" vm="296">
        <v>#VALUE!</v>
      </c>
      <c r="L43" s="6" cm="1">
        <f t="array" aca="1" ref="L43" ca="1">_FV(Table3[[#This Row],[Currency Pair]],"52 week high",TRUE)</f>
        <v>5.858E-2</v>
      </c>
      <c r="M43" s="6" cm="1">
        <f t="array" aca="1" ref="M43" ca="1">_FV(Table3[[#This Row],[Currency Pair]],"52 week low",TRUE)</f>
        <v>5.015E-2</v>
      </c>
      <c r="N43" s="6" cm="1">
        <f t="array" aca="1" ref="N43" ca="1">_FV(Table3[[#This Row],[Currency Pair]],"Price")</f>
        <v>5.8040000000000001E-2</v>
      </c>
      <c r="O43" s="5" t="str" cm="1">
        <f t="array" aca="1" ref="O43" ca="1">_FV(Table3[[#This Row],[Currency Pair]],"Instrument type",TRUE)</f>
        <v>Currency Pair</v>
      </c>
      <c r="P43" s="5" t="str" cm="1">
        <f t="array" aca="1" ref="P43" ca="1">_FV(Table3[[#This Row],[Currency Pair]],"Ticker symbol",TRUE)</f>
        <v>ZARUSD</v>
      </c>
      <c r="Q43" s="5" cm="1">
        <f t="array" aca="1" ref="Q43" ca="1">_FV(Table3[[#This Row],[Currency Pair]],"Change (%)",TRUE)</f>
        <v>2.9380000000000001E-3</v>
      </c>
      <c r="R43" s="5" cm="1">
        <f t="array" aca="1" ref="R43" ca="1">_FV(Table3[[#This Row],[Currency Pair]],"Last trade time",TRUE)</f>
        <v>45957.217800925922</v>
      </c>
      <c r="W43" s="3" t="e" vm="297">
        <v>#VALUE!</v>
      </c>
      <c r="X43" s="6" cm="1">
        <f t="array" aca="1" ref="X43" ca="1">_FV(Table4[[#This Row],[Company]],"52 week high",TRUE)</f>
        <v>30.285</v>
      </c>
      <c r="Y43" s="6" cm="1">
        <f t="array" aca="1" ref="Y43" ca="1">_FV(Table4[[#This Row],[Company]],"Change")</f>
        <v>-0.06</v>
      </c>
      <c r="Z43" s="4" t="str" cm="1">
        <f t="array" aca="1" ref="Z43" ca="1">_FV(Table4[[#This Row],[Company]],"Headquarters")</f>
        <v>1-7-1, Konan, MINATO-KU, TOKYO-TO, 108-0075 JP</v>
      </c>
      <c r="AA43" s="60" cm="1">
        <f t="array" aca="1" ref="AA43" ca="1">_FV(Table4[[#This Row],[Company]],"Employees")</f>
        <v>112300</v>
      </c>
      <c r="AB43" s="4" t="str" cm="1">
        <f t="array" aca="1" ref="AB43" ca="1">_FV(Table4[[#This Row],[Company]],"Official name",TRUE)</f>
        <v>Sony Group Corporation</v>
      </c>
      <c r="AC43" s="4" t="str" cm="1">
        <f t="array" aca="1" ref="AC43" ca="1">_FV(Table4[[#This Row],[Company]],"Industry")</f>
        <v>Computers, Phones &amp; Household Electronics</v>
      </c>
      <c r="AD43" s="61" cm="1">
        <f t="array" aca="1" ref="AD43" ca="1">_FV(Table4[[#This Row],[Company]],"Year incorporated",TRUE)</f>
        <v>1946</v>
      </c>
      <c r="AE43" s="6" cm="1">
        <f t="array" aca="1" ref="AE43" ca="1">_FV(Table4[[#This Row],[Company]],"52 week low",TRUE)</f>
        <v>16.986699999999999</v>
      </c>
      <c r="AF43" s="4" t="str" cm="1">
        <f t="array" aca="1" ref="AF43" ca="1">_FV(Table4[[#This Row],[Company]],"Headquarters")</f>
        <v>1-7-1, Konan, MINATO-KU, TOKYO-TO, 108-0075 JP</v>
      </c>
      <c r="AG43" s="6" cm="1">
        <f t="array" aca="1" ref="AG43" ca="1">_FV(Table4[[#This Row],[Company]],"Low")</f>
        <v>28.594999999999999</v>
      </c>
    </row>
    <row r="44" spans="1:33" ht="70.150000000000006" x14ac:dyDescent="0.4">
      <c r="A44" s="1" t="e" vm="298">
        <v>#VALUE!</v>
      </c>
      <c r="B44" s="1" cm="1" vm="299">
        <f t="array" aca="1" ref="B44" ca="1">_FV(Table2[[#This Row],[Country]],"Calling code",TRUE)</f>
        <v>95</v>
      </c>
      <c r="C44" s="1" cm="1" vm="300">
        <f t="array" aca="1" ref="C44" ca="1">_FV(Table2[[#This Row],[Country]],"GDP")</f>
        <v>76085852617.1371</v>
      </c>
      <c r="D44" s="1" t="str" cm="1">
        <f t="array" aca="1" ref="D44" ca="1">_FV(Table2[[#This Row],[Country]],"National anthem",TRUE)</f>
        <v>Kaba Ma Kyei</v>
      </c>
      <c r="E44" s="1" t="e" cm="1" vm="301">
        <f t="array" aca="1" ref="E44" ca="1">_FV(Table2[[#This Row],[Country]],"Largest city",TRUE)</f>
        <v>#VALUE!</v>
      </c>
      <c r="F44" s="1" t="e" cm="1" vm="302">
        <f t="array" aca="1" ref="F44" ca="1">_FV(Table2[[#This Row],[Country]],"Image")</f>
        <v>#VALUE!</v>
      </c>
      <c r="G44" s="1" t="e" cm="1" vm="303">
        <f t="array" aca="1" ref="G44" ca="1">_FV(Table2[[#This Row],[Country]],"Capital/Major City",TRUE)</f>
        <v>#VALUE!</v>
      </c>
      <c r="H44" s="1" t="str" cm="1">
        <f t="array" aca="1" ref="H44" ca="1">_xlfn.ARRAYTOTEXT(_FV(Table2[[#This Row],[Country]],"Leader(s)",TRUE))</f>
        <v>Myint Swe (President), Min Aung Hlaing (Prime minister), Soe Win (Deputy prime minister)</v>
      </c>
      <c r="K44" s="3" t="e" vm="304">
        <v>#VALUE!</v>
      </c>
      <c r="L44" s="23" cm="1">
        <f t="array" aca="1" ref="L44" ca="1">_FV(Table3[[#This Row],[Currency Pair]],"52 week high",TRUE)</f>
        <v>114.99550000000001</v>
      </c>
      <c r="M44" s="23" cm="1">
        <f t="array" aca="1" ref="M44" ca="1">_FV(Table3[[#This Row],[Currency Pair]],"52 week low",TRUE)</f>
        <v>76.895499999999998</v>
      </c>
      <c r="N44" s="23" cm="1">
        <f t="array" aca="1" ref="N44" ca="1">_FV(Table3[[#This Row],[Currency Pair]],"Price")</f>
        <v>79.745500000000007</v>
      </c>
      <c r="O44" s="5" t="str" cm="1">
        <f t="array" aca="1" ref="O44" ca="1">_FV(Table3[[#This Row],[Currency Pair]],"Instrument type",TRUE)</f>
        <v>Currency Pair</v>
      </c>
      <c r="P44" s="5" t="str" cm="1">
        <f t="array" aca="1" ref="P44" ca="1">_FV(Table3[[#This Row],[Currency Pair]],"Ticker symbol",TRUE)</f>
        <v>USDRUB</v>
      </c>
      <c r="Q44" s="5" cm="1">
        <f t="array" aca="1" ref="Q44" ca="1">_FV(Table3[[#This Row],[Currency Pair]],"Change (%)",TRUE)</f>
        <v>0</v>
      </c>
      <c r="R44" s="5" cm="1">
        <f t="array" aca="1" ref="R44" ca="1">_FV(Table3[[#This Row],[Currency Pair]],"Last trade time",TRUE)</f>
        <v>45954.6483912037</v>
      </c>
      <c r="W44" s="3" t="e" vm="305">
        <v>#VALUE!</v>
      </c>
      <c r="X44" s="6" cm="1">
        <f t="array" aca="1" ref="X44" ca="1">_FV(Table4[[#This Row],[Company]],"52 week high",TRUE)</f>
        <v>166.1</v>
      </c>
      <c r="Y44" s="6" cm="1">
        <f t="array" aca="1" ref="Y44" ca="1">_FV(Table4[[#This Row],[Company]],"Change")</f>
        <v>4.41</v>
      </c>
      <c r="Z44" s="4" t="str" cm="1">
        <f t="array" aca="1" ref="Z44" ca="1">_FV(Table4[[#This Row],[Company]],"Headquarters")</f>
        <v>ONE DELL WAY, ROUND ROCK, TX, 78682 US</v>
      </c>
      <c r="AA44" s="60" cm="1">
        <f t="array" aca="1" ref="AA44" ca="1">_FV(Table4[[#This Row],[Company]],"Employees")</f>
        <v>108000</v>
      </c>
      <c r="AB44" s="4" t="str" cm="1">
        <f t="array" aca="1" ref="AB44" ca="1">_FV(Table4[[#This Row],[Company]],"Official name",TRUE)</f>
        <v>DELL TECHNOLOGIES INC.</v>
      </c>
      <c r="AC44" s="4" t="str" cm="1">
        <f t="array" aca="1" ref="AC44" ca="1">_FV(Table4[[#This Row],[Company]],"Industry")</f>
        <v>Computers, Phones &amp; Household Electronics</v>
      </c>
      <c r="AD44" s="61" cm="1">
        <f t="array" aca="1" ref="AD44" ca="1">_FV(Table4[[#This Row],[Company]],"Year incorporated",TRUE)</f>
        <v>2013</v>
      </c>
      <c r="AE44" s="6" cm="1">
        <f t="array" aca="1" ref="AE44" ca="1">_FV(Table4[[#This Row],[Company]],"52 week low",TRUE)</f>
        <v>66.245000000000005</v>
      </c>
      <c r="AF44" s="4" t="str" cm="1">
        <f t="array" aca="1" ref="AF44" ca="1">_FV(Table4[[#This Row],[Company]],"Headquarters")</f>
        <v>ONE DELL WAY, ROUND ROCK, TX, 78682 US</v>
      </c>
      <c r="AG44" s="6" cm="1">
        <f t="array" aca="1" ref="AG44" ca="1">_FV(Table4[[#This Row],[Company]],"Low")</f>
        <v>156.80009999999999</v>
      </c>
    </row>
    <row r="45" spans="1:33" ht="52.6" x14ac:dyDescent="0.4">
      <c r="A45" s="1" t="e" vm="306">
        <v>#VALUE!</v>
      </c>
      <c r="B45" s="1" cm="1" vm="307">
        <f t="array" aca="1" ref="B45" ca="1">_FV(Table2[[#This Row],[Country]],"Calling code",TRUE)</f>
        <v>264</v>
      </c>
      <c r="C45" s="1" cm="1" vm="308">
        <f t="array" aca="1" ref="C45" ca="1">_FV(Table2[[#This Row],[Country]],"GDP")</f>
        <v>12366527719.332199</v>
      </c>
      <c r="D45" s="1" t="str" cm="1">
        <f t="array" aca="1" ref="D45" ca="1">_FV(Table2[[#This Row],[Country]],"National anthem",TRUE)</f>
        <v>Namibia, Land of the Brave</v>
      </c>
      <c r="E45" s="1" t="e" cm="1" vm="309">
        <f t="array" aca="1" ref="E45" ca="1">_FV(Table2[[#This Row],[Country]],"Largest city",TRUE)</f>
        <v>#VALUE!</v>
      </c>
      <c r="F45" s="1" t="e" cm="1" vm="310">
        <f t="array" aca="1" ref="F45" ca="1">_FV(Table2[[#This Row],[Country]],"Image")</f>
        <v>#VALUE!</v>
      </c>
      <c r="G45" s="1" t="e" cm="1" vm="309">
        <f t="array" aca="1" ref="G45" ca="1">_FV(Table2[[#This Row],[Country]],"Capital/Major City",TRUE)</f>
        <v>#VALUE!</v>
      </c>
      <c r="H45" s="1" t="str" cm="1">
        <f t="array" aca="1" ref="H45" ca="1">_xlfn.ARRAYTOTEXT(_FV(Table2[[#This Row],[Country]],"Leader(s)",TRUE))</f>
        <v>Hage Geingob (President), Nangolo Mbumba (Vice president), Saara Kuugongelwa (Prime minister), Netumbo Nandi-Ndaitwah (Deputy prime minister), Peter Shivute (Chief justice)</v>
      </c>
      <c r="K45" s="3" t="e" vm="311">
        <v>#VALUE!</v>
      </c>
      <c r="L45" s="6" cm="1">
        <f t="array" aca="1" ref="L45" ca="1">_FV(Table3[[#This Row],[Currency Pair]],"52 week high",TRUE)</f>
        <v>1.2999999999999999E-2</v>
      </c>
      <c r="M45" s="6" cm="1">
        <f t="array" aca="1" ref="M45" ca="1">_FV(Table3[[#This Row],[Currency Pair]],"52 week low",TRUE)</f>
        <v>8.6899999999999998E-3</v>
      </c>
      <c r="N45" s="6" cm="1">
        <f t="array" aca="1" ref="N45" ca="1">_FV(Table3[[#This Row],[Currency Pair]],"Price")</f>
        <v>1.2540000000000001E-2</v>
      </c>
      <c r="O45" s="5" t="str" cm="1">
        <f t="array" aca="1" ref="O45" ca="1">_FV(Table3[[#This Row],[Currency Pair]],"Instrument type",TRUE)</f>
        <v>Currency Pair</v>
      </c>
      <c r="P45" s="5" t="str" cm="1">
        <f t="array" aca="1" ref="P45" ca="1">_FV(Table3[[#This Row],[Currency Pair]],"Ticker symbol",TRUE)</f>
        <v>RUBUSD</v>
      </c>
      <c r="Q45" s="5" cm="1">
        <f t="array" aca="1" ref="Q45" ca="1">_FV(Table3[[#This Row],[Currency Pair]],"Change (%)",TRUE)</f>
        <v>0</v>
      </c>
      <c r="R45" s="5" cm="1">
        <f t="array" aca="1" ref="R45" ca="1">_FV(Table3[[#This Row],[Currency Pair]],"Last trade time",TRUE)</f>
        <v>45954.6483912037</v>
      </c>
      <c r="W45" s="3" t="e" vm="312">
        <v>#VALUE!</v>
      </c>
      <c r="X45" s="6" cm="1">
        <f t="array" aca="1" ref="X45" ca="1">_FV(Table4[[#This Row],[Company]],"52 week high",TRUE)</f>
        <v>488.53989999999999</v>
      </c>
      <c r="Y45" s="6" cm="1">
        <f t="array" aca="1" ref="Y45" ca="1">_FV(Table4[[#This Row],[Company]],"Change")</f>
        <v>-15.26</v>
      </c>
      <c r="Z45" s="4" t="str" cm="1">
        <f t="array" aca="1" ref="Z45" ca="1">_FV(Table4[[#This Row],[Company]],"Headquarters")</f>
        <v>1 Tesla Road, AUSTIN, TX, 78725 US</v>
      </c>
      <c r="AA45" s="60" cm="1">
        <f t="array" aca="1" ref="AA45" ca="1">_FV(Table4[[#This Row],[Company]],"Employees")</f>
        <v>125665</v>
      </c>
      <c r="AB45" s="4" t="str" cm="1">
        <f t="array" aca="1" ref="AB45" ca="1">_FV(Table4[[#This Row],[Company]],"Official name",TRUE)</f>
        <v>TESLA, INC.</v>
      </c>
      <c r="AC45" s="4" t="str" cm="1">
        <f t="array" aca="1" ref="AC45" ca="1">_FV(Table4[[#This Row],[Company]],"Industry")</f>
        <v>Automobiles &amp; Auto Parts</v>
      </c>
      <c r="AD45" s="61" cm="1">
        <f t="array" aca="1" ref="AD45" ca="1">_FV(Table4[[#This Row],[Company]],"Year incorporated",TRUE)</f>
        <v>2024</v>
      </c>
      <c r="AE45" s="6" cm="1">
        <f t="array" aca="1" ref="AE45" ca="1">_FV(Table4[[#This Row],[Company]],"52 week low",TRUE)</f>
        <v>214.25</v>
      </c>
      <c r="AF45" s="4" t="str" cm="1">
        <f t="array" aca="1" ref="AF45" ca="1">_FV(Table4[[#This Row],[Company]],"Headquarters")</f>
        <v>1 Tesla Road, AUSTIN, TX, 78725 US</v>
      </c>
      <c r="AG45" s="6" cm="1">
        <f t="array" aca="1" ref="AG45" ca="1">_FV(Table4[[#This Row],[Company]],"Low")</f>
        <v>430.17</v>
      </c>
    </row>
    <row r="46" spans="1:33" ht="52.6" x14ac:dyDescent="0.4">
      <c r="A46" s="1" t="e" vm="313">
        <v>#VALUE!</v>
      </c>
      <c r="B46" s="1" cm="1" vm="314">
        <f t="array" aca="1" ref="B46" ca="1">_FV(Table2[[#This Row],[Country]],"Calling code",TRUE)</f>
        <v>674</v>
      </c>
      <c r="C46" s="1" cm="1" vm="315">
        <f t="array" aca="1" ref="C46" ca="1">_FV(Table2[[#This Row],[Country]],"GDP")</f>
        <v>133000000</v>
      </c>
      <c r="D46" s="1" t="str" cm="1">
        <f t="array" aca="1" ref="D46" ca="1">_FV(Table2[[#This Row],[Country]],"National anthem",TRUE)</f>
        <v>Nauru Bwiema</v>
      </c>
      <c r="E46" s="1" t="e" cm="1" vm="316">
        <f t="array" aca="1" ref="E46" ca="1">_FV(Table2[[#This Row],[Country]],"Largest city",TRUE)</f>
        <v>#VALUE!</v>
      </c>
      <c r="F46" s="1" t="e" cm="1" vm="317">
        <f t="array" aca="1" ref="F46" ca="1">_FV(Table2[[#This Row],[Country]],"Image")</f>
        <v>#VALUE!</v>
      </c>
      <c r="G46" s="1" t="e" cm="1" vm="318">
        <f t="array" aca="1" ref="G46" ca="1">_FV(Table2[[#This Row],[Country]],"Capital/Major City",TRUE)</f>
        <v>#VALUE!</v>
      </c>
      <c r="H46" s="1" t="str" cm="1">
        <f t="array" aca="1" ref="H46" ca="1">_xlfn.ARRAYTOTEXT(_FV(Table2[[#This Row],[Country]],"Leader(s)",TRUE))</f>
        <v>Russ J Kun (President)</v>
      </c>
      <c r="K46" s="3" t="e" vm="319">
        <v>#VALUE!</v>
      </c>
      <c r="L46" s="24" cm="1">
        <f t="array" aca="1" ref="L46" ca="1">_FV(Table3[[#This Row],[Currency Pair]],"52 week high",TRUE)</f>
        <v>4.2019000000000002</v>
      </c>
      <c r="M46" s="24" cm="1">
        <f t="array" aca="1" ref="M46" ca="1">_FV(Table3[[#This Row],[Currency Pair]],"52 week low",TRUE)</f>
        <v>3.5649999999999999</v>
      </c>
      <c r="N46" s="24" cm="1">
        <f t="array" aca="1" ref="N46" ca="1">_FV(Table3[[#This Row],[Currency Pair]],"Price")</f>
        <v>3.6526000000000001</v>
      </c>
      <c r="O46" s="5" t="str" cm="1">
        <f t="array" aca="1" ref="O46" ca="1">_FV(Table3[[#This Row],[Currency Pair]],"Instrument type",TRUE)</f>
        <v>Currency Pair</v>
      </c>
      <c r="P46" s="5" t="str" cm="1">
        <f t="array" aca="1" ref="P46" ca="1">_FV(Table3[[#This Row],[Currency Pair]],"Ticker symbol",TRUE)</f>
        <v>USDPLN</v>
      </c>
      <c r="Q46" s="5" cm="1">
        <f t="array" aca="1" ref="Q46" ca="1">_FV(Table3[[#This Row],[Currency Pair]],"Change (%)",TRUE)</f>
        <v>2.2780000000000001E-3</v>
      </c>
      <c r="R46" s="5" cm="1">
        <f t="array" aca="1" ref="R46" ca="1">_FV(Table3[[#This Row],[Currency Pair]],"Last trade time",TRUE)</f>
        <v>45957.217766203707</v>
      </c>
      <c r="W46" s="3" t="e" vm="312">
        <v>#VALUE!</v>
      </c>
      <c r="X46" s="6" cm="1">
        <f t="array" aca="1" ref="X46" ca="1">_FV(Table4[[#This Row],[Company]],"52 week high",TRUE)</f>
        <v>488.53989999999999</v>
      </c>
      <c r="Y46" s="6" cm="1">
        <f t="array" aca="1" ref="Y46" ca="1">_FV(Table4[[#This Row],[Company]],"Change")</f>
        <v>-15.26</v>
      </c>
      <c r="Z46" s="4" t="str" cm="1">
        <f t="array" aca="1" ref="Z46" ca="1">_FV(Table4[[#This Row],[Company]],"Headquarters")</f>
        <v>1 Tesla Road, AUSTIN, TX, 78725 US</v>
      </c>
      <c r="AA46" s="60" cm="1">
        <f t="array" aca="1" ref="AA46" ca="1">_FV(Table4[[#This Row],[Company]],"Employees")</f>
        <v>125665</v>
      </c>
      <c r="AB46" s="4" t="str" cm="1">
        <f t="array" aca="1" ref="AB46" ca="1">_FV(Table4[[#This Row],[Company]],"Official name",TRUE)</f>
        <v>TESLA, INC.</v>
      </c>
      <c r="AC46" s="4" t="str" cm="1">
        <f t="array" aca="1" ref="AC46" ca="1">_FV(Table4[[#This Row],[Company]],"Industry")</f>
        <v>Automobiles &amp; Auto Parts</v>
      </c>
      <c r="AD46" s="61" cm="1">
        <f t="array" aca="1" ref="AD46" ca="1">_FV(Table4[[#This Row],[Company]],"Year incorporated",TRUE)</f>
        <v>2024</v>
      </c>
      <c r="AE46" s="6" cm="1">
        <f t="array" aca="1" ref="AE46" ca="1">_FV(Table4[[#This Row],[Company]],"52 week low",TRUE)</f>
        <v>214.25</v>
      </c>
      <c r="AF46" s="4" t="str" cm="1">
        <f t="array" aca="1" ref="AF46" ca="1">_FV(Table4[[#This Row],[Company]],"Headquarters")</f>
        <v>1 Tesla Road, AUSTIN, TX, 78725 US</v>
      </c>
      <c r="AG46" s="6" cm="1">
        <f t="array" aca="1" ref="AG46" ca="1">_FV(Table4[[#This Row],[Company]],"Low")</f>
        <v>430.17</v>
      </c>
    </row>
    <row r="47" spans="1:33" ht="87.65" x14ac:dyDescent="0.4">
      <c r="A47" s="1" t="e" vm="320">
        <v>#VALUE!</v>
      </c>
      <c r="B47" s="1" cm="1" vm="321">
        <f t="array" aca="1" ref="B47" ca="1">_FV(Table2[[#This Row],[Country]],"Calling code",TRUE)</f>
        <v>977</v>
      </c>
      <c r="C47" s="1" cm="1" vm="322">
        <f t="array" aca="1" ref="C47" ca="1">_FV(Table2[[#This Row],[Country]],"GDP")</f>
        <v>30641380604.298401</v>
      </c>
      <c r="D47" s="1" t="str" cm="1">
        <f t="array" aca="1" ref="D47" ca="1">_FV(Table2[[#This Row],[Country]],"National anthem",TRUE)</f>
        <v>Sayaun Thunga Phulka</v>
      </c>
      <c r="E47" s="1" t="e" cm="1" vm="323">
        <f t="array" aca="1" ref="E47" ca="1">_FV(Table2[[#This Row],[Country]],"Largest city",TRUE)</f>
        <v>#VALUE!</v>
      </c>
      <c r="F47" s="1" t="e" cm="1" vm="324">
        <f t="array" aca="1" ref="F47" ca="1">_FV(Table2[[#This Row],[Country]],"Image")</f>
        <v>#VALUE!</v>
      </c>
      <c r="G47" s="1" t="e" cm="1" vm="323">
        <f t="array" aca="1" ref="G47" ca="1">_FV(Table2[[#This Row],[Country]],"Capital/Major City",TRUE)</f>
        <v>#VALUE!</v>
      </c>
      <c r="H47" s="1" t="str" cm="1">
        <f t="array" aca="1" ref="H47" ca="1">_xlfn.ARRAYTOTEXT(_FV(Table2[[#This Row],[Country]],"Leader(s)",TRUE))</f>
        <v>Ram Chandra Poudel (President), Ram Sahaya Yadav (Vice president), Pushpa Kamal Dahal (Prime minister), Bishowambhar Prasad Shrestha (Chief justice)</v>
      </c>
      <c r="K47" s="3" t="e" vm="325">
        <v>#VALUE!</v>
      </c>
      <c r="L47" s="6" cm="1">
        <f t="array" aca="1" ref="L47" ca="1">_FV(Table3[[#This Row],[Currency Pair]],"52 week high",TRUE)</f>
        <v>0.28039999999999998</v>
      </c>
      <c r="M47" s="6" cm="1">
        <f t="array" aca="1" ref="M47" ca="1">_FV(Table3[[#This Row],[Currency Pair]],"52 week low",TRUE)</f>
        <v>0.2379</v>
      </c>
      <c r="N47" s="6" cm="1">
        <f t="array" aca="1" ref="N47" ca="1">_FV(Table3[[#This Row],[Currency Pair]],"Price")</f>
        <v>0.27360000000000001</v>
      </c>
      <c r="O47" s="5" t="str" cm="1">
        <f t="array" aca="1" ref="O47" ca="1">_FV(Table3[[#This Row],[Currency Pair]],"Instrument type",TRUE)</f>
        <v>Currency Pair</v>
      </c>
      <c r="P47" s="5" t="str" cm="1">
        <f t="array" aca="1" ref="P47" ca="1">_FV(Table3[[#This Row],[Currency Pair]],"Ticker symbol",TRUE)</f>
        <v>PLNUSD</v>
      </c>
      <c r="Q47" s="5" cm="1">
        <f t="array" aca="1" ref="Q47" ca="1">_FV(Table3[[#This Row],[Currency Pair]],"Change (%)",TRUE)</f>
        <v>-3.6540000000000005E-4</v>
      </c>
      <c r="R47" s="5" cm="1">
        <f t="array" aca="1" ref="R47" ca="1">_FV(Table3[[#This Row],[Currency Pair]],"Last trade time",TRUE)</f>
        <v>45957.217766203707</v>
      </c>
      <c r="W47" s="3" t="e" vm="326">
        <v>#VALUE!</v>
      </c>
      <c r="X47" s="6" cm="1">
        <f t="array" aca="1" ref="X47" ca="1">_FV(Table4[[#This Row],[Company]],"52 week high",TRUE)</f>
        <v>65.66</v>
      </c>
      <c r="Y47" s="6" cm="1">
        <f t="array" aca="1" ref="Y47" ca="1">_FV(Table4[[#This Row],[Company]],"Change")</f>
        <v>0.35</v>
      </c>
      <c r="Z47" s="4" t="str" cm="1">
        <f t="array" aca="1" ref="Z47" ca="1">_FV(Table4[[#This Row],[Company]],"Headquarters")</f>
        <v>Unilever House, Blackfriars, LONDON, EC4P 4BQ GB</v>
      </c>
      <c r="AA47" s="60" cm="1">
        <f t="array" aca="1" ref="AA47" ca="1">_FV(Table4[[#This Row],[Company]],"Employees")</f>
        <v>120040</v>
      </c>
      <c r="AB47" s="4" t="str" cm="1">
        <f t="array" aca="1" ref="AB47" ca="1">_FV(Table4[[#This Row],[Company]],"Official name",TRUE)</f>
        <v>UNILEVER PLC</v>
      </c>
      <c r="AC47" s="4" t="str" cm="1">
        <f t="array" aca="1" ref="AC47" ca="1">_FV(Table4[[#This Row],[Company]],"Industry")</f>
        <v>Personal &amp; Household Products &amp; Services</v>
      </c>
      <c r="AD47" s="61" cm="1">
        <f t="array" aca="1" ref="AD47" ca="1">_FV(Table4[[#This Row],[Company]],"Year incorporated",TRUE)</f>
        <v>1894</v>
      </c>
      <c r="AE47" s="6" cm="1">
        <f t="array" aca="1" ref="AE47" ca="1">_FV(Table4[[#This Row],[Company]],"52 week low",TRUE)</f>
        <v>54.32</v>
      </c>
      <c r="AF47" s="4" t="str" cm="1">
        <f t="array" aca="1" ref="AF47" ca="1">_FV(Table4[[#This Row],[Company]],"Headquarters")</f>
        <v>Unilever House, Blackfriars, LONDON, EC4P 4BQ GB</v>
      </c>
      <c r="AG47" s="6" cm="1">
        <f t="array" aca="1" ref="AG47" ca="1">_FV(Table4[[#This Row],[Company]],"Low")</f>
        <v>62.185000000000002</v>
      </c>
    </row>
    <row r="48" spans="1:33" ht="87.65" x14ac:dyDescent="0.4">
      <c r="A48" s="1" t="e" vm="327">
        <v>#VALUE!</v>
      </c>
      <c r="B48" s="1" cm="1" vm="328">
        <f t="array" aca="1" ref="B48" ca="1">_FV(Table2[[#This Row],[Country]],"Calling code",TRUE)</f>
        <v>31</v>
      </c>
      <c r="C48" s="1" cm="1" vm="329">
        <f t="array" aca="1" ref="C48" ca="1">_FV(Table2[[#This Row],[Country]],"GDP")</f>
        <v>909070395160.78296</v>
      </c>
      <c r="D48" s="1" t="str" cm="1">
        <f t="array" aca="1" ref="D48" ca="1">_FV(Table2[[#This Row],[Country]],"National anthem",TRUE)</f>
        <v>Wilhelmus</v>
      </c>
      <c r="E48" s="1" t="e" cm="1" vm="330">
        <f t="array" aca="1" ref="E48" ca="1">_FV(Table2[[#This Row],[Country]],"Largest city",TRUE)</f>
        <v>#VALUE!</v>
      </c>
      <c r="F48" s="1" t="e" cm="1" vm="331">
        <f t="array" aca="1" ref="F48" ca="1">_FV(Table2[[#This Row],[Country]],"Image")</f>
        <v>#VALUE!</v>
      </c>
      <c r="G48" s="1" t="e" cm="1" vm="330">
        <f t="array" aca="1" ref="G48" ca="1">_FV(Table2[[#This Row],[Country]],"Capital/Major City",TRUE)</f>
        <v>#VALUE!</v>
      </c>
      <c r="H48" s="1" t="str" cm="1">
        <f t="array" aca="1" ref="H48" ca="1">_xlfn.ARRAYTOTEXT(_FV(Table2[[#This Row],[Country]],"Leader(s)",TRUE))</f>
        <v>Willem-Alexander of the Netherlands (Monarch), Mark Rutte (Prime minister)</v>
      </c>
      <c r="K48" s="3" t="e" vm="332">
        <v>#VALUE!</v>
      </c>
      <c r="L48" s="25" cm="1">
        <f t="array" aca="1" ref="L48" ca="1">_FV(Table3[[#This Row],[Currency Pair]],"52 week high",TRUE)</f>
        <v>24.757999999999999</v>
      </c>
      <c r="M48" s="25" cm="1">
        <f t="array" aca="1" ref="M48" ca="1">_FV(Table3[[#This Row],[Currency Pair]],"52 week low",TRUE)</f>
        <v>20.39</v>
      </c>
      <c r="N48" s="25" cm="1">
        <f t="array" aca="1" ref="N48" ca="1">_FV(Table3[[#This Row],[Currency Pair]],"Price")</f>
        <v>20.899000000000001</v>
      </c>
      <c r="O48" s="5" t="str" cm="1">
        <f t="array" aca="1" ref="O48" ca="1">_FV(Table3[[#This Row],[Currency Pair]],"Instrument type",TRUE)</f>
        <v>Currency Pair</v>
      </c>
      <c r="P48" s="5" t="str" cm="1">
        <f t="array" aca="1" ref="P48" ca="1">_FV(Table3[[#This Row],[Currency Pair]],"Ticker symbol",TRUE)</f>
        <v>USDCZK</v>
      </c>
      <c r="Q48" s="5" cm="1">
        <f t="array" aca="1" ref="Q48" ca="1">_FV(Table3[[#This Row],[Currency Pair]],"Change (%)",TRUE)</f>
        <v>1.9140000000000002E-4</v>
      </c>
      <c r="R48" s="5" cm="1">
        <f t="array" aca="1" ref="R48" ca="1">_FV(Table3[[#This Row],[Currency Pair]],"Last trade time",TRUE)</f>
        <v>45957.217499999999</v>
      </c>
      <c r="W48" s="3" t="e" vm="333">
        <v>#VALUE!</v>
      </c>
      <c r="X48" s="6" cm="1">
        <f t="array" aca="1" ref="X48" ca="1">_FV(Table4[[#This Row],[Company]],"52 week high",TRUE)</f>
        <v>194.48</v>
      </c>
      <c r="Y48" s="6" cm="1">
        <f t="array" aca="1" ref="Y48" ca="1">_FV(Table4[[#This Row],[Company]],"Change")</f>
        <v>-2.0699999999999998</v>
      </c>
      <c r="Z48" s="4" t="str" cm="1">
        <f t="array" aca="1" ref="Z48" ca="1">_FV(Table4[[#This Row],[Company]],"Headquarters")</f>
        <v>One Johnson &amp; Johnson Plaza, NEW BRUNSWICK, NJ, 08933 US</v>
      </c>
      <c r="AA48" s="60" cm="1">
        <f t="array" aca="1" ref="AA48" ca="1">_FV(Table4[[#This Row],[Company]],"Employees")</f>
        <v>138100</v>
      </c>
      <c r="AB48" s="4" t="str" cm="1">
        <f t="array" aca="1" ref="AB48" ca="1">_FV(Table4[[#This Row],[Company]],"Official name",TRUE)</f>
        <v>JOHNSON &amp; JOHNSON</v>
      </c>
      <c r="AC48" s="4" t="str" cm="1">
        <f t="array" aca="1" ref="AC48" ca="1">_FV(Table4[[#This Row],[Company]],"Industry")</f>
        <v>Pharmaceuticals</v>
      </c>
      <c r="AD48" s="61" cm="1">
        <f t="array" aca="1" ref="AD48" ca="1">_FV(Table4[[#This Row],[Company]],"Year incorporated",TRUE)</f>
        <v>1887</v>
      </c>
      <c r="AE48" s="6" cm="1">
        <f t="array" aca="1" ref="AE48" ca="1">_FV(Table4[[#This Row],[Company]],"52 week low",TRUE)</f>
        <v>140.68</v>
      </c>
      <c r="AF48" s="4" t="str" cm="1">
        <f t="array" aca="1" ref="AF48" ca="1">_FV(Table4[[#This Row],[Company]],"Headquarters")</f>
        <v>One Johnson &amp; Johnson Plaza, NEW BRUNSWICK, NJ, 08933 US</v>
      </c>
      <c r="AG48" s="6" cm="1">
        <f t="array" aca="1" ref="AG48" ca="1">_FV(Table4[[#This Row],[Company]],"Low")</f>
        <v>189.42</v>
      </c>
    </row>
    <row r="49" spans="1:33" ht="52.6" x14ac:dyDescent="0.4">
      <c r="A49" s="1" t="e" vm="334">
        <v>#VALUE!</v>
      </c>
      <c r="B49" s="1" cm="1" vm="335">
        <f t="array" aca="1" ref="B49" ca="1">_FV(Table2[[#This Row],[Country]],"Calling code",TRUE)</f>
        <v>64</v>
      </c>
      <c r="C49" s="1" cm="1" vm="336">
        <f t="array" aca="1" ref="C49" ca="1">_FV(Table2[[#This Row],[Country]],"GDP")</f>
        <v>206928765543.935</v>
      </c>
      <c r="D49" s="1" t="str" cm="1">
        <f t="array" aca="1" ref="D49" ca="1">_FV(Table2[[#This Row],[Country]],"National anthem",TRUE)</f>
        <v>God Defend New Zealand</v>
      </c>
      <c r="E49" s="1" t="e" cm="1" vm="337">
        <f t="array" aca="1" ref="E49" ca="1">_FV(Table2[[#This Row],[Country]],"Largest city",TRUE)</f>
        <v>#VALUE!</v>
      </c>
      <c r="F49" s="1" t="e" cm="1" vm="338">
        <f t="array" aca="1" ref="F49" ca="1">_FV(Table2[[#This Row],[Country]],"Image")</f>
        <v>#VALUE!</v>
      </c>
      <c r="G49" s="1" t="e" cm="1" vm="339">
        <f t="array" aca="1" ref="G49" ca="1">_FV(Table2[[#This Row],[Country]],"Capital/Major City",TRUE)</f>
        <v>#VALUE!</v>
      </c>
      <c r="H49" s="1" t="str" cm="1">
        <f t="array" aca="1" ref="H49" ca="1">_xlfn.ARRAYTOTEXT(_FV(Table2[[#This Row],[Country]],"Leader(s)",TRUE))</f>
        <v>Charles III (Monarch), Chris Hipkins (Prime minister)</v>
      </c>
      <c r="K49" s="3" t="e" vm="340">
        <v>#VALUE!</v>
      </c>
      <c r="L49" s="6" cm="1">
        <f t="array" aca="1" ref="L49" ca="1">_FV(Table3[[#This Row],[Currency Pair]],"52 week high",TRUE)</f>
        <v>4.9009999999999998E-2</v>
      </c>
      <c r="M49" s="6" cm="1">
        <f t="array" aca="1" ref="M49" ca="1">_FV(Table3[[#This Row],[Currency Pair]],"52 week low",TRUE)</f>
        <v>4.036E-2</v>
      </c>
      <c r="N49" s="6" cm="1">
        <f t="array" aca="1" ref="N49" ca="1">_FV(Table3[[#This Row],[Currency Pair]],"Price")</f>
        <v>4.777E-2</v>
      </c>
      <c r="O49" s="5" t="str" cm="1">
        <f t="array" aca="1" ref="O49" ca="1">_FV(Table3[[#This Row],[Currency Pair]],"Instrument type",TRUE)</f>
        <v>Currency Pair</v>
      </c>
      <c r="P49" s="5" t="str" cm="1">
        <f t="array" aca="1" ref="P49" ca="1">_FV(Table3[[#This Row],[Currency Pair]],"Ticker symbol",TRUE)</f>
        <v>CZKUSD</v>
      </c>
      <c r="Q49" s="5" cm="1">
        <f t="array" aca="1" ref="Q49" ca="1">_FV(Table3[[#This Row],[Currency Pair]],"Change (%)",TRUE)</f>
        <v>2.0939999999999999E-4</v>
      </c>
      <c r="R49" s="5" cm="1">
        <f t="array" aca="1" ref="R49" ca="1">_FV(Table3[[#This Row],[Currency Pair]],"Last trade time",TRUE)</f>
        <v>45957.217499999999</v>
      </c>
      <c r="W49" s="3" t="e" vm="341">
        <v>#VALUE!</v>
      </c>
      <c r="X49" s="6" cm="1">
        <f t="array" aca="1" ref="X49" ca="1">_FV(Table4[[#This Row],[Company]],"52 week high",TRUE)</f>
        <v>29.79</v>
      </c>
      <c r="Y49" s="6" cm="1">
        <f t="array" aca="1" ref="Y49" ca="1">_FV(Table4[[#This Row],[Company]],"Change")</f>
        <v>0.52</v>
      </c>
      <c r="Z49" s="4" t="str" cm="1">
        <f t="array" aca="1" ref="Z49" ca="1">_FV(Table4[[#This Row],[Company]],"Headquarters")</f>
        <v>208 S. Akard St, DALLAS, TX, 75202 US</v>
      </c>
      <c r="AA49" s="60" cm="1">
        <f t="array" aca="1" ref="AA49" ca="1">_FV(Table4[[#This Row],[Company]],"Employees")</f>
        <v>135670</v>
      </c>
      <c r="AB49" s="4" t="str" cm="1">
        <f t="array" aca="1" ref="AB49" ca="1">_FV(Table4[[#This Row],[Company]],"Official name",TRUE)</f>
        <v>AT&amp;T INC.</v>
      </c>
      <c r="AC49" s="4" t="str" cm="1">
        <f t="array" aca="1" ref="AC49" ca="1">_FV(Table4[[#This Row],[Company]],"Industry")</f>
        <v>Telecommunications Services</v>
      </c>
      <c r="AD49" s="61" cm="1">
        <f t="array" aca="1" ref="AD49" ca="1">_FV(Table4[[#This Row],[Company]],"Year incorporated",TRUE)</f>
        <v>1983</v>
      </c>
      <c r="AE49" s="6" cm="1">
        <f t="array" aca="1" ref="AE49" ca="1">_FV(Table4[[#This Row],[Company]],"52 week low",TRUE)</f>
        <v>21.38</v>
      </c>
      <c r="AF49" s="4" t="str" cm="1">
        <f t="array" aca="1" ref="AF49" ca="1">_FV(Table4[[#This Row],[Company]],"Headquarters")</f>
        <v>208 S. Akard St, DALLAS, TX, 75202 US</v>
      </c>
      <c r="AG49" s="6" cm="1">
        <f t="array" aca="1" ref="AG49" ca="1">_FV(Table4[[#This Row],[Company]],"Low")</f>
        <v>24.57</v>
      </c>
    </row>
    <row r="50" spans="1:33" ht="52.6" x14ac:dyDescent="0.4">
      <c r="A50" s="1" t="e" vm="342">
        <v>#VALUE!</v>
      </c>
      <c r="B50" s="1" cm="1" vm="343">
        <f t="array" aca="1" ref="B50" ca="1">_FV(Table2[[#This Row],[Country]],"Calling code",TRUE)</f>
        <v>505</v>
      </c>
      <c r="C50" s="1" cm="1" vm="344">
        <f t="array" aca="1" ref="C50" ca="1">_FV(Table2[[#This Row],[Country]],"GDP")</f>
        <v>12520915291.183701</v>
      </c>
      <c r="D50" s="1" t="str" cm="1">
        <f t="array" aca="1" ref="D50" ca="1">_FV(Table2[[#This Row],[Country]],"National anthem",TRUE)</f>
        <v>Salve a ti</v>
      </c>
      <c r="E50" s="1" t="e" cm="1" vm="345">
        <f t="array" aca="1" ref="E50" ca="1">_FV(Table2[[#This Row],[Country]],"Largest city",TRUE)</f>
        <v>#VALUE!</v>
      </c>
      <c r="F50" s="1" t="e" cm="1" vm="346">
        <f t="array" aca="1" ref="F50" ca="1">_FV(Table2[[#This Row],[Country]],"Image")</f>
        <v>#VALUE!</v>
      </c>
      <c r="G50" s="1" t="e" cm="1" vm="345">
        <f t="array" aca="1" ref="G50" ca="1">_FV(Table2[[#This Row],[Country]],"Capital/Major City",TRUE)</f>
        <v>#VALUE!</v>
      </c>
      <c r="H50" s="1" t="str" cm="1">
        <f t="array" aca="1" ref="H50" ca="1">_xlfn.ARRAYTOTEXT(_FV(Table2[[#This Row],[Country]],"Leader(s)",TRUE))</f>
        <v>Daniel Ortega (President), Rosario Murillo (Vice president)</v>
      </c>
      <c r="K50" s="3" t="e" vm="347">
        <v>#VALUE!</v>
      </c>
      <c r="L50" s="26" cm="1">
        <f t="array" aca="1" ref="L50" ca="1">_FV(Table3[[#This Row],[Currency Pair]],"52 week high",TRUE)</f>
        <v>406.62</v>
      </c>
      <c r="M50" s="26" cm="1">
        <f t="array" aca="1" ref="M50" ca="1">_FV(Table3[[#This Row],[Currency Pair]],"52 week low",TRUE)</f>
        <v>326.52999999999997</v>
      </c>
      <c r="N50" s="26" cm="1">
        <f t="array" aca="1" ref="N50" ca="1">_FV(Table3[[#This Row],[Currency Pair]],"Price")</f>
        <v>335.29</v>
      </c>
      <c r="O50" s="5" t="str" cm="1">
        <f t="array" aca="1" ref="O50" ca="1">_FV(Table3[[#This Row],[Currency Pair]],"Instrument type",TRUE)</f>
        <v>Currency Pair</v>
      </c>
      <c r="P50" s="5" t="str" cm="1">
        <f t="array" aca="1" ref="P50" ca="1">_FV(Table3[[#This Row],[Currency Pair]],"Ticker symbol",TRUE)</f>
        <v>USDHUF</v>
      </c>
      <c r="Q50" s="5" cm="1">
        <f t="array" aca="1" ref="Q50" ca="1">_FV(Table3[[#This Row],[Currency Pair]],"Change (%)",TRUE)</f>
        <v>8.947999999999999E-5</v>
      </c>
      <c r="R50" s="5" cm="1">
        <f t="array" aca="1" ref="R50" ca="1">_FV(Table3[[#This Row],[Currency Pair]],"Last trade time",TRUE)</f>
        <v>45957.217812499999</v>
      </c>
      <c r="W50" s="3" t="e" vm="348">
        <v>#VALUE!</v>
      </c>
      <c r="X50" s="6" cm="1">
        <f t="array" aca="1" ref="X50" ca="1">_FV(Table4[[#This Row],[Company]],"52 week high",TRUE)</f>
        <v>345.72</v>
      </c>
      <c r="Y50" s="6" cm="1">
        <f t="array" aca="1" ref="Y50" ca="1">_FV(Table4[[#This Row],[Company]],"Change")</f>
        <v>3.26</v>
      </c>
      <c r="Z50" s="4" t="str" cm="1">
        <f t="array" aca="1" ref="Z50" ca="1">_FV(Table4[[#This Row],[Company]],"Headquarters")</f>
        <v>2300 Oracle Way, AUSTIN, TX, 78741 US</v>
      </c>
      <c r="AA50" s="60" cm="1">
        <f t="array" aca="1" ref="AA50" ca="1">_FV(Table4[[#This Row],[Company]],"Employees")</f>
        <v>162000</v>
      </c>
      <c r="AB50" s="4" t="str" cm="1">
        <f t="array" aca="1" ref="AB50" ca="1">_FV(Table4[[#This Row],[Company]],"Official name",TRUE)</f>
        <v>ORACLE CORPORATION</v>
      </c>
      <c r="AC50" s="4" t="str" cm="1">
        <f t="array" aca="1" ref="AC50" ca="1">_FV(Table4[[#This Row],[Company]],"Industry")</f>
        <v>Software &amp; IT Services</v>
      </c>
      <c r="AD50" s="61" cm="1">
        <f t="array" aca="1" ref="AD50" ca="1">_FV(Table4[[#This Row],[Company]],"Year incorporated",TRUE)</f>
        <v>2005</v>
      </c>
      <c r="AE50" s="6" cm="1">
        <f t="array" aca="1" ref="AE50" ca="1">_FV(Table4[[#This Row],[Company]],"52 week low",TRUE)</f>
        <v>118.86</v>
      </c>
      <c r="AF50" s="4" t="str" cm="1">
        <f t="array" aca="1" ref="AF50" ca="1">_FV(Table4[[#This Row],[Company]],"Headquarters")</f>
        <v>2300 Oracle Way, AUSTIN, TX, 78741 US</v>
      </c>
      <c r="AG50" s="6" cm="1">
        <f t="array" aca="1" ref="AG50" ca="1">_FV(Table4[[#This Row],[Company]],"Low")</f>
        <v>282.245</v>
      </c>
    </row>
    <row r="51" spans="1:33" ht="70.150000000000006" x14ac:dyDescent="0.4">
      <c r="A51" s="1" t="e" vm="349">
        <v>#VALUE!</v>
      </c>
      <c r="B51" s="1" cm="1" vm="350">
        <f t="array" aca="1" ref="B51" ca="1">_FV(Table2[[#This Row],[Country]],"Calling code",TRUE)</f>
        <v>227</v>
      </c>
      <c r="C51" s="1" cm="1" vm="351">
        <f t="array" aca="1" ref="C51" ca="1">_FV(Table2[[#This Row],[Country]],"GDP")</f>
        <v>12928145120.0296</v>
      </c>
      <c r="D51" s="1" t="str" cm="1">
        <f t="array" aca="1" ref="D51" ca="1">_FV(Table2[[#This Row],[Country]],"National anthem",TRUE)</f>
        <v>La Nigérienne</v>
      </c>
      <c r="E51" s="1" t="e" cm="1" vm="352">
        <f t="array" aca="1" ref="E51" ca="1">_FV(Table2[[#This Row],[Country]],"Largest city",TRUE)</f>
        <v>#VALUE!</v>
      </c>
      <c r="F51" s="1" t="e" cm="1" vm="353">
        <f t="array" aca="1" ref="F51" ca="1">_FV(Table2[[#This Row],[Country]],"Image")</f>
        <v>#VALUE!</v>
      </c>
      <c r="G51" s="1" t="e" cm="1" vm="352">
        <f t="array" aca="1" ref="G51" ca="1">_FV(Table2[[#This Row],[Country]],"Capital/Major City",TRUE)</f>
        <v>#VALUE!</v>
      </c>
      <c r="H51" s="1" t="str" cm="1">
        <f t="array" aca="1" ref="H51" ca="1">_xlfn.ARRAYTOTEXT(_FV(Table2[[#This Row],[Country]],"Leader(s)",TRUE))</f>
        <v>Ali Lamine Zeine (Prime minister)</v>
      </c>
      <c r="K51" s="3" t="e" vm="354">
        <v>#VALUE!</v>
      </c>
      <c r="L51" s="6" cm="1">
        <f t="array" aca="1" ref="L51" ca="1">_FV(Table3[[#This Row],[Currency Pair]],"52 week high",TRUE)</f>
        <v>3.0599999999999998E-3</v>
      </c>
      <c r="M51" s="6" cm="1">
        <f t="array" aca="1" ref="M51" ca="1">_FV(Table3[[#This Row],[Currency Pair]],"52 week low",TRUE)</f>
        <v>2.457E-3</v>
      </c>
      <c r="N51" s="6" cm="1">
        <f t="array" aca="1" ref="N51" ca="1">_FV(Table3[[#This Row],[Currency Pair]],"Price")</f>
        <v>2.9789999999999999E-3</v>
      </c>
      <c r="O51" s="5" t="str" cm="1">
        <f t="array" aca="1" ref="O51" ca="1">_FV(Table3[[#This Row],[Currency Pair]],"Instrument type",TRUE)</f>
        <v>Currency Pair</v>
      </c>
      <c r="P51" s="5" t="str" cm="1">
        <f t="array" aca="1" ref="P51" ca="1">_FV(Table3[[#This Row],[Currency Pair]],"Ticker symbol",TRUE)</f>
        <v>HUFUSD</v>
      </c>
      <c r="Q51" s="5" cm="1">
        <f t="array" aca="1" ref="Q51" ca="1">_FV(Table3[[#This Row],[Currency Pair]],"Change (%)",TRUE)</f>
        <v>0</v>
      </c>
      <c r="R51" s="5" cm="1">
        <f t="array" aca="1" ref="R51" ca="1">_FV(Table3[[#This Row],[Currency Pair]],"Last trade time",TRUE)</f>
        <v>45957.217800925922</v>
      </c>
      <c r="W51" s="3" t="e" vm="355">
        <v>#VALUE!</v>
      </c>
      <c r="X51" s="6" cm="1">
        <f t="array" aca="1" ref="X51" ca="1">_FV(Table4[[#This Row],[Company]],"52 week high",TRUE)</f>
        <v>265.29000000000002</v>
      </c>
      <c r="Y51" s="6" cm="1">
        <f t="array" aca="1" ref="Y51" ca="1">_FV(Table4[[#This Row],[Company]],"Change")</f>
        <v>3.24</v>
      </c>
      <c r="Z51" s="4" t="str" cm="1">
        <f t="array" aca="1" ref="Z51" ca="1">_FV(Table4[[#This Row],[Company]],"Headquarters")</f>
        <v>One Apple Park Way, CUPERTINO, CA, 95014 US</v>
      </c>
      <c r="AA51" s="60" cm="1">
        <f t="array" aca="1" ref="AA51" ca="1">_FV(Table4[[#This Row],[Company]],"Employees")</f>
        <v>164000</v>
      </c>
      <c r="AB51" s="4" t="str" cm="1">
        <f t="array" aca="1" ref="AB51" ca="1">_FV(Table4[[#This Row],[Company]],"Official name",TRUE)</f>
        <v>APPLE INC.</v>
      </c>
      <c r="AC51" s="4" t="str" cm="1">
        <f t="array" aca="1" ref="AC51" ca="1">_FV(Table4[[#This Row],[Company]],"Industry")</f>
        <v>Computers, Phones &amp; Household Electronics</v>
      </c>
      <c r="AD51" s="61" cm="1">
        <f t="array" aca="1" ref="AD51" ca="1">_FV(Table4[[#This Row],[Company]],"Year incorporated",TRUE)</f>
        <v>1977</v>
      </c>
      <c r="AE51" s="6" cm="1">
        <f t="array" aca="1" ref="AE51" ca="1">_FV(Table4[[#This Row],[Company]],"52 week low",TRUE)</f>
        <v>169.21010000000001</v>
      </c>
      <c r="AF51" s="4" t="str" cm="1">
        <f t="array" aca="1" ref="AF51" ca="1">_FV(Table4[[#This Row],[Company]],"Headquarters")</f>
        <v>One Apple Park Way, CUPERTINO, CA, 95014 US</v>
      </c>
      <c r="AG51" s="6" cm="1">
        <f t="array" aca="1" ref="AG51" ca="1">_FV(Table4[[#This Row],[Company]],"Low")</f>
        <v>259.18</v>
      </c>
    </row>
    <row r="52" spans="1:33" ht="70.150000000000006" x14ac:dyDescent="0.4">
      <c r="A52" s="1" t="e" vm="356">
        <v>#VALUE!</v>
      </c>
      <c r="B52" s="1" cm="1" vm="357">
        <f t="array" aca="1" ref="B52" ca="1">_FV(Table2[[#This Row],[Country]],"Calling code",TRUE)</f>
        <v>234</v>
      </c>
      <c r="C52" s="1" cm="1" vm="358">
        <f t="array" aca="1" ref="C52" ca="1">_FV(Table2[[#This Row],[Country]],"GDP")</f>
        <v>448120428858.76898</v>
      </c>
      <c r="D52" s="1" t="str" cm="1">
        <f t="array" aca="1" ref="D52" ca="1">_FV(Table2[[#This Row],[Country]],"National anthem",TRUE)</f>
        <v>Arise, O Compatriots</v>
      </c>
      <c r="E52" s="1" t="e" cm="1" vm="359">
        <f t="array" aca="1" ref="E52" ca="1">_FV(Table2[[#This Row],[Country]],"Largest city",TRUE)</f>
        <v>#VALUE!</v>
      </c>
      <c r="F52" s="1" t="e" cm="1" vm="360">
        <f t="array" aca="1" ref="F52" ca="1">_FV(Table2[[#This Row],[Country]],"Image")</f>
        <v>#VALUE!</v>
      </c>
      <c r="G52" s="1" t="e" cm="1" vm="361">
        <f t="array" aca="1" ref="G52" ca="1">_FV(Table2[[#This Row],[Country]],"Capital/Major City",TRUE)</f>
        <v>#VALUE!</v>
      </c>
      <c r="H52" s="1" t="str" cm="1">
        <f t="array" aca="1" ref="H52" ca="1">_xlfn.ARRAYTOTEXT(_FV(Table2[[#This Row],[Country]],"Leader(s)",TRUE))</f>
        <v>Bola Tinubu (President), Kashim Shettima (Vice president), Tajudeen Abbas (Speaker), Olukayode Ariwoola (Chief justice)</v>
      </c>
      <c r="K52" s="3" t="e" vm="362">
        <v>#VALUE!</v>
      </c>
      <c r="L52" s="27" cm="1">
        <f t="array" aca="1" ref="L52" ca="1">_FV(Table3[[#This Row],[Currency Pair]],"52 week high",TRUE)</f>
        <v>3.8363</v>
      </c>
      <c r="M52" s="27" cm="1">
        <f t="array" aca="1" ref="M52" ca="1">_FV(Table3[[#This Row],[Currency Pair]],"52 week low",TRUE)</f>
        <v>3.2345000000000002</v>
      </c>
      <c r="N52" s="27" cm="1">
        <f t="array" aca="1" ref="N52" ca="1">_FV(Table3[[#This Row],[Currency Pair]],"Price")</f>
        <v>3.2715000000000001</v>
      </c>
      <c r="O52" s="5" t="str" cm="1">
        <f t="array" aca="1" ref="O52" ca="1">_FV(Table3[[#This Row],[Currency Pair]],"Instrument type",TRUE)</f>
        <v>Currency Pair</v>
      </c>
      <c r="P52" s="5" t="str" cm="1">
        <f t="array" aca="1" ref="P52" ca="1">_FV(Table3[[#This Row],[Currency Pair]],"Ticker symbol",TRUE)</f>
        <v>USDILS</v>
      </c>
      <c r="Q52" s="5" cm="1">
        <f t="array" aca="1" ref="Q52" ca="1">_FV(Table3[[#This Row],[Currency Pair]],"Change (%)",TRUE)</f>
        <v>-7.0250000000000011E-4</v>
      </c>
      <c r="R52" s="5" cm="1">
        <f t="array" aca="1" ref="R52" ca="1">_FV(Table3[[#This Row],[Currency Pair]],"Last trade time",TRUE)</f>
        <v>45957.217060185183</v>
      </c>
      <c r="W52" s="3" t="e" vm="355">
        <v>#VALUE!</v>
      </c>
      <c r="X52" s="6" cm="1">
        <f t="array" aca="1" ref="X52" ca="1">_FV(Table4[[#This Row],[Company]],"52 week high",TRUE)</f>
        <v>265.29000000000002</v>
      </c>
      <c r="Y52" s="6" cm="1">
        <f t="array" aca="1" ref="Y52" ca="1">_FV(Table4[[#This Row],[Company]],"Change")</f>
        <v>3.24</v>
      </c>
      <c r="Z52" s="4" t="str" cm="1">
        <f t="array" aca="1" ref="Z52" ca="1">_FV(Table4[[#This Row],[Company]],"Headquarters")</f>
        <v>One Apple Park Way, CUPERTINO, CA, 95014 US</v>
      </c>
      <c r="AA52" s="60" cm="1">
        <f t="array" aca="1" ref="AA52" ca="1">_FV(Table4[[#This Row],[Company]],"Employees")</f>
        <v>164000</v>
      </c>
      <c r="AB52" s="4" t="str" cm="1">
        <f t="array" aca="1" ref="AB52" ca="1">_FV(Table4[[#This Row],[Company]],"Official name",TRUE)</f>
        <v>APPLE INC.</v>
      </c>
      <c r="AC52" s="4" t="str" cm="1">
        <f t="array" aca="1" ref="AC52" ca="1">_FV(Table4[[#This Row],[Company]],"Industry")</f>
        <v>Computers, Phones &amp; Household Electronics</v>
      </c>
      <c r="AD52" s="61" cm="1">
        <f t="array" aca="1" ref="AD52" ca="1">_FV(Table4[[#This Row],[Company]],"Year incorporated",TRUE)</f>
        <v>1977</v>
      </c>
      <c r="AE52" s="6" cm="1">
        <f t="array" aca="1" ref="AE52" ca="1">_FV(Table4[[#This Row],[Company]],"52 week low",TRUE)</f>
        <v>169.21010000000001</v>
      </c>
      <c r="AF52" s="4" t="str" cm="1">
        <f t="array" aca="1" ref="AF52" ca="1">_FV(Table4[[#This Row],[Company]],"Headquarters")</f>
        <v>One Apple Park Way, CUPERTINO, CA, 95014 US</v>
      </c>
      <c r="AG52" s="6" cm="1">
        <f t="array" aca="1" ref="AG52" ca="1">_FV(Table4[[#This Row],[Company]],"Low")</f>
        <v>259.18</v>
      </c>
    </row>
    <row r="53" spans="1:33" ht="70.150000000000006" x14ac:dyDescent="0.4">
      <c r="A53" s="1" t="e" vm="363">
        <v>#VALUE!</v>
      </c>
      <c r="B53" s="1" cm="1" vm="364">
        <f t="array" aca="1" ref="B53" ca="1">_FV(Table2[[#This Row],[Country]],"Calling code",TRUE)</f>
        <v>850</v>
      </c>
      <c r="C53" s="1" cm="1" vm="365">
        <f t="array" aca="1" ref="C53" ca="1">_FV(Table2[[#This Row],[Country]],"GDP")</f>
        <v>32100000000</v>
      </c>
      <c r="D53" s="1" t="str" cm="1">
        <f t="array" aca="1" ref="D53" ca="1">_FV(Table2[[#This Row],[Country]],"National anthem",TRUE)</f>
        <v>Aegukka</v>
      </c>
      <c r="E53" s="1" t="e" cm="1" vm="366">
        <f t="array" aca="1" ref="E53" ca="1">_FV(Table2[[#This Row],[Country]],"Largest city",TRUE)</f>
        <v>#VALUE!</v>
      </c>
      <c r="F53" s="1" t="e" cm="1" vm="367">
        <f t="array" aca="1" ref="F53" ca="1">_FV(Table2[[#This Row],[Country]],"Image")</f>
        <v>#VALUE!</v>
      </c>
      <c r="G53" s="1" t="e" cm="1" vm="366">
        <f t="array" aca="1" ref="G53" ca="1">_FV(Table2[[#This Row],[Country]],"Capital/Major City",TRUE)</f>
        <v>#VALUE!</v>
      </c>
      <c r="H53" s="1" t="str" cm="1">
        <f t="array" aca="1" ref="H53" ca="1">_xlfn.ARRAYTOTEXT(_FV(Table2[[#This Row],[Country]],"Leader(s)",TRUE))</f>
        <v>Kim Jong Un (General secretary), Kim Jong Un (President), Kim Tok Hun (Premier)</v>
      </c>
      <c r="K53" s="3" t="e" vm="368">
        <v>#VALUE!</v>
      </c>
      <c r="L53" s="6" cm="1">
        <f t="array" aca="1" ref="L53" ca="1">_FV(Table3[[#This Row],[Currency Pair]],"52 week high",TRUE)</f>
        <v>0.30890000000000001</v>
      </c>
      <c r="M53" s="6" cm="1">
        <f t="array" aca="1" ref="M53" ca="1">_FV(Table3[[#This Row],[Currency Pair]],"52 week low",TRUE)</f>
        <v>0.26</v>
      </c>
      <c r="N53" s="6" cm="1">
        <f t="array" aca="1" ref="N53" ca="1">_FV(Table3[[#This Row],[Currency Pair]],"Price")</f>
        <v>0.30509999999999998</v>
      </c>
      <c r="O53" s="5" t="str" cm="1">
        <f t="array" aca="1" ref="O53" ca="1">_FV(Table3[[#This Row],[Currency Pair]],"Instrument type",TRUE)</f>
        <v>Currency Pair</v>
      </c>
      <c r="P53" s="5" t="str" cm="1">
        <f t="array" aca="1" ref="P53" ca="1">_FV(Table3[[#This Row],[Currency Pair]],"Ticker symbol",TRUE)</f>
        <v>ILSUSD</v>
      </c>
      <c r="Q53" s="5" cm="1">
        <f t="array" aca="1" ref="Q53" ca="1">_FV(Table3[[#This Row],[Currency Pair]],"Change (%)",TRUE)</f>
        <v>1.5890000000000001E-3</v>
      </c>
      <c r="R53" s="5" cm="1">
        <f t="array" aca="1" ref="R53" ca="1">_FV(Table3[[#This Row],[Currency Pair]],"Last trade time",TRUE)</f>
        <v>45957.217060185183</v>
      </c>
      <c r="W53" s="3" t="e" vm="369">
        <v>#VALUE!</v>
      </c>
      <c r="X53" s="6" cm="1">
        <f t="array" aca="1" ref="X53" ca="1">_FV(Table4[[#This Row],[Company]],"52 week high",TRUE)</f>
        <v>242.68989999999999</v>
      </c>
      <c r="Y53" s="6" cm="1">
        <f t="array" aca="1" ref="Y53" ca="1">_FV(Table4[[#This Row],[Company]],"Change")</f>
        <v>3.58</v>
      </c>
      <c r="Z53" s="4" t="str" cm="1">
        <f t="array" aca="1" ref="Z53" ca="1">_FV(Table4[[#This Row],[Company]],"Headquarters")</f>
        <v>929 Long Bridge Drive, ARLINGTON, VA, 22202 US</v>
      </c>
      <c r="AA53" s="60" cm="1">
        <f t="array" aca="1" ref="AA53" ca="1">_FV(Table4[[#This Row],[Company]],"Employees")</f>
        <v>172000</v>
      </c>
      <c r="AB53" s="4" t="str" cm="1">
        <f t="array" aca="1" ref="AB53" ca="1">_FV(Table4[[#This Row],[Company]],"Official name",TRUE)</f>
        <v>THE BOEING COMPANY</v>
      </c>
      <c r="AC53" s="4" t="str" cm="1">
        <f t="array" aca="1" ref="AC53" ca="1">_FV(Table4[[#This Row],[Company]],"Industry")</f>
        <v>Aerospace &amp; Defense</v>
      </c>
      <c r="AD53" s="61" cm="1">
        <f t="array" aca="1" ref="AD53" ca="1">_FV(Table4[[#This Row],[Company]],"Year incorporated",TRUE)</f>
        <v>1934</v>
      </c>
      <c r="AE53" s="6" cm="1">
        <f t="array" aca="1" ref="AE53" ca="1">_FV(Table4[[#This Row],[Company]],"52 week low",TRUE)</f>
        <v>128.8801</v>
      </c>
      <c r="AF53" s="4" t="str" cm="1">
        <f t="array" aca="1" ref="AF53" ca="1">_FV(Table4[[#This Row],[Company]],"Headquarters")</f>
        <v>929 Long Bridge Drive, ARLINGTON, VA, 22202 US</v>
      </c>
      <c r="AG53" s="6" cm="1">
        <f t="array" aca="1" ref="AG53" ca="1">_FV(Table4[[#This Row],[Company]],"Low")</f>
        <v>218.51</v>
      </c>
    </row>
    <row r="54" spans="1:33" ht="70.150000000000006" x14ac:dyDescent="0.4">
      <c r="A54" s="1" t="e" vm="370">
        <v>#VALUE!</v>
      </c>
      <c r="B54" s="1" cm="1" vm="371">
        <f t="array" aca="1" ref="B54" ca="1">_FV(Table2[[#This Row],[Country]],"Calling code",TRUE)</f>
        <v>389</v>
      </c>
      <c r="C54" s="1" cm="1" vm="372">
        <f t="array" aca="1" ref="C54" ca="1">_FV(Table2[[#This Row],[Country]],"GDP")</f>
        <v>10220781069</v>
      </c>
      <c r="D54" s="1" t="str" cm="1">
        <f t="array" aca="1" ref="D54" ca="1">_FV(Table2[[#This Row],[Country]],"National anthem",TRUE)</f>
        <v>Denes nad Makedonija</v>
      </c>
      <c r="E54" s="1" t="e" cm="1" vm="373">
        <f t="array" aca="1" ref="E54" ca="1">_FV(Table2[[#This Row],[Country]],"Largest city",TRUE)</f>
        <v>#VALUE!</v>
      </c>
      <c r="F54" s="1" t="e" cm="1" vm="374">
        <f t="array" aca="1" ref="F54" ca="1">_FV(Table2[[#This Row],[Country]],"Image")</f>
        <v>#VALUE!</v>
      </c>
      <c r="G54" s="1" t="e" cm="1" vm="373">
        <f t="array" aca="1" ref="G54" ca="1">_FV(Table2[[#This Row],[Country]],"Capital/Major City",TRUE)</f>
        <v>#VALUE!</v>
      </c>
      <c r="H54" s="1" t="str" cm="1">
        <f t="array" aca="1" ref="H54" ca="1">_xlfn.ARRAYTOTEXT(_FV(Table2[[#This Row],[Country]],"Leader(s)",TRUE))</f>
        <v>Stevo Pendarovski (President), Dimitar Kovačevski (Prime minister)</v>
      </c>
      <c r="K54" s="3" t="e" vm="375">
        <v>#VALUE!</v>
      </c>
      <c r="L54" s="28" cm="1">
        <f t="array" aca="1" ref="L54" ca="1">_FV(Table3[[#This Row],[Currency Pair]],"52 week high",TRUE)</f>
        <v>1019.13</v>
      </c>
      <c r="M54" s="28" cm="1">
        <f t="array" aca="1" ref="M54" ca="1">_FV(Table3[[#This Row],[Currency Pair]],"52 week low",TRUE)</f>
        <v>913</v>
      </c>
      <c r="N54" s="28" cm="1">
        <f t="array" aca="1" ref="N54" ca="1">_FV(Table3[[#This Row],[Currency Pair]],"Price")</f>
        <v>941.18</v>
      </c>
      <c r="O54" s="5" t="str" cm="1">
        <f t="array" aca="1" ref="O54" ca="1">_FV(Table3[[#This Row],[Currency Pair]],"Instrument type",TRUE)</f>
        <v>Currency Pair</v>
      </c>
      <c r="P54" s="5" t="str" cm="1">
        <f t="array" aca="1" ref="P54" ca="1">_FV(Table3[[#This Row],[Currency Pair]],"Ticker symbol",TRUE)</f>
        <v>USDCLP</v>
      </c>
      <c r="Q54" s="5" cm="1">
        <f t="array" aca="1" ref="Q54" ca="1">_FV(Table3[[#This Row],[Currency Pair]],"Change (%)",TRUE)</f>
        <v>0</v>
      </c>
      <c r="R54" s="5" cm="1">
        <f t="array" aca="1" ref="R54" ca="1">_FV(Table3[[#This Row],[Currency Pair]],"Last trade time",TRUE)</f>
        <v>45954.923634259256</v>
      </c>
      <c r="W54" s="3" t="e" vm="376">
        <v>#VALUE!</v>
      </c>
      <c r="X54" s="6" cm="1">
        <f t="array" aca="1" ref="X54" ca="1">_FV(Table4[[#This Row],[Company]],"52 week high",TRUE)</f>
        <v>555.45000000000005</v>
      </c>
      <c r="Y54" s="6" cm="1">
        <f t="array" aca="1" ref="Y54" ca="1">_FV(Table4[[#This Row],[Company]],"Change")</f>
        <v>3.05</v>
      </c>
      <c r="Z54" s="4" t="str" cm="1">
        <f t="array" aca="1" ref="Z54" ca="1">_FV(Table4[[#This Row],[Company]],"Headquarters")</f>
        <v>One Microsoft Way, REDMOND, WA, 98052 US</v>
      </c>
      <c r="AA54" s="60" cm="1">
        <f t="array" aca="1" ref="AA54" ca="1">_FV(Table4[[#This Row],[Company]],"Employees")</f>
        <v>228000</v>
      </c>
      <c r="AB54" s="4" t="str" cm="1">
        <f t="array" aca="1" ref="AB54" ca="1">_FV(Table4[[#This Row],[Company]],"Official name",TRUE)</f>
        <v>MICROSOFT CORPORATION</v>
      </c>
      <c r="AC54" s="4" t="str" cm="1">
        <f t="array" aca="1" ref="AC54" ca="1">_FV(Table4[[#This Row],[Company]],"Industry")</f>
        <v>Software &amp; IT Services</v>
      </c>
      <c r="AD54" s="61" cm="1">
        <f t="array" aca="1" ref="AD54" ca="1">_FV(Table4[[#This Row],[Company]],"Year incorporated",TRUE)</f>
        <v>1993</v>
      </c>
      <c r="AE54" s="6" cm="1">
        <f t="array" aca="1" ref="AE54" ca="1">_FV(Table4[[#This Row],[Company]],"52 week low",TRUE)</f>
        <v>344.79</v>
      </c>
      <c r="AF54" s="4" t="str" cm="1">
        <f t="array" aca="1" ref="AF54" ca="1">_FV(Table4[[#This Row],[Company]],"Headquarters")</f>
        <v>One Microsoft Way, REDMOND, WA, 98052 US</v>
      </c>
      <c r="AG54" s="6" cm="1">
        <f t="array" aca="1" ref="AG54" ca="1">_FV(Table4[[#This Row],[Company]],"Low")</f>
        <v>520.71</v>
      </c>
    </row>
    <row r="55" spans="1:33" ht="70.150000000000006" x14ac:dyDescent="0.4">
      <c r="A55" s="1" t="e" vm="377">
        <v>#VALUE!</v>
      </c>
      <c r="B55" s="1" cm="1" vm="378">
        <f t="array" aca="1" ref="B55" ca="1">_FV(Table2[[#This Row],[Country]],"Calling code",TRUE)</f>
        <v>47</v>
      </c>
      <c r="C55" s="1" cm="1" vm="379">
        <f t="array" aca="1" ref="C55" ca="1">_FV(Table2[[#This Row],[Country]],"GDP")</f>
        <v>403336363636.36401</v>
      </c>
      <c r="D55" s="1" t="str" cm="1">
        <f t="array" aca="1" ref="D55" ca="1">_FV(Table2[[#This Row],[Country]],"National anthem",TRUE)</f>
        <v>Ja, vi elsker dette landet</v>
      </c>
      <c r="E55" s="1" t="e" cm="1" vm="380">
        <f t="array" aca="1" ref="E55" ca="1">_FV(Table2[[#This Row],[Country]],"Largest city",TRUE)</f>
        <v>#VALUE!</v>
      </c>
      <c r="F55" s="1" t="e" cm="1" vm="381">
        <f t="array" aca="1" ref="F55" ca="1">_FV(Table2[[#This Row],[Country]],"Image")</f>
        <v>#VALUE!</v>
      </c>
      <c r="G55" s="1" t="e" cm="1" vm="380">
        <f t="array" aca="1" ref="G55" ca="1">_FV(Table2[[#This Row],[Country]],"Capital/Major City",TRUE)</f>
        <v>#VALUE!</v>
      </c>
      <c r="H55" s="1" t="str" cm="1">
        <f t="array" aca="1" ref="H55" ca="1">_xlfn.ARRAYTOTEXT(_FV(Table2[[#This Row],[Country]],"Leader(s)",TRUE))</f>
        <v>Harald V (Monarch), Jonas Gahr Støre (Prime minister), Toril Marie Øie (Chief justice)</v>
      </c>
      <c r="K55" s="3" t="e" vm="382">
        <v>#VALUE!</v>
      </c>
      <c r="L55" s="6" cm="1">
        <f t="array" aca="1" ref="L55" ca="1">_FV(Table3[[#This Row],[Currency Pair]],"52 week high",TRUE)</f>
        <v>1.09E-3</v>
      </c>
      <c r="M55" s="6" cm="1">
        <f t="array" aca="1" ref="M55" ca="1">_FV(Table3[[#This Row],[Currency Pair]],"52 week low",TRUE)</f>
        <v>9.7999999999999997E-4</v>
      </c>
      <c r="N55" s="6" cm="1">
        <f t="array" aca="1" ref="N55" ca="1">_FV(Table3[[#This Row],[Currency Pair]],"Price")</f>
        <v>1.0610000000000001E-3</v>
      </c>
      <c r="O55" s="5" t="str" cm="1">
        <f t="array" aca="1" ref="O55" ca="1">_FV(Table3[[#This Row],[Currency Pair]],"Instrument type",TRUE)</f>
        <v>Currency Pair</v>
      </c>
      <c r="P55" s="5" t="str" cm="1">
        <f t="array" aca="1" ref="P55" ca="1">_FV(Table3[[#This Row],[Currency Pair]],"Ticker symbol",TRUE)</f>
        <v>CLPUSD</v>
      </c>
      <c r="Q55" s="5" cm="1">
        <f t="array" aca="1" ref="Q55" ca="1">_FV(Table3[[#This Row],[Currency Pair]],"Change (%)",TRUE)</f>
        <v>0</v>
      </c>
      <c r="R55" s="5" cm="1">
        <f t="array" aca="1" ref="R55" ca="1">_FV(Table3[[#This Row],[Currency Pair]],"Last trade time",TRUE)</f>
        <v>45954.923634259256</v>
      </c>
      <c r="W55" s="3" t="e" vm="383">
        <v>#VALUE!</v>
      </c>
      <c r="X55" s="4" t="e" cm="1" vm="384">
        <f t="array" ref="X55">_FV(Table4[[#This Row],[Company]],"52 week high",TRUE)</f>
        <v>#VALUE!</v>
      </c>
      <c r="Y55" s="7" cm="1">
        <f t="array" aca="1" ref="Y55" ca="1">_FV(Table4[[#This Row],[Company]],"Change")</f>
        <v>-0.8</v>
      </c>
      <c r="Z55" s="4" t="str" cm="1">
        <f t="array" aca="1" ref="Z55" ca="1">_FV(Table4[[#This Row],[Company]],"Headquarters")</f>
        <v>Ave Nesele 55, Ch-1800, VEVEY, VAUD, 1800 CH</v>
      </c>
      <c r="AA55" s="60" cm="1">
        <f t="array" aca="1" ref="AA55" ca="1">_FV(Table4[[#This Row],[Company]],"Employees")</f>
        <v>277000</v>
      </c>
      <c r="AB55" s="4" t="str" cm="1">
        <f t="array" aca="1" ref="AB55" ca="1">_FV(Table4[[#This Row],[Company]],"Official name",TRUE)</f>
        <v>Nestle Ltd.</v>
      </c>
      <c r="AC55" s="4" t="str" cm="1">
        <f t="array" aca="1" ref="AC55" ca="1">_FV(Table4[[#This Row],[Company]],"Industry")</f>
        <v>Food &amp; Tobacco</v>
      </c>
      <c r="AD55" s="61" cm="1">
        <f t="array" aca="1" ref="AD55" ca="1">_FV(Table4[[#This Row],[Company]],"Year incorporated",TRUE)</f>
        <v>1905</v>
      </c>
      <c r="AE55" s="4" t="e" cm="1" vm="385">
        <f t="array" ref="AE55">_FV(Table4[[#This Row],[Company]],"52 week low",TRUE)</f>
        <v>#VALUE!</v>
      </c>
      <c r="AF55" s="4" t="str" cm="1">
        <f t="array" aca="1" ref="AF55" ca="1">_FV(Table4[[#This Row],[Company]],"Headquarters")</f>
        <v>Ave Nesele 55, Ch-1800, VEVEY, VAUD, 1800 CH</v>
      </c>
      <c r="AG55" s="7" cm="1">
        <f t="array" aca="1" ref="AG55" ca="1">_FV(Table4[[#This Row],[Company]],"Low")</f>
        <v>86.4</v>
      </c>
    </row>
    <row r="56" spans="1:33" ht="70.150000000000006" x14ac:dyDescent="0.4">
      <c r="A56" s="1" t="e" vm="386">
        <v>#VALUE!</v>
      </c>
      <c r="B56" s="1" cm="1" vm="387">
        <f t="array" aca="1" ref="B56" ca="1">_FV(Table2[[#This Row],[Country]],"Calling code",TRUE)</f>
        <v>968</v>
      </c>
      <c r="C56" s="1" cm="1" vm="388">
        <f t="array" aca="1" ref="C56" ca="1">_FV(Table2[[#This Row],[Country]],"GDP")</f>
        <v>76983094928.4785</v>
      </c>
      <c r="D56" s="1" t="str" cm="1">
        <f t="array" aca="1" ref="D56" ca="1">_FV(Table2[[#This Row],[Country]],"National anthem",TRUE)</f>
        <v>As-Salam as-Sultani</v>
      </c>
      <c r="E56" s="1" t="e" cm="1" vm="389">
        <f t="array" aca="1" ref="E56" ca="1">_FV(Table2[[#This Row],[Country]],"Largest city",TRUE)</f>
        <v>#VALUE!</v>
      </c>
      <c r="F56" s="1" t="e" cm="1" vm="390">
        <f t="array" aca="1" ref="F56" ca="1">_FV(Table2[[#This Row],[Country]],"Image")</f>
        <v>#VALUE!</v>
      </c>
      <c r="G56" s="1" t="e" cm="1" vm="389">
        <f t="array" aca="1" ref="G56" ca="1">_FV(Table2[[#This Row],[Country]],"Capital/Major City",TRUE)</f>
        <v>#VALUE!</v>
      </c>
      <c r="H56" s="1" t="str" cm="1">
        <f t="array" aca="1" ref="H56" ca="1">_xlfn.ARRAYTOTEXT(_FV(Table2[[#This Row],[Country]],"Leader(s)",TRUE))</f>
        <v>Theyazin bin Haitham (Crown prince)</v>
      </c>
      <c r="K56" s="3" t="e" vm="391">
        <v>#VALUE!</v>
      </c>
      <c r="L56" s="29" cm="1">
        <f t="array" aca="1" ref="L56" ca="1">_FV(Table3[[#This Row],[Currency Pair]],"52 week high",TRUE)</f>
        <v>59.164999999999999</v>
      </c>
      <c r="M56" s="29" cm="1">
        <f t="array" aca="1" ref="M56" ca="1">_FV(Table3[[#This Row],[Currency Pair]],"52 week low",TRUE)</f>
        <v>55.112000000000002</v>
      </c>
      <c r="N56" s="29" cm="1">
        <f t="array" aca="1" ref="N56" ca="1">_FV(Table3[[#This Row],[Currency Pair]],"Price")</f>
        <v>58.779000000000003</v>
      </c>
      <c r="O56" s="5" t="str" cm="1">
        <f t="array" aca="1" ref="O56" ca="1">_FV(Table3[[#This Row],[Currency Pair]],"Instrument type",TRUE)</f>
        <v>Currency Pair</v>
      </c>
      <c r="P56" s="5" t="str" cm="1">
        <f t="array" aca="1" ref="P56" ca="1">_FV(Table3[[#This Row],[Currency Pair]],"Ticker symbol",TRUE)</f>
        <v>USDPHP</v>
      </c>
      <c r="Q56" s="5" cm="1">
        <f t="array" aca="1" ref="Q56" ca="1">_FV(Table3[[#This Row],[Currency Pair]],"Change (%)",TRUE)</f>
        <v>9.1950000000000007E-4</v>
      </c>
      <c r="R56" s="5" cm="1">
        <f t="array" aca="1" ref="R56" ca="1">_FV(Table3[[#This Row],[Currency Pair]],"Last trade time",TRUE)</f>
        <v>45957.217673611114</v>
      </c>
      <c r="W56" s="3" t="e" vm="392">
        <v>#VALUE!</v>
      </c>
      <c r="X56" s="6" cm="1">
        <f t="array" aca="1" ref="X56" ca="1">_FV(Table4[[#This Row],[Company]],"52 week high",TRUE)</f>
        <v>310.75</v>
      </c>
      <c r="Y56" s="6" cm="1">
        <f t="array" aca="1" ref="Y56" ca="1">_FV(Table4[[#This Row],[Company]],"Change")</f>
        <v>22.46</v>
      </c>
      <c r="Z56" s="4" t="str" cm="1">
        <f t="array" aca="1" ref="Z56" ca="1">_FV(Table4[[#This Row],[Company]],"Headquarters")</f>
        <v>One New Orchard Road, ARMONK, NY, 10504 US</v>
      </c>
      <c r="AA56" s="60" cm="1">
        <f t="array" aca="1" ref="AA56" ca="1">_FV(Table4[[#This Row],[Company]],"Employees")</f>
        <v>293400</v>
      </c>
      <c r="AB56" s="4" t="str" cm="1">
        <f t="array" aca="1" ref="AB56" ca="1">_FV(Table4[[#This Row],[Company]],"Official name",TRUE)</f>
        <v>INTERNATIONAL BUSINESS MACHINES CORPORATION</v>
      </c>
      <c r="AC56" s="4" t="str" cm="1">
        <f t="array" aca="1" ref="AC56" ca="1">_FV(Table4[[#This Row],[Company]],"Industry")</f>
        <v>Software &amp; IT Services</v>
      </c>
      <c r="AD56" s="61" cm="1">
        <f t="array" aca="1" ref="AD56" ca="1">_FV(Table4[[#This Row],[Company]],"Year incorporated",TRUE)</f>
        <v>1911</v>
      </c>
      <c r="AE56" s="6" cm="1">
        <f t="array" aca="1" ref="AE56" ca="1">_FV(Table4[[#This Row],[Company]],"52 week low",TRUE)</f>
        <v>203.51</v>
      </c>
      <c r="AF56" s="4" t="str" cm="1">
        <f t="array" aca="1" ref="AF56" ca="1">_FV(Table4[[#This Row],[Company]],"Headquarters")</f>
        <v>One New Orchard Road, ARMONK, NY, 10504 US</v>
      </c>
      <c r="AG56" s="6" cm="1">
        <f t="array" aca="1" ref="AG56" ca="1">_FV(Table4[[#This Row],[Company]],"Low")</f>
        <v>282.20999999999998</v>
      </c>
    </row>
    <row r="57" spans="1:33" ht="70.150000000000006" x14ac:dyDescent="0.4">
      <c r="A57" s="1" t="e" vm="393">
        <v>#VALUE!</v>
      </c>
      <c r="B57" s="1" cm="1" vm="394">
        <f t="array" aca="1" ref="B57" ca="1">_FV(Table2[[#This Row],[Country]],"Calling code",TRUE)</f>
        <v>92</v>
      </c>
      <c r="C57" s="1" cm="1" vm="395">
        <f t="array" aca="1" ref="C57" ca="1">_FV(Table2[[#This Row],[Country]],"GDP")</f>
        <v>304400000000</v>
      </c>
      <c r="D57" s="1" t="str" cm="1">
        <f t="array" aca="1" ref="D57" ca="1">_FV(Table2[[#This Row],[Country]],"National anthem",TRUE)</f>
        <v>Qaumi Taranah</v>
      </c>
      <c r="E57" s="1" t="e" cm="1" vm="396">
        <f t="array" aca="1" ref="E57" ca="1">_FV(Table2[[#This Row],[Country]],"Largest city",TRUE)</f>
        <v>#VALUE!</v>
      </c>
      <c r="F57" s="1" t="e" cm="1" vm="397">
        <f t="array" aca="1" ref="F57" ca="1">_FV(Table2[[#This Row],[Country]],"Image")</f>
        <v>#VALUE!</v>
      </c>
      <c r="G57" s="1" t="e" cm="1" vm="398">
        <f t="array" aca="1" ref="G57" ca="1">_FV(Table2[[#This Row],[Country]],"Capital/Major City",TRUE)</f>
        <v>#VALUE!</v>
      </c>
      <c r="H57" s="1" t="str" cm="1">
        <f t="array" aca="1" ref="H57" ca="1">_xlfn.ARRAYTOTEXT(_FV(Table2[[#This Row],[Country]],"Leader(s)",TRUE))</f>
        <v>Arif Alvi (President), Anwaar ul Haq Kakar (Prime minister), Qazi Faez Isa (Chief justice)</v>
      </c>
      <c r="K57" s="3" t="e" vm="399">
        <v>#VALUE!</v>
      </c>
      <c r="L57" s="6" cm="1">
        <f t="array" aca="1" ref="L57" ca="1">_FV(Table3[[#This Row],[Currency Pair]],"52 week high",TRUE)</f>
        <v>1.813E-2</v>
      </c>
      <c r="M57" s="6" cm="1">
        <f t="array" aca="1" ref="M57" ca="1">_FV(Table3[[#This Row],[Currency Pair]],"52 week low",TRUE)</f>
        <v>1.6899999999999998E-2</v>
      </c>
      <c r="N57" s="6" cm="1">
        <f t="array" aca="1" ref="N57" ca="1">_FV(Table3[[#This Row],[Currency Pair]],"Price")</f>
        <v>1.7000000000000001E-2</v>
      </c>
      <c r="O57" s="5" t="str" cm="1">
        <f t="array" aca="1" ref="O57" ca="1">_FV(Table3[[#This Row],[Currency Pair]],"Instrument type",TRUE)</f>
        <v>Currency Pair</v>
      </c>
      <c r="P57" s="5" t="str" cm="1">
        <f t="array" aca="1" ref="P57" ca="1">_FV(Table3[[#This Row],[Currency Pair]],"Ticker symbol",TRUE)</f>
        <v>PHPUSD</v>
      </c>
      <c r="Q57" s="5" cm="1">
        <f t="array" aca="1" ref="Q57" ca="1">_FV(Table3[[#This Row],[Currency Pair]],"Change (%)",TRUE)</f>
        <v>5.8840000000000006E-5</v>
      </c>
      <c r="R57" s="5" cm="1">
        <f t="array" aca="1" ref="R57" ca="1">_FV(Table3[[#This Row],[Currency Pair]],"Last trade time",TRUE)</f>
        <v>45957.217685185184</v>
      </c>
      <c r="W57" s="3" t="e" vm="392">
        <v>#VALUE!</v>
      </c>
      <c r="X57" s="6" cm="1">
        <f t="array" aca="1" ref="X57" ca="1">_FV(Table4[[#This Row],[Company]],"52 week high",TRUE)</f>
        <v>310.75</v>
      </c>
      <c r="Y57" s="6" cm="1">
        <f t="array" aca="1" ref="Y57" ca="1">_FV(Table4[[#This Row],[Company]],"Change")</f>
        <v>22.46</v>
      </c>
      <c r="Z57" s="4" t="str" cm="1">
        <f t="array" aca="1" ref="Z57" ca="1">_FV(Table4[[#This Row],[Company]],"Headquarters")</f>
        <v>One New Orchard Road, ARMONK, NY, 10504 US</v>
      </c>
      <c r="AA57" s="60" cm="1">
        <f t="array" aca="1" ref="AA57" ca="1">_FV(Table4[[#This Row],[Company]],"Employees")</f>
        <v>293400</v>
      </c>
      <c r="AB57" s="4" t="str" cm="1">
        <f t="array" aca="1" ref="AB57" ca="1">_FV(Table4[[#This Row],[Company]],"Official name",TRUE)</f>
        <v>INTERNATIONAL BUSINESS MACHINES CORPORATION</v>
      </c>
      <c r="AC57" s="4" t="str" cm="1">
        <f t="array" aca="1" ref="AC57" ca="1">_FV(Table4[[#This Row],[Company]],"Industry")</f>
        <v>Software &amp; IT Services</v>
      </c>
      <c r="AD57" s="61" cm="1">
        <f t="array" aca="1" ref="AD57" ca="1">_FV(Table4[[#This Row],[Company]],"Year incorporated",TRUE)</f>
        <v>1911</v>
      </c>
      <c r="AE57" s="6" cm="1">
        <f t="array" aca="1" ref="AE57" ca="1">_FV(Table4[[#This Row],[Company]],"52 week low",TRUE)</f>
        <v>203.51</v>
      </c>
      <c r="AF57" s="4" t="str" cm="1">
        <f t="array" aca="1" ref="AF57" ca="1">_FV(Table4[[#This Row],[Company]],"Headquarters")</f>
        <v>One New Orchard Road, ARMONK, NY, 10504 US</v>
      </c>
      <c r="AG57" s="6" cm="1">
        <f t="array" aca="1" ref="AG57" ca="1">_FV(Table4[[#This Row],[Company]],"Low")</f>
        <v>282.20999999999998</v>
      </c>
    </row>
    <row r="58" spans="1:33" ht="87.65" x14ac:dyDescent="0.4">
      <c r="A58" s="1" t="e" vm="400">
        <v>#VALUE!</v>
      </c>
      <c r="B58" s="1" cm="1" vm="401">
        <f t="array" aca="1" ref="B58" ca="1">_FV(Table2[[#This Row],[Country]],"Calling code",TRUE)</f>
        <v>680</v>
      </c>
      <c r="C58" s="1" cm="1" vm="402">
        <f t="array" aca="1" ref="C58" ca="1">_FV(Table2[[#This Row],[Country]],"GDP")</f>
        <v>283994900</v>
      </c>
      <c r="D58" s="1" t="str" cm="1">
        <f t="array" aca="1" ref="D58" ca="1">_FV(Table2[[#This Row],[Country]],"National anthem",TRUE)</f>
        <v>Belau rekid</v>
      </c>
      <c r="E58" s="1" t="e" cm="1" vm="403">
        <f t="array" aca="1" ref="E58" ca="1">_FV(Table2[[#This Row],[Country]],"Largest city",TRUE)</f>
        <v>#VALUE!</v>
      </c>
      <c r="F58" s="1" t="e" cm="1" vm="404">
        <f t="array" aca="1" ref="F58" ca="1">_FV(Table2[[#This Row],[Country]],"Image")</f>
        <v>#VALUE!</v>
      </c>
      <c r="G58" s="1" t="e" cm="1" vm="405">
        <f t="array" aca="1" ref="G58" ca="1">_FV(Table2[[#This Row],[Country]],"Capital/Major City",TRUE)</f>
        <v>#VALUE!</v>
      </c>
      <c r="H58" s="1" t="str" cm="1">
        <f t="array" aca="1" ref="H58" ca="1">_xlfn.ARRAYTOTEXT(_FV(Table2[[#This Row],[Country]],"Leader(s)",TRUE))</f>
        <v>Surangel Whipps Jr. (President), Uduch Sengebau Senior (Vice president)</v>
      </c>
      <c r="K58" s="3" t="e" vm="406">
        <v>#VALUE!</v>
      </c>
      <c r="L58" s="30" cm="1">
        <f t="array" aca="1" ref="L58" ca="1">_FV(Table3[[#This Row],[Currency Pair]],"52 week high",TRUE)</f>
        <v>35.159999999999997</v>
      </c>
      <c r="M58" s="30" cm="1">
        <f t="array" aca="1" ref="M58" ca="1">_FV(Table3[[#This Row],[Currency Pair]],"52 week low",TRUE)</f>
        <v>31.53</v>
      </c>
      <c r="N58" s="30" cm="1">
        <f t="array" aca="1" ref="N58" ca="1">_FV(Table3[[#This Row],[Currency Pair]],"Price")</f>
        <v>32.68</v>
      </c>
      <c r="O58" s="5" t="str" cm="1">
        <f t="array" aca="1" ref="O58" ca="1">_FV(Table3[[#This Row],[Currency Pair]],"Instrument type",TRUE)</f>
        <v>Currency Pair</v>
      </c>
      <c r="P58" s="5" t="str" cm="1">
        <f t="array" aca="1" ref="P58" ca="1">_FV(Table3[[#This Row],[Currency Pair]],"Ticker symbol",TRUE)</f>
        <v>USDTHB</v>
      </c>
      <c r="Q58" s="5" cm="1">
        <f t="array" aca="1" ref="Q58" ca="1">_FV(Table3[[#This Row],[Currency Pair]],"Change (%)",TRUE)</f>
        <v>1.225E-3</v>
      </c>
      <c r="R58" s="5" cm="1">
        <f t="array" aca="1" ref="R58" ca="1">_FV(Table3[[#This Row],[Currency Pair]],"Last trade time",TRUE)</f>
        <v>45957.217777777776</v>
      </c>
      <c r="W58" s="3" t="e" vm="407">
        <v>#VALUE!</v>
      </c>
      <c r="X58" s="6" cm="1">
        <f t="array" aca="1" ref="X58" ca="1">_FV(Table4[[#This Row],[Company]],"52 week high",TRUE)</f>
        <v>172.98</v>
      </c>
      <c r="Y58" s="6" cm="1">
        <f t="array" aca="1" ref="Y58" ca="1">_FV(Table4[[#This Row],[Company]],"Change")</f>
        <v>0.04</v>
      </c>
      <c r="Z58" s="4" t="str" cm="1">
        <f t="array" aca="1" ref="Z58" ca="1">_FV(Table4[[#This Row],[Company]],"Headquarters")</f>
        <v>700 ANDERSON HILL RD, PURCHASE, NY, 10577 US</v>
      </c>
      <c r="AA58" s="60" cm="1">
        <f t="array" aca="1" ref="AA58" ca="1">_FV(Table4[[#This Row],[Company]],"Employees")</f>
        <v>319000</v>
      </c>
      <c r="AB58" s="4" t="str" cm="1">
        <f t="array" aca="1" ref="AB58" ca="1">_FV(Table4[[#This Row],[Company]],"Official name",TRUE)</f>
        <v>PEPSICO, INC.</v>
      </c>
      <c r="AC58" s="4" t="str" cm="1">
        <f t="array" aca="1" ref="AC58" ca="1">_FV(Table4[[#This Row],[Company]],"Industry")</f>
        <v>Beverages</v>
      </c>
      <c r="AD58" s="61" cm="1">
        <f t="array" aca="1" ref="AD58" ca="1">_FV(Table4[[#This Row],[Company]],"Year incorporated",TRUE)</f>
        <v>1986</v>
      </c>
      <c r="AE58" s="6" cm="1">
        <f t="array" aca="1" ref="AE58" ca="1">_FV(Table4[[#This Row],[Company]],"52 week low",TRUE)</f>
        <v>127.6</v>
      </c>
      <c r="AF58" s="4" t="str" cm="1">
        <f t="array" aca="1" ref="AF58" ca="1">_FV(Table4[[#This Row],[Company]],"Headquarters")</f>
        <v>700 ANDERSON HILL RD, PURCHASE, NY, 10577 US</v>
      </c>
      <c r="AG58" s="6" cm="1">
        <f t="array" aca="1" ref="AG58" ca="1">_FV(Table4[[#This Row],[Company]],"Low")</f>
        <v>151.26499999999999</v>
      </c>
    </row>
    <row r="59" spans="1:33" ht="70.150000000000006" x14ac:dyDescent="0.4">
      <c r="A59" s="1" t="e" vm="408">
        <v>#VALUE!</v>
      </c>
      <c r="B59" s="1" cm="1" vm="409">
        <f t="array" aca="1" ref="B59" ca="1">_FV(Table2[[#This Row],[Country]],"Calling code",TRUE)</f>
        <v>507</v>
      </c>
      <c r="C59" s="1" cm="1" vm="410">
        <f t="array" aca="1" ref="C59" ca="1">_FV(Table2[[#This Row],[Country]],"GDP")</f>
        <v>66800800000</v>
      </c>
      <c r="D59" s="1" t="str" cm="1">
        <f t="array" aca="1" ref="D59" ca="1">_FV(Table2[[#This Row],[Country]],"National anthem",TRUE)</f>
        <v>Himno Istmeño</v>
      </c>
      <c r="E59" s="1" t="e" cm="1" vm="411">
        <f t="array" aca="1" ref="E59" ca="1">_FV(Table2[[#This Row],[Country]],"Largest city",TRUE)</f>
        <v>#VALUE!</v>
      </c>
      <c r="F59" s="1" t="e" cm="1" vm="412">
        <f t="array" aca="1" ref="F59" ca="1">_FV(Table2[[#This Row],[Country]],"Image")</f>
        <v>#VALUE!</v>
      </c>
      <c r="G59" s="1" t="e" cm="1" vm="411">
        <f t="array" aca="1" ref="G59" ca="1">_FV(Table2[[#This Row],[Country]],"Capital/Major City",TRUE)</f>
        <v>#VALUE!</v>
      </c>
      <c r="H59" s="1" t="str" cm="1">
        <f t="array" aca="1" ref="H59" ca="1">_xlfn.ARRAYTOTEXT(_FV(Table2[[#This Row],[Country]],"Leader(s)",TRUE))</f>
        <v>Laurentino Cortizo (President), José Gabriel Carrizo (Vice president)</v>
      </c>
      <c r="K59" s="3" t="e" vm="413">
        <v>#VALUE!</v>
      </c>
      <c r="L59" s="6" cm="1">
        <f t="array" aca="1" ref="L59" ca="1">_FV(Table3[[#This Row],[Currency Pair]],"52 week high",TRUE)</f>
        <v>3.1669999999999997E-2</v>
      </c>
      <c r="M59" s="6" cm="1">
        <f t="array" aca="1" ref="M59" ca="1">_FV(Table3[[#This Row],[Currency Pair]],"52 week low",TRUE)</f>
        <v>2.8420000000000001E-2</v>
      </c>
      <c r="N59" s="6" cm="1">
        <f t="array" aca="1" ref="N59" ca="1">_FV(Table3[[#This Row],[Currency Pair]],"Price")</f>
        <v>3.058E-2</v>
      </c>
      <c r="O59" s="5" t="str" cm="1">
        <f t="array" aca="1" ref="O59" ca="1">_FV(Table3[[#This Row],[Currency Pair]],"Instrument type",TRUE)</f>
        <v>Currency Pair</v>
      </c>
      <c r="P59" s="5" t="str" cm="1">
        <f t="array" aca="1" ref="P59" ca="1">_FV(Table3[[#This Row],[Currency Pair]],"Ticker symbol",TRUE)</f>
        <v>THBUSD</v>
      </c>
      <c r="Q59" s="5" cm="1">
        <f t="array" aca="1" ref="Q59" ca="1">_FV(Table3[[#This Row],[Currency Pair]],"Change (%)",TRUE)</f>
        <v>2.1299999999999999E-3</v>
      </c>
      <c r="R59" s="5" cm="1">
        <f t="array" aca="1" ref="R59" ca="1">_FV(Table3[[#This Row],[Currency Pair]],"Last trade time",TRUE)</f>
        <v>45957.217777777776</v>
      </c>
      <c r="W59" s="3" t="e" vm="414">
        <v>#VALUE!</v>
      </c>
      <c r="X59" s="6" cm="1">
        <f t="array" aca="1" ref="X59" ca="1">_FV(Table4[[#This Row],[Company]],"52 week high",TRUE)</f>
        <v>242.52</v>
      </c>
      <c r="Y59" s="6" cm="1">
        <f t="array" aca="1" ref="Y59" ca="1">_FV(Table4[[#This Row],[Company]],"Change")</f>
        <v>3.12</v>
      </c>
      <c r="Z59" s="4" t="str" cm="1">
        <f t="array" aca="1" ref="Z59" ca="1">_FV(Table4[[#This Row],[Company]],"Headquarters")</f>
        <v>410 Terry Avenue North, SEATTLE, WA, 98109 US</v>
      </c>
      <c r="AA59" s="60" cm="1">
        <f t="array" aca="1" ref="AA59" ca="1">_FV(Table4[[#This Row],[Company]],"Employees")</f>
        <v>1546000</v>
      </c>
      <c r="AB59" s="4" t="str" cm="1">
        <f t="array" aca="1" ref="AB59" ca="1">_FV(Table4[[#This Row],[Company]],"Official name",TRUE)</f>
        <v>AMAZON.COM, INC.</v>
      </c>
      <c r="AC59" s="4" t="str" cm="1">
        <f t="array" aca="1" ref="AC59" ca="1">_FV(Table4[[#This Row],[Company]],"Industry")</f>
        <v>Diversified Retail</v>
      </c>
      <c r="AD59" s="61" cm="1">
        <f t="array" aca="1" ref="AD59" ca="1">_FV(Table4[[#This Row],[Company]],"Year incorporated",TRUE)</f>
        <v>1996</v>
      </c>
      <c r="AE59" s="6" cm="1">
        <f t="array" aca="1" ref="AE59" ca="1">_FV(Table4[[#This Row],[Company]],"52 week low",TRUE)</f>
        <v>161.38</v>
      </c>
      <c r="AF59" s="4" t="str" cm="1">
        <f t="array" aca="1" ref="AF59" ca="1">_FV(Table4[[#This Row],[Company]],"Headquarters")</f>
        <v>410 Terry Avenue North, SEATTLE, WA, 98109 US</v>
      </c>
      <c r="AG59" s="6" cm="1">
        <f t="array" aca="1" ref="AG59" ca="1">_FV(Table4[[#This Row],[Company]],"Low")</f>
        <v>221.9</v>
      </c>
    </row>
    <row r="60" spans="1:33" x14ac:dyDescent="0.4">
      <c r="A60" s="1" t="e" vm="415">
        <v>#VALUE!</v>
      </c>
      <c r="B60" s="1" cm="1" vm="416">
        <f t="array" aca="1" ref="B60" ca="1">_FV(Table2[[#This Row],[Country]],"Calling code",TRUE)</f>
        <v>675</v>
      </c>
      <c r="C60" s="1" cm="1" vm="417">
        <f t="array" aca="1" ref="C60" ca="1">_FV(Table2[[#This Row],[Country]],"GDP")</f>
        <v>24969611434.768398</v>
      </c>
      <c r="D60" s="1" t="str" cm="1">
        <f t="array" aca="1" ref="D60" ca="1">_FV(Table2[[#This Row],[Country]],"National anthem",TRUE)</f>
        <v>O Arise, All You Sons</v>
      </c>
      <c r="E60" s="1" t="e" cm="1" vm="418">
        <f t="array" aca="1" ref="E60" ca="1">_FV(Table2[[#This Row],[Country]],"Largest city",TRUE)</f>
        <v>#VALUE!</v>
      </c>
      <c r="F60" s="1" t="e" cm="1" vm="419">
        <f t="array" aca="1" ref="F60" ca="1">_FV(Table2[[#This Row],[Country]],"Image")</f>
        <v>#VALUE!</v>
      </c>
      <c r="G60" s="1" t="e" cm="1" vm="418">
        <f t="array" aca="1" ref="G60" ca="1">_FV(Table2[[#This Row],[Country]],"Capital/Major City",TRUE)</f>
        <v>#VALUE!</v>
      </c>
      <c r="H60" s="1" t="str" cm="1">
        <f t="array" aca="1" ref="H60" ca="1">_xlfn.ARRAYTOTEXT(_FV(Table2[[#This Row],[Country]],"Leader(s)",TRUE))</f>
        <v>Charles III (Monarch), James Marape (Prime minister)</v>
      </c>
      <c r="K60" s="3" t="e" vm="420">
        <v>#VALUE!</v>
      </c>
      <c r="L60" s="31" cm="1">
        <f t="array" aca="1" ref="L60" ca="1">_FV(Table3[[#This Row],[Currency Pair]],"52 week high",TRUE)</f>
        <v>16970</v>
      </c>
      <c r="M60" s="31" cm="1">
        <f t="array" aca="1" ref="M60" ca="1">_FV(Table3[[#This Row],[Currency Pair]],"52 week low",TRUE)</f>
        <v>15505</v>
      </c>
      <c r="N60" s="31" cm="1">
        <f t="array" aca="1" ref="N60" ca="1">_FV(Table3[[#This Row],[Currency Pair]],"Price")</f>
        <v>16630</v>
      </c>
      <c r="O60" s="5" t="str" cm="1">
        <f t="array" aca="1" ref="O60" ca="1">_FV(Table3[[#This Row],[Currency Pair]],"Instrument type",TRUE)</f>
        <v>Currency Pair</v>
      </c>
      <c r="P60" s="5" t="str" cm="1">
        <f t="array" aca="1" ref="P60" ca="1">_FV(Table3[[#This Row],[Currency Pair]],"Ticker symbol",TRUE)</f>
        <v>USDIDR</v>
      </c>
      <c r="Q60" s="5" cm="1">
        <f t="array" aca="1" ref="Q60" ca="1">_FV(Table3[[#This Row],[Currency Pair]],"Change (%)",TRUE)</f>
        <v>2.4109999999999999E-3</v>
      </c>
      <c r="R60" s="5" cm="1">
        <f t="array" aca="1" ref="R60" ca="1">_FV(Table3[[#This Row],[Currency Pair]],"Last trade time",TRUE)</f>
        <v>45957.207546296297</v>
      </c>
      <c r="W60" s="3" t="s">
        <v>23</v>
      </c>
      <c r="X60" s="4" t="e" cm="1" vm="384">
        <f t="array" ref="X60">_FV(Table4[[#This Row],[Company]],"52 week high",TRUE)</f>
        <v>#VALUE!</v>
      </c>
      <c r="Y60" s="4" t="e" cm="1" vm="421">
        <f t="array" ref="Y60">_FV(Table4[[#This Row],[Company]],"Change")</f>
        <v>#VALUE!</v>
      </c>
      <c r="Z60" s="4" t="e" cm="1" vm="422">
        <f t="array" ref="Z60">_FV(Table4[[#This Row],[Company]],"Headquarters")</f>
        <v>#VALUE!</v>
      </c>
      <c r="AA60" s="4" t="e" cm="1" vm="423">
        <f t="array" ref="AA60">_FV(Table4[[#This Row],[Company]],"Employees")</f>
        <v>#VALUE!</v>
      </c>
      <c r="AB60" s="4" t="e" cm="1" vm="424">
        <f t="array" ref="AB60">_FV(Table4[[#This Row],[Company]],"Official name",TRUE)</f>
        <v>#VALUE!</v>
      </c>
      <c r="AC60" s="4" t="e" cm="1" vm="425">
        <f t="array" ref="AC60">_FV(Table4[[#This Row],[Company]],"Industry")</f>
        <v>#VALUE!</v>
      </c>
      <c r="AD60" s="4" t="e" cm="1" vm="426">
        <f t="array" ref="AD60">_FV(Table4[[#This Row],[Company]],"Year incorporated",TRUE)</f>
        <v>#VALUE!</v>
      </c>
      <c r="AE60" s="4" t="e" cm="1" vm="385">
        <f t="array" ref="AE60">_FV(Table4[[#This Row],[Company]],"52 week low",TRUE)</f>
        <v>#VALUE!</v>
      </c>
      <c r="AF60" s="4" t="e" cm="1" vm="422">
        <f t="array" ref="AF60">_FV(Table4[[#This Row],[Company]],"Headquarters")</f>
        <v>#VALUE!</v>
      </c>
      <c r="AG60" s="4" t="e" cm="1" vm="115">
        <f t="array" ref="AG60">_FV(Table4[[#This Row],[Company]],"Low")</f>
        <v>#VALUE!</v>
      </c>
    </row>
    <row r="61" spans="1:33" x14ac:dyDescent="0.4">
      <c r="A61" s="1" t="e" vm="427">
        <v>#VALUE!</v>
      </c>
      <c r="B61" s="1" cm="1" vm="428">
        <f t="array" aca="1" ref="B61" ca="1">_FV(Table2[[#This Row],[Country]],"Calling code",TRUE)</f>
        <v>595</v>
      </c>
      <c r="C61" s="1" cm="1" vm="429">
        <f t="array" aca="1" ref="C61" ca="1">_FV(Table2[[#This Row],[Country]],"GDP")</f>
        <v>38145288939.848801</v>
      </c>
      <c r="D61" s="1" t="str" cm="1">
        <f t="array" aca="1" ref="D61" ca="1">_FV(Table2[[#This Row],[Country]],"National anthem",TRUE)</f>
        <v>National anthem of Paraguay</v>
      </c>
      <c r="E61" s="1" t="e" cm="1" vm="430">
        <f t="array" aca="1" ref="E61" ca="1">_FV(Table2[[#This Row],[Country]],"Largest city",TRUE)</f>
        <v>#VALUE!</v>
      </c>
      <c r="F61" s="1" t="e" cm="1" vm="431">
        <f t="array" aca="1" ref="F61" ca="1">_FV(Table2[[#This Row],[Country]],"Image")</f>
        <v>#VALUE!</v>
      </c>
      <c r="G61" s="1" t="e" cm="1" vm="430">
        <f t="array" aca="1" ref="G61" ca="1">_FV(Table2[[#This Row],[Country]],"Capital/Major City",TRUE)</f>
        <v>#VALUE!</v>
      </c>
      <c r="H61" s="1" t="str" cm="1">
        <f t="array" aca="1" ref="H61" ca="1">_xlfn.ARRAYTOTEXT(_FV(Table2[[#This Row],[Country]],"Leader(s)",TRUE))</f>
        <v>Santiago Peña (President), Pedro Alliana (Vice president)</v>
      </c>
      <c r="K61" s="3" t="e" vm="432">
        <v>#VALUE!</v>
      </c>
      <c r="L61" s="6" cm="1">
        <f t="array" aca="1" ref="L61" ca="1">_FV(Table3[[#This Row],[Currency Pair]],"52 week high",TRUE)</f>
        <v>6.4300000000000004E-5</v>
      </c>
      <c r="M61" s="6" cm="1">
        <f t="array" aca="1" ref="M61" ca="1">_FV(Table3[[#This Row],[Currency Pair]],"52 week low",TRUE)</f>
        <v>5.8909999999999997E-5</v>
      </c>
      <c r="N61" s="6" cm="1">
        <f t="array" aca="1" ref="N61" ca="1">_FV(Table3[[#This Row],[Currency Pair]],"Price")</f>
        <v>6.0099999999999997E-5</v>
      </c>
      <c r="O61" s="5" t="str" cm="1">
        <f t="array" aca="1" ref="O61" ca="1">_FV(Table3[[#This Row],[Currency Pair]],"Instrument type",TRUE)</f>
        <v>Currency Pair</v>
      </c>
      <c r="P61" s="5" t="str" cm="1">
        <f t="array" aca="1" ref="P61" ca="1">_FV(Table3[[#This Row],[Currency Pair]],"Ticker symbol",TRUE)</f>
        <v>IDRUSD</v>
      </c>
      <c r="Q61" s="5" cm="1">
        <f t="array" aca="1" ref="Q61" ca="1">_FV(Table3[[#This Row],[Currency Pair]],"Change (%)",TRUE)</f>
        <v>-2.3240000000000001E-3</v>
      </c>
      <c r="R61" s="5" cm="1">
        <f t="array" aca="1" ref="R61" ca="1">_FV(Table3[[#This Row],[Currency Pair]],"Last trade time",TRUE)</f>
        <v>45957.207546296297</v>
      </c>
      <c r="W61" s="3" t="s">
        <v>24</v>
      </c>
      <c r="X61" s="4" t="e" cm="1" vm="384">
        <f t="array" ref="X61">_FV(Table4[[#This Row],[Company]],"52 week high",TRUE)</f>
        <v>#VALUE!</v>
      </c>
      <c r="Y61" s="4" t="e" cm="1" vm="421">
        <f t="array" ref="Y61">_FV(Table4[[#This Row],[Company]],"Change")</f>
        <v>#VALUE!</v>
      </c>
      <c r="Z61" s="4" t="e" cm="1" vm="422">
        <f t="array" ref="Z61">_FV(Table4[[#This Row],[Company]],"Headquarters")</f>
        <v>#VALUE!</v>
      </c>
      <c r="AA61" s="4" t="e" cm="1" vm="423">
        <f t="array" ref="AA61">_FV(Table4[[#This Row],[Company]],"Employees")</f>
        <v>#VALUE!</v>
      </c>
      <c r="AB61" s="4" t="e" cm="1" vm="424">
        <f t="array" ref="AB61">_FV(Table4[[#This Row],[Company]],"Official name",TRUE)</f>
        <v>#VALUE!</v>
      </c>
      <c r="AC61" s="4" t="e" cm="1" vm="425">
        <f t="array" ref="AC61">_FV(Table4[[#This Row],[Company]],"Industry")</f>
        <v>#VALUE!</v>
      </c>
      <c r="AD61" s="4" t="e" cm="1" vm="426">
        <f t="array" ref="AD61">_FV(Table4[[#This Row],[Company]],"Year incorporated",TRUE)</f>
        <v>#VALUE!</v>
      </c>
      <c r="AE61" s="4" t="e" cm="1" vm="385">
        <f t="array" ref="AE61">_FV(Table4[[#This Row],[Company]],"52 week low",TRUE)</f>
        <v>#VALUE!</v>
      </c>
      <c r="AF61" s="4" t="e" cm="1" vm="422">
        <f t="array" ref="AF61">_FV(Table4[[#This Row],[Company]],"Headquarters")</f>
        <v>#VALUE!</v>
      </c>
      <c r="AG61" s="4" t="e" cm="1" vm="115">
        <f t="array" ref="AG61">_FV(Table4[[#This Row],[Company]],"Low")</f>
        <v>#VALUE!</v>
      </c>
    </row>
    <row r="62" spans="1:33" x14ac:dyDescent="0.4">
      <c r="A62" s="1" t="e" vm="433">
        <v>#VALUE!</v>
      </c>
      <c r="B62" s="1" cm="1" vm="434">
        <f t="array" aca="1" ref="B62" ca="1">_FV(Table2[[#This Row],[Country]],"Calling code",TRUE)</f>
        <v>51</v>
      </c>
      <c r="C62" s="1" cm="1" vm="435">
        <f t="array" aca="1" ref="C62" ca="1">_FV(Table2[[#This Row],[Country]],"GDP")</f>
        <v>226848050819.52499</v>
      </c>
      <c r="D62" s="1" t="str" cm="1">
        <f t="array" aca="1" ref="D62" ca="1">_FV(Table2[[#This Row],[Country]],"National anthem",TRUE)</f>
        <v>National Anthem of Peru</v>
      </c>
      <c r="E62" s="1" t="e" cm="1" vm="436">
        <f t="array" aca="1" ref="E62" ca="1">_FV(Table2[[#This Row],[Country]],"Largest city",TRUE)</f>
        <v>#VALUE!</v>
      </c>
      <c r="F62" s="1" t="e" cm="1" vm="437">
        <f t="array" aca="1" ref="F62" ca="1">_FV(Table2[[#This Row],[Country]],"Image")</f>
        <v>#VALUE!</v>
      </c>
      <c r="G62" s="1" t="e" cm="1" vm="436">
        <f t="array" aca="1" ref="G62" ca="1">_FV(Table2[[#This Row],[Country]],"Capital/Major City",TRUE)</f>
        <v>#VALUE!</v>
      </c>
      <c r="H62" s="1" t="str" cm="1">
        <f t="array" aca="1" ref="H62" ca="1">_xlfn.ARRAYTOTEXT(_FV(Table2[[#This Row],[Country]],"Leader(s)",TRUE))</f>
        <v>Dina Boluarte (President), Alberto Otárola (Prime minister)</v>
      </c>
      <c r="K62" s="3" t="e" vm="246">
        <v>#VALUE!</v>
      </c>
      <c r="L62" s="19" cm="1">
        <f t="array" aca="1" ref="L62" ca="1">_FV(Table3[[#This Row],[Currency Pair]],"52 week high",TRUE)</f>
        <v>42.058500000000002</v>
      </c>
      <c r="M62" s="19" cm="1">
        <f t="array" aca="1" ref="M62" ca="1">_FV(Table3[[#This Row],[Currency Pair]],"52 week low",TRUE)</f>
        <v>33.906999999999996</v>
      </c>
      <c r="N62" s="19" cm="1">
        <f t="array" aca="1" ref="N62" ca="1">_FV(Table3[[#This Row],[Currency Pair]],"Price")</f>
        <v>41.997</v>
      </c>
      <c r="O62" s="5" t="str" cm="1">
        <f t="array" aca="1" ref="O62" ca="1">_FV(Table3[[#This Row],[Currency Pair]],"Instrument type",TRUE)</f>
        <v>Currency Pair</v>
      </c>
      <c r="P62" s="5" t="str" cm="1">
        <f t="array" aca="1" ref="P62" ca="1">_FV(Table3[[#This Row],[Currency Pair]],"Ticker symbol",TRUE)</f>
        <v>USDTRY</v>
      </c>
      <c r="Q62" s="5" cm="1">
        <f t="array" aca="1" ref="Q62" ca="1">_FV(Table3[[#This Row],[Currency Pair]],"Change (%)",TRUE)</f>
        <v>1.8440000000000002E-3</v>
      </c>
      <c r="R62" s="5" cm="1">
        <f t="array" aca="1" ref="R62" ca="1">_FV(Table3[[#This Row],[Currency Pair]],"Last trade time",TRUE)</f>
        <v>45957.216921296298</v>
      </c>
      <c r="W62" s="3" t="s">
        <v>25</v>
      </c>
      <c r="X62" s="4" t="e" cm="1" vm="384">
        <f t="array" ref="X62">_FV(Table4[[#This Row],[Company]],"52 week high",TRUE)</f>
        <v>#VALUE!</v>
      </c>
      <c r="Y62" s="4" t="e" cm="1" vm="421">
        <f t="array" ref="Y62">_FV(Table4[[#This Row],[Company]],"Change")</f>
        <v>#VALUE!</v>
      </c>
      <c r="Z62" s="4" t="e" cm="1" vm="422">
        <f t="array" ref="Z62">_FV(Table4[[#This Row],[Company]],"Headquarters")</f>
        <v>#VALUE!</v>
      </c>
      <c r="AA62" s="4" t="e" cm="1" vm="423">
        <f t="array" ref="AA62">_FV(Table4[[#This Row],[Company]],"Employees")</f>
        <v>#VALUE!</v>
      </c>
      <c r="AB62" s="4" t="e" cm="1" vm="424">
        <f t="array" ref="AB62">_FV(Table4[[#This Row],[Company]],"Official name",TRUE)</f>
        <v>#VALUE!</v>
      </c>
      <c r="AC62" s="4" t="e" cm="1" vm="425">
        <f t="array" ref="AC62">_FV(Table4[[#This Row],[Company]],"Industry")</f>
        <v>#VALUE!</v>
      </c>
      <c r="AD62" s="4" t="e" cm="1" vm="426">
        <f t="array" ref="AD62">_FV(Table4[[#This Row],[Company]],"Year incorporated",TRUE)</f>
        <v>#VALUE!</v>
      </c>
      <c r="AE62" s="4" t="e" cm="1" vm="385">
        <f t="array" ref="AE62">_FV(Table4[[#This Row],[Company]],"52 week low",TRUE)</f>
        <v>#VALUE!</v>
      </c>
      <c r="AF62" s="4" t="e" cm="1" vm="422">
        <f t="array" ref="AF62">_FV(Table4[[#This Row],[Company]],"Headquarters")</f>
        <v>#VALUE!</v>
      </c>
      <c r="AG62" s="4" t="e" cm="1" vm="115">
        <f t="array" ref="AG62">_FV(Table4[[#This Row],[Company]],"Low")</f>
        <v>#VALUE!</v>
      </c>
    </row>
    <row r="63" spans="1:33" x14ac:dyDescent="0.4">
      <c r="A63" s="1" t="e" vm="438">
        <v>#VALUE!</v>
      </c>
      <c r="B63" s="1" cm="1" vm="439">
        <f t="array" aca="1" ref="B63" ca="1">_FV(Table2[[#This Row],[Country]],"Calling code",TRUE)</f>
        <v>63</v>
      </c>
      <c r="C63" s="1" cm="1" vm="440">
        <f t="array" aca="1" ref="C63" ca="1">_FV(Table2[[#This Row],[Country]],"GDP")</f>
        <v>376795508679.67603</v>
      </c>
      <c r="D63" s="1" t="str" cm="1">
        <f t="array" aca="1" ref="D63" ca="1">_FV(Table2[[#This Row],[Country]],"National anthem",TRUE)</f>
        <v>Lupang Hinirang</v>
      </c>
      <c r="E63" s="1" t="e" cm="1" vm="441">
        <f t="array" aca="1" ref="E63" ca="1">_FV(Table2[[#This Row],[Country]],"Largest city",TRUE)</f>
        <v>#VALUE!</v>
      </c>
      <c r="F63" s="1" t="e" cm="1" vm="442">
        <f t="array" aca="1" ref="F63" ca="1">_FV(Table2[[#This Row],[Country]],"Image")</f>
        <v>#VALUE!</v>
      </c>
      <c r="G63" s="1" t="e" cm="1" vm="443">
        <f t="array" aca="1" ref="G63" ca="1">_FV(Table2[[#This Row],[Country]],"Capital/Major City",TRUE)</f>
        <v>#VALUE!</v>
      </c>
      <c r="H63" s="1" t="str" cm="1">
        <f t="array" aca="1" ref="H63" ca="1">_xlfn.ARRAYTOTEXT(_FV(Table2[[#This Row],[Country]],"Leader(s)",TRUE))</f>
        <v>Bongbong Marcos (President), Sara Duterte (Vice president), Martin Romualdez (Speaker), Alexander Gesmundo (Chief justice)</v>
      </c>
      <c r="K63" s="3" t="e" vm="253">
        <v>#VALUE!</v>
      </c>
      <c r="L63" s="6" cm="1">
        <f t="array" aca="1" ref="L63" ca="1">_FV(Table3[[#This Row],[Currency Pair]],"52 week high",TRUE)</f>
        <v>2.93E-2</v>
      </c>
      <c r="M63" s="6" cm="1">
        <f t="array" aca="1" ref="M63" ca="1">_FV(Table3[[#This Row],[Currency Pair]],"52 week low",TRUE)</f>
        <v>2.35E-2</v>
      </c>
      <c r="N63" s="6" cm="1">
        <f t="array" aca="1" ref="N63" ca="1">_FV(Table3[[#This Row],[Currency Pair]],"Price")</f>
        <v>2.3800000000000002E-2</v>
      </c>
      <c r="O63" s="5" t="str" cm="1">
        <f t="array" aca="1" ref="O63" ca="1">_FV(Table3[[#This Row],[Currency Pair]],"Instrument type",TRUE)</f>
        <v>Currency Pair</v>
      </c>
      <c r="P63" s="5" t="str" cm="1">
        <f t="array" aca="1" ref="P63" ca="1">_FV(Table3[[#This Row],[Currency Pair]],"Ticker symbol",TRUE)</f>
        <v>TRYUSD</v>
      </c>
      <c r="Q63" s="5" cm="1">
        <f t="array" aca="1" ref="Q63" ca="1">_FV(Table3[[#This Row],[Currency Pair]],"Change (%)",TRUE)</f>
        <v>0</v>
      </c>
      <c r="R63" s="5" cm="1">
        <f t="array" aca="1" ref="R63" ca="1">_FV(Table3[[#This Row],[Currency Pair]],"Last trade time",TRUE)</f>
        <v>45957.217731481483</v>
      </c>
      <c r="W63" s="3" t="s">
        <v>26</v>
      </c>
      <c r="X63" s="4" t="e" cm="1" vm="384">
        <f t="array" ref="X63">_FV(Table4[[#This Row],[Company]],"52 week high",TRUE)</f>
        <v>#VALUE!</v>
      </c>
      <c r="Y63" s="4" t="e" cm="1" vm="421">
        <f t="array" ref="Y63">_FV(Table4[[#This Row],[Company]],"Change")</f>
        <v>#VALUE!</v>
      </c>
      <c r="Z63" s="4" t="e" cm="1" vm="422">
        <f t="array" ref="Z63">_FV(Table4[[#This Row],[Company]],"Headquarters")</f>
        <v>#VALUE!</v>
      </c>
      <c r="AA63" s="4" t="e" cm="1" vm="423">
        <f t="array" ref="AA63">_FV(Table4[[#This Row],[Company]],"Employees")</f>
        <v>#VALUE!</v>
      </c>
      <c r="AB63" s="4" t="e" cm="1" vm="424">
        <f t="array" ref="AB63">_FV(Table4[[#This Row],[Company]],"Official name",TRUE)</f>
        <v>#VALUE!</v>
      </c>
      <c r="AC63" s="4" t="e" cm="1" vm="425">
        <f t="array" ref="AC63">_FV(Table4[[#This Row],[Company]],"Industry")</f>
        <v>#VALUE!</v>
      </c>
      <c r="AD63" s="4" t="e" cm="1" vm="426">
        <f t="array" ref="AD63">_FV(Table4[[#This Row],[Company]],"Year incorporated",TRUE)</f>
        <v>#VALUE!</v>
      </c>
      <c r="AE63" s="4" t="e" cm="1" vm="385">
        <f t="array" ref="AE63">_FV(Table4[[#This Row],[Company]],"52 week low",TRUE)</f>
        <v>#VALUE!</v>
      </c>
      <c r="AF63" s="4" t="e" cm="1" vm="422">
        <f t="array" ref="AF63">_FV(Table4[[#This Row],[Company]],"Headquarters")</f>
        <v>#VALUE!</v>
      </c>
      <c r="AG63" s="4" t="e" cm="1" vm="115">
        <f t="array" ref="AG63">_FV(Table4[[#This Row],[Company]],"Low")</f>
        <v>#VALUE!</v>
      </c>
    </row>
    <row r="64" spans="1:33" x14ac:dyDescent="0.4">
      <c r="A64" s="1" t="e" vm="444">
        <v>#VALUE!</v>
      </c>
      <c r="B64" s="1" cm="1" vm="445">
        <f t="array" aca="1" ref="B64" ca="1">_FV(Table2[[#This Row],[Country]],"Calling code",TRUE)</f>
        <v>48</v>
      </c>
      <c r="C64" s="1" cm="1" vm="446">
        <f t="array" aca="1" ref="C64" ca="1">_FV(Table2[[#This Row],[Country]],"GDP")</f>
        <v>592164400687.60706</v>
      </c>
      <c r="D64" s="1" t="str" cm="1">
        <f t="array" aca="1" ref="D64" ca="1">_FV(Table2[[#This Row],[Country]],"National anthem",TRUE)</f>
        <v>Poland Is Not Yet Lost</v>
      </c>
      <c r="E64" s="1" t="e" cm="1" vm="447">
        <f t="array" aca="1" ref="E64" ca="1">_FV(Table2[[#This Row],[Country]],"Largest city",TRUE)</f>
        <v>#VALUE!</v>
      </c>
      <c r="F64" s="1" t="e" cm="1" vm="448">
        <f t="array" aca="1" ref="F64" ca="1">_FV(Table2[[#This Row],[Country]],"Image")</f>
        <v>#VALUE!</v>
      </c>
      <c r="G64" s="1" t="e" cm="1" vm="447">
        <f t="array" aca="1" ref="G64" ca="1">_FV(Table2[[#This Row],[Country]],"Capital/Major City",TRUE)</f>
        <v>#VALUE!</v>
      </c>
      <c r="H64" s="1" t="str" cm="1">
        <f t="array" aca="1" ref="H64" ca="1">_xlfn.ARRAYTOTEXT(_FV(Table2[[#This Row],[Country]],"Leader(s)",TRUE))</f>
        <v>Andrzej Duda (President), Mateusz Morawiecki (Prime minister)</v>
      </c>
      <c r="K64" s="3" t="e" vm="449">
        <v>#VALUE!</v>
      </c>
      <c r="L64" s="32" cm="1">
        <f t="array" aca="1" ref="L64" ca="1">_FV(Table3[[#This Row],[Currency Pair]],"52 week high",TRUE)</f>
        <v>286</v>
      </c>
      <c r="M64" s="32" cm="1">
        <f t="array" aca="1" ref="M64" ca="1">_FV(Table3[[#This Row],[Currency Pair]],"52 week low",TRUE)</f>
        <v>277.45</v>
      </c>
      <c r="N64" s="32" cm="1">
        <f t="array" aca="1" ref="N64" ca="1">_FV(Table3[[#This Row],[Currency Pair]],"Price")</f>
        <v>281.89999999999998</v>
      </c>
      <c r="O64" s="5" t="str" cm="1">
        <f t="array" aca="1" ref="O64" ca="1">_FV(Table3[[#This Row],[Currency Pair]],"Instrument type",TRUE)</f>
        <v>Currency Pair</v>
      </c>
      <c r="P64" s="5" t="str" cm="1">
        <f t="array" aca="1" ref="P64" ca="1">_FV(Table3[[#This Row],[Currency Pair]],"Ticker symbol",TRUE)</f>
        <v>USDPKR</v>
      </c>
      <c r="Q64" s="5" cm="1">
        <f t="array" aca="1" ref="Q64" ca="1">_FV(Table3[[#This Row],[Currency Pair]],"Change (%)",TRUE)</f>
        <v>0</v>
      </c>
      <c r="R64" s="5" cm="1">
        <f t="array" aca="1" ref="R64" ca="1">_FV(Table3[[#This Row],[Currency Pair]],"Last trade time",TRUE)</f>
        <v>45957.217453703706</v>
      </c>
      <c r="W64" s="3" t="s">
        <v>27</v>
      </c>
      <c r="X64" s="4" t="e" cm="1" vm="384">
        <f t="array" ref="X64">_FV(Table4[[#This Row],[Company]],"52 week high",TRUE)</f>
        <v>#VALUE!</v>
      </c>
      <c r="Y64" s="4" t="e" cm="1" vm="421">
        <f t="array" ref="Y64">_FV(Table4[[#This Row],[Company]],"Change")</f>
        <v>#VALUE!</v>
      </c>
      <c r="Z64" s="4" t="e" cm="1" vm="422">
        <f t="array" ref="Z64">_FV(Table4[[#This Row],[Company]],"Headquarters")</f>
        <v>#VALUE!</v>
      </c>
      <c r="AA64" s="4" t="e" cm="1" vm="423">
        <f t="array" ref="AA64">_FV(Table4[[#This Row],[Company]],"Employees")</f>
        <v>#VALUE!</v>
      </c>
      <c r="AB64" s="4" t="e" cm="1" vm="424">
        <f t="array" ref="AB64">_FV(Table4[[#This Row],[Company]],"Official name",TRUE)</f>
        <v>#VALUE!</v>
      </c>
      <c r="AC64" s="4" t="e" cm="1" vm="425">
        <f t="array" ref="AC64">_FV(Table4[[#This Row],[Company]],"Industry")</f>
        <v>#VALUE!</v>
      </c>
      <c r="AD64" s="4" t="e" cm="1" vm="426">
        <f t="array" ref="AD64">_FV(Table4[[#This Row],[Company]],"Year incorporated",TRUE)</f>
        <v>#VALUE!</v>
      </c>
      <c r="AE64" s="4" t="e" cm="1" vm="385">
        <f t="array" ref="AE64">_FV(Table4[[#This Row],[Company]],"52 week low",TRUE)</f>
        <v>#VALUE!</v>
      </c>
      <c r="AF64" s="4" t="e" cm="1" vm="422">
        <f t="array" ref="AF64">_FV(Table4[[#This Row],[Company]],"Headquarters")</f>
        <v>#VALUE!</v>
      </c>
      <c r="AG64" s="4" t="e" cm="1" vm="115">
        <f t="array" ref="AG64">_FV(Table4[[#This Row],[Company]],"Low")</f>
        <v>#VALUE!</v>
      </c>
    </row>
    <row r="65" spans="1:33" x14ac:dyDescent="0.4">
      <c r="A65" s="1" t="e" vm="450">
        <v>#VALUE!</v>
      </c>
      <c r="B65" s="1" cm="1" vm="451">
        <f t="array" aca="1" ref="B65" ca="1">_FV(Table2[[#This Row],[Country]],"Calling code",TRUE)</f>
        <v>351</v>
      </c>
      <c r="C65" s="1" cm="1" vm="452">
        <f t="array" aca="1" ref="C65" ca="1">_FV(Table2[[#This Row],[Country]],"GDP")</f>
        <v>237686075634.698</v>
      </c>
      <c r="D65" s="1" t="str" cm="1">
        <f t="array" aca="1" ref="D65" ca="1">_FV(Table2[[#This Row],[Country]],"National anthem",TRUE)</f>
        <v>A Portuguesa</v>
      </c>
      <c r="E65" s="1" t="e" cm="1" vm="453">
        <f t="array" aca="1" ref="E65" ca="1">_FV(Table2[[#This Row],[Country]],"Largest city",TRUE)</f>
        <v>#VALUE!</v>
      </c>
      <c r="F65" s="1" t="e" cm="1" vm="454">
        <f t="array" aca="1" ref="F65" ca="1">_FV(Table2[[#This Row],[Country]],"Image")</f>
        <v>#VALUE!</v>
      </c>
      <c r="G65" s="1" t="e" cm="1" vm="453">
        <f t="array" aca="1" ref="G65" ca="1">_FV(Table2[[#This Row],[Country]],"Capital/Major City",TRUE)</f>
        <v>#VALUE!</v>
      </c>
      <c r="H65" s="1" t="str" cm="1">
        <f t="array" aca="1" ref="H65" ca="1">_xlfn.ARRAYTOTEXT(_FV(Table2[[#This Row],[Country]],"Leader(s)",TRUE))</f>
        <v>Marcelo Rebelo de Sousa (President), António Costa (Prime minister)</v>
      </c>
      <c r="K65" s="3" t="e" vm="455">
        <v>#VALUE!</v>
      </c>
      <c r="L65" s="6" cm="1">
        <f t="array" aca="1" ref="L65" ca="1">_FV(Table3[[#This Row],[Currency Pair]],"52 week high",TRUE)</f>
        <v>3.5999999999999999E-3</v>
      </c>
      <c r="M65" s="6" cm="1">
        <f t="array" aca="1" ref="M65" ca="1">_FV(Table3[[#This Row],[Currency Pair]],"52 week low",TRUE)</f>
        <v>3.49E-3</v>
      </c>
      <c r="N65" s="6" cm="1">
        <f t="array" aca="1" ref="N65" ca="1">_FV(Table3[[#This Row],[Currency Pair]],"Price")</f>
        <v>3.5100000000000001E-3</v>
      </c>
      <c r="O65" s="5" t="str" cm="1">
        <f t="array" aca="1" ref="O65" ca="1">_FV(Table3[[#This Row],[Currency Pair]],"Instrument type",TRUE)</f>
        <v>Currency Pair</v>
      </c>
      <c r="P65" s="5" t="str" cm="1">
        <f t="array" aca="1" ref="P65" ca="1">_FV(Table3[[#This Row],[Currency Pair]],"Ticker symbol",TRUE)</f>
        <v>PKRUSD</v>
      </c>
      <c r="Q65" s="5" cm="1">
        <f t="array" aca="1" ref="Q65" ca="1">_FV(Table3[[#This Row],[Currency Pair]],"Change (%)",TRUE)</f>
        <v>0</v>
      </c>
      <c r="R65" s="5" cm="1">
        <f t="array" aca="1" ref="R65" ca="1">_FV(Table3[[#This Row],[Currency Pair]],"Last trade time",TRUE)</f>
        <v>45957.217453703706</v>
      </c>
      <c r="W65" s="3" t="s">
        <v>28</v>
      </c>
      <c r="X65" s="4" t="e" cm="1" vm="384">
        <f t="array" ref="X65">_FV(Table4[[#This Row],[Company]],"52 week high",TRUE)</f>
        <v>#VALUE!</v>
      </c>
      <c r="Y65" s="4" t="e" cm="1" vm="421">
        <f t="array" ref="Y65">_FV(Table4[[#This Row],[Company]],"Change")</f>
        <v>#VALUE!</v>
      </c>
      <c r="Z65" s="4" t="e" cm="1" vm="422">
        <f t="array" ref="Z65">_FV(Table4[[#This Row],[Company]],"Headquarters")</f>
        <v>#VALUE!</v>
      </c>
      <c r="AA65" s="4" t="e" cm="1" vm="423">
        <f t="array" ref="AA65">_FV(Table4[[#This Row],[Company]],"Employees")</f>
        <v>#VALUE!</v>
      </c>
      <c r="AB65" s="4" t="e" cm="1" vm="424">
        <f t="array" ref="AB65">_FV(Table4[[#This Row],[Company]],"Official name",TRUE)</f>
        <v>#VALUE!</v>
      </c>
      <c r="AC65" s="4" t="e" cm="1" vm="425">
        <f t="array" ref="AC65">_FV(Table4[[#This Row],[Company]],"Industry")</f>
        <v>#VALUE!</v>
      </c>
      <c r="AD65" s="4" t="e" cm="1" vm="426">
        <f t="array" ref="AD65">_FV(Table4[[#This Row],[Company]],"Year incorporated",TRUE)</f>
        <v>#VALUE!</v>
      </c>
      <c r="AE65" s="4" t="e" cm="1" vm="385">
        <f t="array" ref="AE65">_FV(Table4[[#This Row],[Company]],"52 week low",TRUE)</f>
        <v>#VALUE!</v>
      </c>
      <c r="AF65" s="4" t="e" cm="1" vm="422">
        <f t="array" ref="AF65">_FV(Table4[[#This Row],[Company]],"Headquarters")</f>
        <v>#VALUE!</v>
      </c>
      <c r="AG65" s="4" t="e" cm="1" vm="115">
        <f t="array" ref="AG65">_FV(Table4[[#This Row],[Company]],"Low")</f>
        <v>#VALUE!</v>
      </c>
    </row>
    <row r="66" spans="1:33" x14ac:dyDescent="0.4">
      <c r="A66" s="1" t="e" vm="456">
        <v>#VALUE!</v>
      </c>
      <c r="B66" s="1" cm="1" vm="457">
        <f t="array" aca="1" ref="B66" ca="1">_FV(Table2[[#This Row],[Country]],"Calling code",TRUE)</f>
        <v>974</v>
      </c>
      <c r="C66" s="1" cm="1" vm="458">
        <f t="array" aca="1" ref="C66" ca="1">_FV(Table2[[#This Row],[Country]],"GDP")</f>
        <v>183466208791.20901</v>
      </c>
      <c r="D66" s="1" t="str" cm="1">
        <f t="array" aca="1" ref="D66" ca="1">_FV(Table2[[#This Row],[Country]],"National anthem",TRUE)</f>
        <v>As Salam al Amiri</v>
      </c>
      <c r="E66" s="1" t="e" cm="1" vm="459">
        <f t="array" aca="1" ref="E66" ca="1">_FV(Table2[[#This Row],[Country]],"Largest city",TRUE)</f>
        <v>#VALUE!</v>
      </c>
      <c r="F66" s="1" t="e" cm="1" vm="460">
        <f t="array" aca="1" ref="F66" ca="1">_FV(Table2[[#This Row],[Country]],"Image")</f>
        <v>#VALUE!</v>
      </c>
      <c r="G66" s="1" t="e" cm="1" vm="459">
        <f t="array" aca="1" ref="G66" ca="1">_FV(Table2[[#This Row],[Country]],"Capital/Major City",TRUE)</f>
        <v>#VALUE!</v>
      </c>
      <c r="H66" s="1" t="str" cm="1">
        <f t="array" aca="1" ref="H66" ca="1">_xlfn.ARRAYTOTEXT(_FV(Table2[[#This Row],[Country]],"Leader(s)",TRUE))</f>
        <v>Mohammed bin Abdulrahman bin Jassim Al Thani (Prime minister)</v>
      </c>
      <c r="K66" s="3" t="e" vm="461">
        <v>#VALUE!</v>
      </c>
      <c r="L66" s="33" cm="1">
        <f t="array" aca="1" ref="L66" ca="1">_FV(Table3[[#This Row],[Currency Pair]],"52 week high",TRUE)</f>
        <v>122.7</v>
      </c>
      <c r="M66" s="33" cm="1">
        <f t="array" aca="1" ref="M66" ca="1">_FV(Table3[[#This Row],[Currency Pair]],"52 week low",TRUE)</f>
        <v>119</v>
      </c>
      <c r="N66" s="33" cm="1">
        <f t="array" aca="1" ref="N66" ca="1">_FV(Table3[[#This Row],[Currency Pair]],"Price")</f>
        <v>122.15</v>
      </c>
      <c r="O66" s="5" t="str" cm="1">
        <f t="array" aca="1" ref="O66" ca="1">_FV(Table3[[#This Row],[Currency Pair]],"Instrument type",TRUE)</f>
        <v>Currency Pair</v>
      </c>
      <c r="P66" s="5" t="str" cm="1">
        <f t="array" aca="1" ref="P66" ca="1">_FV(Table3[[#This Row],[Currency Pair]],"Ticker symbol",TRUE)</f>
        <v>USDBDT</v>
      </c>
      <c r="Q66" s="5" cm="1">
        <f t="array" aca="1" ref="Q66" ca="1">_FV(Table3[[#This Row],[Currency Pair]],"Change (%)",TRUE)</f>
        <v>-1.2260000000000001E-3</v>
      </c>
      <c r="R66" s="5" cm="1">
        <f t="array" aca="1" ref="R66" ca="1">_FV(Table3[[#This Row],[Currency Pair]],"Last trade time",TRUE)</f>
        <v>45957.187835648147</v>
      </c>
      <c r="W66" s="3" t="s">
        <v>29</v>
      </c>
      <c r="X66" s="4" t="e" cm="1" vm="384">
        <f t="array" ref="X66">_FV(Table4[[#This Row],[Company]],"52 week high",TRUE)</f>
        <v>#VALUE!</v>
      </c>
      <c r="Y66" s="4" t="e" cm="1" vm="421">
        <f t="array" ref="Y66">_FV(Table4[[#This Row],[Company]],"Change")</f>
        <v>#VALUE!</v>
      </c>
      <c r="Z66" s="4" t="e" cm="1" vm="422">
        <f t="array" ref="Z66">_FV(Table4[[#This Row],[Company]],"Headquarters")</f>
        <v>#VALUE!</v>
      </c>
      <c r="AA66" s="4" t="e" cm="1" vm="423">
        <f t="array" ref="AA66">_FV(Table4[[#This Row],[Company]],"Employees")</f>
        <v>#VALUE!</v>
      </c>
      <c r="AB66" s="4" t="e" cm="1" vm="424">
        <f t="array" ref="AB66">_FV(Table4[[#This Row],[Company]],"Official name",TRUE)</f>
        <v>#VALUE!</v>
      </c>
      <c r="AC66" s="4" t="e" cm="1" vm="425">
        <f t="array" ref="AC66">_FV(Table4[[#This Row],[Company]],"Industry")</f>
        <v>#VALUE!</v>
      </c>
      <c r="AD66" s="4" t="e" cm="1" vm="426">
        <f t="array" ref="AD66">_FV(Table4[[#This Row],[Company]],"Year incorporated",TRUE)</f>
        <v>#VALUE!</v>
      </c>
      <c r="AE66" s="4" t="e" cm="1" vm="385">
        <f t="array" ref="AE66">_FV(Table4[[#This Row],[Company]],"52 week low",TRUE)</f>
        <v>#VALUE!</v>
      </c>
      <c r="AF66" s="4" t="e" cm="1" vm="422">
        <f t="array" ref="AF66">_FV(Table4[[#This Row],[Company]],"Headquarters")</f>
        <v>#VALUE!</v>
      </c>
      <c r="AG66" s="4" t="e" cm="1" vm="115">
        <f t="array" ref="AG66">_FV(Table4[[#This Row],[Company]],"Low")</f>
        <v>#VALUE!</v>
      </c>
    </row>
    <row r="67" spans="1:33" x14ac:dyDescent="0.4">
      <c r="A67" s="1" t="e" vm="462">
        <v>#VALUE!</v>
      </c>
      <c r="B67" s="1" cm="1" vm="463">
        <f t="array" aca="1" ref="B67" ca="1">_FV(Table2[[#This Row],[Country]],"Calling code",TRUE)</f>
        <v>40</v>
      </c>
      <c r="C67" s="1" cm="1" vm="464">
        <f t="array" aca="1" ref="C67" ca="1">_FV(Table2[[#This Row],[Country]],"GDP")</f>
        <v>250077444017.08401</v>
      </c>
      <c r="D67" s="1" t="str" cm="1">
        <f t="array" aca="1" ref="D67" ca="1">_FV(Table2[[#This Row],[Country]],"National anthem",TRUE)</f>
        <v>Deșteaptă-te, române!</v>
      </c>
      <c r="E67" s="1" t="e" cm="1" vm="465">
        <f t="array" aca="1" ref="E67" ca="1">_FV(Table2[[#This Row],[Country]],"Largest city",TRUE)</f>
        <v>#VALUE!</v>
      </c>
      <c r="F67" s="1" t="e" cm="1" vm="466">
        <f t="array" aca="1" ref="F67" ca="1">_FV(Table2[[#This Row],[Country]],"Image")</f>
        <v>#VALUE!</v>
      </c>
      <c r="G67" s="1" t="e" cm="1" vm="465">
        <f t="array" aca="1" ref="G67" ca="1">_FV(Table2[[#This Row],[Country]],"Capital/Major City",TRUE)</f>
        <v>#VALUE!</v>
      </c>
      <c r="H67" s="1" t="str" cm="1">
        <f t="array" aca="1" ref="H67" ca="1">_xlfn.ARRAYTOTEXT(_FV(Table2[[#This Row],[Country]],"Leader(s)",TRUE))</f>
        <v>Klaus Iohannis (President), Marcel Ciolacu (Prime minister)</v>
      </c>
      <c r="K67" s="3" t="e" vm="467">
        <v>#VALUE!</v>
      </c>
      <c r="L67" s="6" cm="1">
        <f t="array" aca="1" ref="L67" ca="1">_FV(Table3[[#This Row],[Currency Pair]],"52 week high",TRUE)</f>
        <v>8.3300000000000006E-3</v>
      </c>
      <c r="M67" s="6" cm="1">
        <f t="array" aca="1" ref="M67" ca="1">_FV(Table3[[#This Row],[Currency Pair]],"52 week low",TRUE)</f>
        <v>8.1200000000000005E-3</v>
      </c>
      <c r="N67" s="6" cm="1">
        <f t="array" aca="1" ref="N67" ca="1">_FV(Table3[[#This Row],[Currency Pair]],"Price")</f>
        <v>8.1569999999999993E-3</v>
      </c>
      <c r="O67" s="5" t="str" cm="1">
        <f t="array" aca="1" ref="O67" ca="1">_FV(Table3[[#This Row],[Currency Pair]],"Instrument type",TRUE)</f>
        <v>Currency Pair</v>
      </c>
      <c r="P67" s="5" t="str" cm="1">
        <f t="array" aca="1" ref="P67" ca="1">_FV(Table3[[#This Row],[Currency Pair]],"Ticker symbol",TRUE)</f>
        <v>BDTUSD</v>
      </c>
      <c r="Q67" s="5" cm="1">
        <f t="array" aca="1" ref="Q67" ca="1">_FV(Table3[[#This Row],[Currency Pair]],"Change (%)",TRUE)</f>
        <v>1.719E-3</v>
      </c>
      <c r="R67" s="5" cm="1">
        <f t="array" aca="1" ref="R67" ca="1">_FV(Table3[[#This Row],[Currency Pair]],"Last trade time",TRUE)</f>
        <v>45957.187835648147</v>
      </c>
      <c r="W67" s="3" t="s">
        <v>30</v>
      </c>
      <c r="X67" s="4" t="e" cm="1" vm="384">
        <f t="array" ref="X67">_FV(Table4[[#This Row],[Company]],"52 week high",TRUE)</f>
        <v>#VALUE!</v>
      </c>
      <c r="Y67" s="4" t="e" cm="1" vm="421">
        <f t="array" ref="Y67">_FV(Table4[[#This Row],[Company]],"Change")</f>
        <v>#VALUE!</v>
      </c>
      <c r="Z67" s="4" t="e" cm="1" vm="422">
        <f t="array" ref="Z67">_FV(Table4[[#This Row],[Company]],"Headquarters")</f>
        <v>#VALUE!</v>
      </c>
      <c r="AA67" s="4" t="e" cm="1" vm="423">
        <f t="array" ref="AA67">_FV(Table4[[#This Row],[Company]],"Employees")</f>
        <v>#VALUE!</v>
      </c>
      <c r="AB67" s="4" t="e" cm="1" vm="424">
        <f t="array" ref="AB67">_FV(Table4[[#This Row],[Company]],"Official name",TRUE)</f>
        <v>#VALUE!</v>
      </c>
      <c r="AC67" s="4" t="e" cm="1" vm="425">
        <f t="array" ref="AC67">_FV(Table4[[#This Row],[Company]],"Industry")</f>
        <v>#VALUE!</v>
      </c>
      <c r="AD67" s="4" t="e" cm="1" vm="426">
        <f t="array" ref="AD67">_FV(Table4[[#This Row],[Company]],"Year incorporated",TRUE)</f>
        <v>#VALUE!</v>
      </c>
      <c r="AE67" s="4" t="e" cm="1" vm="385">
        <f t="array" ref="AE67">_FV(Table4[[#This Row],[Company]],"52 week low",TRUE)</f>
        <v>#VALUE!</v>
      </c>
      <c r="AF67" s="4" t="e" cm="1" vm="422">
        <f t="array" ref="AF67">_FV(Table4[[#This Row],[Company]],"Headquarters")</f>
        <v>#VALUE!</v>
      </c>
      <c r="AG67" s="4" t="e" cm="1" vm="115">
        <f t="array" ref="AG67">_FV(Table4[[#This Row],[Company]],"Low")</f>
        <v>#VALUE!</v>
      </c>
    </row>
    <row r="68" spans="1:33" x14ac:dyDescent="0.4">
      <c r="A68" s="1" t="e" vm="468">
        <v>#VALUE!</v>
      </c>
      <c r="B68" s="1" cm="1" vm="73">
        <f t="array" aca="1" ref="B68" ca="1">_FV(Table2[[#This Row],[Country]],"Calling code",TRUE)</f>
        <v>7</v>
      </c>
      <c r="C68" s="1" cm="1" vm="469">
        <f t="array" aca="1" ref="C68" ca="1">_FV(Table2[[#This Row],[Country]],"GDP")</f>
        <v>1699876578871.3501</v>
      </c>
      <c r="D68" s="1" t="str" cm="1">
        <f t="array" aca="1" ref="D68" ca="1">_FV(Table2[[#This Row],[Country]],"National anthem",TRUE)</f>
        <v>National anthem of Russia</v>
      </c>
      <c r="E68" s="1" t="e" cm="1" vm="470">
        <f t="array" aca="1" ref="E68" ca="1">_FV(Table2[[#This Row],[Country]],"Largest city",TRUE)</f>
        <v>#VALUE!</v>
      </c>
      <c r="F68" s="1" t="e" cm="1" vm="471">
        <f t="array" aca="1" ref="F68" ca="1">_FV(Table2[[#This Row],[Country]],"Image")</f>
        <v>#VALUE!</v>
      </c>
      <c r="G68" s="1" t="e" cm="1" vm="470">
        <f t="array" aca="1" ref="G68" ca="1">_FV(Table2[[#This Row],[Country]],"Capital/Major City",TRUE)</f>
        <v>#VALUE!</v>
      </c>
      <c r="H68" s="1" t="str" cm="1">
        <f t="array" aca="1" ref="H68" ca="1">_xlfn.ARRAYTOTEXT(_FV(Table2[[#This Row],[Country]],"Leader(s)",TRUE))</f>
        <v>Vladimir Putin (President), Mikhail Mishustin (Prime minister)</v>
      </c>
      <c r="K68" s="3" t="e" vm="472">
        <v>#VALUE!</v>
      </c>
      <c r="L68" s="34" cm="1">
        <f t="array" aca="1" ref="L68" ca="1">_FV(Table3[[#This Row],[Currency Pair]],"52 week high",TRUE)</f>
        <v>26449</v>
      </c>
      <c r="M68" s="34" cm="1">
        <f t="array" aca="1" ref="M68" ca="1">_FV(Table3[[#This Row],[Currency Pair]],"52 week low",TRUE)</f>
        <v>24990</v>
      </c>
      <c r="N68" s="34" cm="1">
        <f t="array" aca="1" ref="N68" ca="1">_FV(Table3[[#This Row],[Currency Pair]],"Price")</f>
        <v>26287</v>
      </c>
      <c r="O68" s="5" t="str" cm="1">
        <f t="array" aca="1" ref="O68" ca="1">_FV(Table3[[#This Row],[Currency Pair]],"Instrument type",TRUE)</f>
        <v>Currency Pair</v>
      </c>
      <c r="P68" s="5" t="str" cm="1">
        <f t="array" aca="1" ref="P68" ca="1">_FV(Table3[[#This Row],[Currency Pair]],"Ticker symbol",TRUE)</f>
        <v>USDVND</v>
      </c>
      <c r="Q68" s="5" cm="1">
        <f t="array" aca="1" ref="Q68" ca="1">_FV(Table3[[#This Row],[Currency Pair]],"Change (%)",TRUE)</f>
        <v>2.6640000000000002E-4</v>
      </c>
      <c r="R68" s="5" cm="1">
        <f t="array" aca="1" ref="R68" ca="1">_FV(Table3[[#This Row],[Currency Pair]],"Last trade time",TRUE)</f>
        <v>45957.214571759258</v>
      </c>
      <c r="W68" s="3" t="s">
        <v>31</v>
      </c>
      <c r="X68" s="4" t="e" cm="1" vm="384">
        <f t="array" ref="X68">_FV(Table4[[#This Row],[Company]],"52 week high",TRUE)</f>
        <v>#VALUE!</v>
      </c>
      <c r="Y68" s="4" t="e" cm="1" vm="421">
        <f t="array" ref="Y68">_FV(Table4[[#This Row],[Company]],"Change")</f>
        <v>#VALUE!</v>
      </c>
      <c r="Z68" s="4" t="e" cm="1" vm="422">
        <f t="array" ref="Z68">_FV(Table4[[#This Row],[Company]],"Headquarters")</f>
        <v>#VALUE!</v>
      </c>
      <c r="AA68" s="4" t="e" cm="1" vm="423">
        <f t="array" ref="AA68">_FV(Table4[[#This Row],[Company]],"Employees")</f>
        <v>#VALUE!</v>
      </c>
      <c r="AB68" s="4" t="e" cm="1" vm="424">
        <f t="array" ref="AB68">_FV(Table4[[#This Row],[Company]],"Official name",TRUE)</f>
        <v>#VALUE!</v>
      </c>
      <c r="AC68" s="4" t="e" cm="1" vm="425">
        <f t="array" ref="AC68">_FV(Table4[[#This Row],[Company]],"Industry")</f>
        <v>#VALUE!</v>
      </c>
      <c r="AD68" s="4" t="e" cm="1" vm="426">
        <f t="array" ref="AD68">_FV(Table4[[#This Row],[Company]],"Year incorporated",TRUE)</f>
        <v>#VALUE!</v>
      </c>
      <c r="AE68" s="4" t="e" cm="1" vm="385">
        <f t="array" ref="AE68">_FV(Table4[[#This Row],[Company]],"52 week low",TRUE)</f>
        <v>#VALUE!</v>
      </c>
      <c r="AF68" s="4" t="e" cm="1" vm="422">
        <f t="array" ref="AF68">_FV(Table4[[#This Row],[Company]],"Headquarters")</f>
        <v>#VALUE!</v>
      </c>
      <c r="AG68" s="4" t="e" cm="1" vm="115">
        <f t="array" ref="AG68">_FV(Table4[[#This Row],[Company]],"Low")</f>
        <v>#VALUE!</v>
      </c>
    </row>
    <row r="69" spans="1:33" x14ac:dyDescent="0.4">
      <c r="A69" s="1" t="e" vm="473">
        <v>#VALUE!</v>
      </c>
      <c r="B69" s="1" cm="1" vm="474">
        <f t="array" aca="1" ref="B69" ca="1">_FV(Table2[[#This Row],[Country]],"Calling code",TRUE)</f>
        <v>250</v>
      </c>
      <c r="C69" s="1" cm="1" vm="475">
        <f t="array" aca="1" ref="C69" ca="1">_FV(Table2[[#This Row],[Country]],"GDP")</f>
        <v>10122472590.172001</v>
      </c>
      <c r="D69" s="1" t="str" cm="1">
        <f t="array" aca="1" ref="D69" ca="1">_FV(Table2[[#This Row],[Country]],"National anthem",TRUE)</f>
        <v>Rwanda Nziza</v>
      </c>
      <c r="E69" s="1" t="e" cm="1" vm="476">
        <f t="array" aca="1" ref="E69" ca="1">_FV(Table2[[#This Row],[Country]],"Largest city",TRUE)</f>
        <v>#VALUE!</v>
      </c>
      <c r="F69" s="1" t="e" cm="1" vm="477">
        <f t="array" aca="1" ref="F69" ca="1">_FV(Table2[[#This Row],[Country]],"Image")</f>
        <v>#VALUE!</v>
      </c>
      <c r="G69" s="1" t="e" cm="1" vm="476">
        <f t="array" aca="1" ref="G69" ca="1">_FV(Table2[[#This Row],[Country]],"Capital/Major City",TRUE)</f>
        <v>#VALUE!</v>
      </c>
      <c r="H69" s="1" t="str" cm="1">
        <f t="array" aca="1" ref="H69" ca="1">_xlfn.ARRAYTOTEXT(_FV(Table2[[#This Row],[Country]],"Leader(s)",TRUE))</f>
        <v>Paul Kagame (President), Édouard Ngirente (Prime minister)</v>
      </c>
      <c r="K69" s="3" t="e" vm="478">
        <v>#VALUE!</v>
      </c>
      <c r="L69" s="6" cm="1">
        <f t="array" aca="1" ref="L69" ca="1">_FV(Table3[[#This Row],[Currency Pair]],"52 week high",TRUE)</f>
        <v>3.9959999999999997E-5</v>
      </c>
      <c r="M69" s="6" cm="1">
        <f t="array" aca="1" ref="M69" ca="1">_FV(Table3[[#This Row],[Currency Pair]],"52 week low",TRUE)</f>
        <v>3.7780000000000001E-5</v>
      </c>
      <c r="N69" s="6" cm="1">
        <f t="array" aca="1" ref="N69" ca="1">_FV(Table3[[#This Row],[Currency Pair]],"Price")</f>
        <v>3.8040000000000002E-5</v>
      </c>
      <c r="O69" s="5" t="str" cm="1">
        <f t="array" aca="1" ref="O69" ca="1">_FV(Table3[[#This Row],[Currency Pair]],"Instrument type",TRUE)</f>
        <v>Currency Pair</v>
      </c>
      <c r="P69" s="5" t="str" cm="1">
        <f t="array" aca="1" ref="P69" ca="1">_FV(Table3[[#This Row],[Currency Pair]],"Ticker symbol",TRUE)</f>
        <v>VNDUSD</v>
      </c>
      <c r="Q69" s="5" cm="1">
        <f t="array" aca="1" ref="Q69" ca="1">_FV(Table3[[#This Row],[Currency Pair]],"Change (%)",TRUE)</f>
        <v>1.8440000000000002E-3</v>
      </c>
      <c r="R69" s="5" cm="1">
        <f t="array" aca="1" ref="R69" ca="1">_FV(Table3[[#This Row],[Currency Pair]],"Last trade time",TRUE)</f>
        <v>45957.214571759258</v>
      </c>
      <c r="W69" s="3" t="s">
        <v>32</v>
      </c>
      <c r="X69" s="4" t="e" cm="1" vm="384">
        <f t="array" ref="X69">_FV(Table4[[#This Row],[Company]],"52 week high",TRUE)</f>
        <v>#VALUE!</v>
      </c>
      <c r="Y69" s="4" t="e" cm="1" vm="421">
        <f t="array" ref="Y69">_FV(Table4[[#This Row],[Company]],"Change")</f>
        <v>#VALUE!</v>
      </c>
      <c r="Z69" s="4" t="e" cm="1" vm="422">
        <f t="array" ref="Z69">_FV(Table4[[#This Row],[Company]],"Headquarters")</f>
        <v>#VALUE!</v>
      </c>
      <c r="AA69" s="4" t="e" cm="1" vm="423">
        <f t="array" ref="AA69">_FV(Table4[[#This Row],[Company]],"Employees")</f>
        <v>#VALUE!</v>
      </c>
      <c r="AB69" s="4" t="e" cm="1" vm="424">
        <f t="array" ref="AB69">_FV(Table4[[#This Row],[Company]],"Official name",TRUE)</f>
        <v>#VALUE!</v>
      </c>
      <c r="AC69" s="4" t="e" cm="1" vm="425">
        <f t="array" ref="AC69">_FV(Table4[[#This Row],[Company]],"Industry")</f>
        <v>#VALUE!</v>
      </c>
      <c r="AD69" s="4" t="e" cm="1" vm="426">
        <f t="array" ref="AD69">_FV(Table4[[#This Row],[Company]],"Year incorporated",TRUE)</f>
        <v>#VALUE!</v>
      </c>
      <c r="AE69" s="4" t="e" cm="1" vm="385">
        <f t="array" ref="AE69">_FV(Table4[[#This Row],[Company]],"52 week low",TRUE)</f>
        <v>#VALUE!</v>
      </c>
      <c r="AF69" s="4" t="e" cm="1" vm="422">
        <f t="array" ref="AF69">_FV(Table4[[#This Row],[Company]],"Headquarters")</f>
        <v>#VALUE!</v>
      </c>
      <c r="AG69" s="4" t="e" cm="1" vm="115">
        <f t="array" ref="AG69">_FV(Table4[[#This Row],[Company]],"Low")</f>
        <v>#VALUE!</v>
      </c>
    </row>
    <row r="70" spans="1:33" x14ac:dyDescent="0.4">
      <c r="A70" s="1" t="e" vm="479">
        <v>#VALUE!</v>
      </c>
      <c r="B70" s="1" cm="1" vm="480">
        <f t="array" aca="1" ref="B70" ca="1">_FV(Table2[[#This Row],[Country]],"Calling code",TRUE)</f>
        <v>1869</v>
      </c>
      <c r="C70" s="1" cm="1" vm="481">
        <f t="array" aca="1" ref="C70" ca="1">_FV(Table2[[#This Row],[Country]],"GDP")</f>
        <v>1050992592.59259</v>
      </c>
      <c r="D70" s="1" t="str" cm="1">
        <f t="array" aca="1" ref="D70" ca="1">_FV(Table2[[#This Row],[Country]],"National anthem",TRUE)</f>
        <v>O Land of Beauty!</v>
      </c>
      <c r="E70" s="1" t="e" cm="1" vm="482">
        <f t="array" aca="1" ref="E70" ca="1">_FV(Table2[[#This Row],[Country]],"Largest city",TRUE)</f>
        <v>#VALUE!</v>
      </c>
      <c r="F70" s="1" t="e" cm="1" vm="483">
        <f t="array" aca="1" ref="F70" ca="1">_FV(Table2[[#This Row],[Country]],"Image")</f>
        <v>#VALUE!</v>
      </c>
      <c r="G70" s="1" t="e" cm="1" vm="482">
        <f t="array" aca="1" ref="G70" ca="1">_FV(Table2[[#This Row],[Country]],"Capital/Major City",TRUE)</f>
        <v>#VALUE!</v>
      </c>
      <c r="H70" s="1" t="str" cm="1">
        <f t="array" aca="1" ref="H70" ca="1">_xlfn.ARRAYTOTEXT(_FV(Table2[[#This Row],[Country]],"Leader(s)",TRUE))</f>
        <v>Charles III (Monarch), Terrance Drew (Prime minister)</v>
      </c>
      <c r="K70" s="3" t="e" vm="484">
        <v>#VALUE!</v>
      </c>
      <c r="L70" s="35" cm="1">
        <f t="array" aca="1" ref="L70" ca="1">_FV(Table3[[#This Row],[Currency Pair]],"52 week high",TRUE)</f>
        <v>0.3851</v>
      </c>
      <c r="M70" s="35" cm="1">
        <f t="array" aca="1" ref="M70" ca="1">_FV(Table3[[#This Row],[Currency Pair]],"52 week low",TRUE)</f>
        <v>0.38400000000000001</v>
      </c>
      <c r="N70" s="35" cm="1">
        <f t="array" aca="1" ref="N70" ca="1">_FV(Table3[[#This Row],[Currency Pair]],"Price")</f>
        <v>0.38500000000000001</v>
      </c>
      <c r="O70" s="5" t="str" cm="1">
        <f t="array" aca="1" ref="O70" ca="1">_FV(Table3[[#This Row],[Currency Pair]],"Instrument type",TRUE)</f>
        <v>Currency Pair</v>
      </c>
      <c r="P70" s="5" t="str" cm="1">
        <f t="array" aca="1" ref="P70" ca="1">_FV(Table3[[#This Row],[Currency Pair]],"Ticker symbol",TRUE)</f>
        <v>USDOMR</v>
      </c>
      <c r="Q70" s="5" cm="1">
        <f t="array" aca="1" ref="Q70" ca="1">_FV(Table3[[#This Row],[Currency Pair]],"Change (%)",TRUE)</f>
        <v>0</v>
      </c>
      <c r="R70" s="5" cm="1">
        <f t="array" aca="1" ref="R70" ca="1">_FV(Table3[[#This Row],[Currency Pair]],"Last trade time",TRUE)</f>
        <v>45957.217731481483</v>
      </c>
      <c r="W70" s="3" t="s">
        <v>33</v>
      </c>
      <c r="X70" s="4" t="e" cm="1" vm="384">
        <f t="array" ref="X70">_FV(Table4[[#This Row],[Company]],"52 week high",TRUE)</f>
        <v>#VALUE!</v>
      </c>
      <c r="Y70" s="4" t="e" cm="1" vm="421">
        <f t="array" ref="Y70">_FV(Table4[[#This Row],[Company]],"Change")</f>
        <v>#VALUE!</v>
      </c>
      <c r="Z70" s="4" t="e" cm="1" vm="422">
        <f t="array" ref="Z70">_FV(Table4[[#This Row],[Company]],"Headquarters")</f>
        <v>#VALUE!</v>
      </c>
      <c r="AA70" s="4" t="e" cm="1" vm="423">
        <f t="array" ref="AA70">_FV(Table4[[#This Row],[Company]],"Employees")</f>
        <v>#VALUE!</v>
      </c>
      <c r="AB70" s="4" t="e" cm="1" vm="424">
        <f t="array" ref="AB70">_FV(Table4[[#This Row],[Company]],"Official name",TRUE)</f>
        <v>#VALUE!</v>
      </c>
      <c r="AC70" s="4" t="e" cm="1" vm="425">
        <f t="array" ref="AC70">_FV(Table4[[#This Row],[Company]],"Industry")</f>
        <v>#VALUE!</v>
      </c>
      <c r="AD70" s="4" t="e" cm="1" vm="426">
        <f t="array" ref="AD70">_FV(Table4[[#This Row],[Company]],"Year incorporated",TRUE)</f>
        <v>#VALUE!</v>
      </c>
      <c r="AE70" s="4" t="e" cm="1" vm="385">
        <f t="array" ref="AE70">_FV(Table4[[#This Row],[Company]],"52 week low",TRUE)</f>
        <v>#VALUE!</v>
      </c>
      <c r="AF70" s="4" t="e" cm="1" vm="422">
        <f t="array" ref="AF70">_FV(Table4[[#This Row],[Company]],"Headquarters")</f>
        <v>#VALUE!</v>
      </c>
      <c r="AG70" s="4" t="e" cm="1" vm="115">
        <f t="array" ref="AG70">_FV(Table4[[#This Row],[Company]],"Low")</f>
        <v>#VALUE!</v>
      </c>
    </row>
    <row r="71" spans="1:33" x14ac:dyDescent="0.4">
      <c r="A71" s="1" t="e" vm="485">
        <v>#VALUE!</v>
      </c>
      <c r="B71" s="1" cm="1" vm="486">
        <f t="array" aca="1" ref="B71" ca="1">_FV(Table2[[#This Row],[Country]],"Calling code",TRUE)</f>
        <v>1758</v>
      </c>
      <c r="C71" s="1" cm="1" vm="487">
        <f t="array" aca="1" ref="C71" ca="1">_FV(Table2[[#This Row],[Country]],"GDP")</f>
        <v>2122450629.6296301</v>
      </c>
      <c r="D71" s="1" t="str" cm="1">
        <f t="array" aca="1" ref="D71" ca="1">_FV(Table2[[#This Row],[Country]],"National anthem",TRUE)</f>
        <v>Sons and Daughters of Saint Lucia</v>
      </c>
      <c r="E71" s="1" t="e" cm="1" vm="488">
        <f t="array" aca="1" ref="E71" ca="1">_FV(Table2[[#This Row],[Country]],"Largest city",TRUE)</f>
        <v>#VALUE!</v>
      </c>
      <c r="F71" s="1" t="e" cm="1" vm="489">
        <f t="array" aca="1" ref="F71" ca="1">_FV(Table2[[#This Row],[Country]],"Image")</f>
        <v>#VALUE!</v>
      </c>
      <c r="G71" s="1" t="e" cm="1" vm="488">
        <f t="array" aca="1" ref="G71" ca="1">_FV(Table2[[#This Row],[Country]],"Capital/Major City",TRUE)</f>
        <v>#VALUE!</v>
      </c>
      <c r="H71" s="1" t="str" cm="1">
        <f t="array" aca="1" ref="H71" ca="1">_xlfn.ARRAYTOTEXT(_FV(Table2[[#This Row],[Country]],"Leader(s)",TRUE))</f>
        <v>Charles III (Monarch), Philip J. Pierre (Prime minister)</v>
      </c>
      <c r="K71" s="3" t="e" vm="490">
        <v>#VALUE!</v>
      </c>
      <c r="L71" s="6" cm="1">
        <f t="array" aca="1" ref="L71" ca="1">_FV(Table3[[#This Row],[Currency Pair]],"52 week high",TRUE)</f>
        <v>2.6006</v>
      </c>
      <c r="M71" s="6" cm="1">
        <f t="array" aca="1" ref="M71" ca="1">_FV(Table3[[#This Row],[Currency Pair]],"52 week low",TRUE)</f>
        <v>2.5939000000000001</v>
      </c>
      <c r="N71" s="6" cm="1">
        <f t="array" aca="1" ref="N71" ca="1">_FV(Table3[[#This Row],[Currency Pair]],"Price")</f>
        <v>2.5971000000000002</v>
      </c>
      <c r="O71" s="5" t="str" cm="1">
        <f t="array" aca="1" ref="O71" ca="1">_FV(Table3[[#This Row],[Currency Pair]],"Instrument type",TRUE)</f>
        <v>Currency Pair</v>
      </c>
      <c r="P71" s="5" t="str" cm="1">
        <f t="array" aca="1" ref="P71" ca="1">_FV(Table3[[#This Row],[Currency Pair]],"Ticker symbol",TRUE)</f>
        <v>OMRUSD</v>
      </c>
      <c r="Q71" s="5" cm="1">
        <f t="array" aca="1" ref="Q71" ca="1">_FV(Table3[[#This Row],[Currency Pair]],"Change (%)",TRUE)</f>
        <v>0</v>
      </c>
      <c r="R71" s="5" cm="1">
        <f t="array" aca="1" ref="R71" ca="1">_FV(Table3[[#This Row],[Currency Pair]],"Last trade time",TRUE)</f>
        <v>45957.217731481483</v>
      </c>
      <c r="W71" s="3" t="s">
        <v>34</v>
      </c>
      <c r="X71" s="4" t="e" cm="1" vm="384">
        <f t="array" ref="X71">_FV(Table4[[#This Row],[Company]],"52 week high",TRUE)</f>
        <v>#VALUE!</v>
      </c>
      <c r="Y71" s="4" t="e" cm="1" vm="421">
        <f t="array" ref="Y71">_FV(Table4[[#This Row],[Company]],"Change")</f>
        <v>#VALUE!</v>
      </c>
      <c r="Z71" s="4" t="e" cm="1" vm="422">
        <f t="array" ref="Z71">_FV(Table4[[#This Row],[Company]],"Headquarters")</f>
        <v>#VALUE!</v>
      </c>
      <c r="AA71" s="4" t="e" cm="1" vm="423">
        <f t="array" ref="AA71">_FV(Table4[[#This Row],[Company]],"Employees")</f>
        <v>#VALUE!</v>
      </c>
      <c r="AB71" s="4" t="e" cm="1" vm="424">
        <f t="array" ref="AB71">_FV(Table4[[#This Row],[Company]],"Official name",TRUE)</f>
        <v>#VALUE!</v>
      </c>
      <c r="AC71" s="4" t="e" cm="1" vm="425">
        <f t="array" ref="AC71">_FV(Table4[[#This Row],[Company]],"Industry")</f>
        <v>#VALUE!</v>
      </c>
      <c r="AD71" s="4" t="e" cm="1" vm="426">
        <f t="array" ref="AD71">_FV(Table4[[#This Row],[Company]],"Year incorporated",TRUE)</f>
        <v>#VALUE!</v>
      </c>
      <c r="AE71" s="4" t="e" cm="1" vm="385">
        <f t="array" ref="AE71">_FV(Table4[[#This Row],[Company]],"52 week low",TRUE)</f>
        <v>#VALUE!</v>
      </c>
      <c r="AF71" s="4" t="e" cm="1" vm="422">
        <f t="array" ref="AF71">_FV(Table4[[#This Row],[Company]],"Headquarters")</f>
        <v>#VALUE!</v>
      </c>
      <c r="AG71" s="4" t="e" cm="1" vm="115">
        <f t="array" ref="AG71">_FV(Table4[[#This Row],[Company]],"Low")</f>
        <v>#VALUE!</v>
      </c>
    </row>
    <row r="72" spans="1:33" x14ac:dyDescent="0.4">
      <c r="A72" s="1" t="e" vm="491">
        <v>#VALUE!</v>
      </c>
      <c r="B72" s="1" cm="1" vm="492">
        <f t="array" aca="1" ref="B72" ca="1">_FV(Table2[[#This Row],[Country]],"Calling code",TRUE)</f>
        <v>1784</v>
      </c>
      <c r="C72" s="1" cm="1" vm="493">
        <f t="array" aca="1" ref="C72" ca="1">_FV(Table2[[#This Row],[Country]],"GDP")</f>
        <v>825385185.18518496</v>
      </c>
      <c r="D72" s="1" t="str" cm="1">
        <f t="array" aca="1" ref="D72" ca="1">_FV(Table2[[#This Row],[Country]],"National anthem",TRUE)</f>
        <v>Saint Vincent Land so Beautiful</v>
      </c>
      <c r="E72" s="1" t="e" cm="1" vm="494">
        <f t="array" aca="1" ref="E72" ca="1">_FV(Table2[[#This Row],[Country]],"Largest city",TRUE)</f>
        <v>#VALUE!</v>
      </c>
      <c r="F72" s="1" t="e" cm="1" vm="495">
        <f t="array" aca="1" ref="F72" ca="1">_FV(Table2[[#This Row],[Country]],"Image")</f>
        <v>#VALUE!</v>
      </c>
      <c r="G72" s="1" t="e" cm="1" vm="494">
        <f t="array" aca="1" ref="G72" ca="1">_FV(Table2[[#This Row],[Country]],"Capital/Major City",TRUE)</f>
        <v>#VALUE!</v>
      </c>
      <c r="H72" s="1" t="str" cm="1">
        <f t="array" aca="1" ref="H72" ca="1">_xlfn.ARRAYTOTEXT(_FV(Table2[[#This Row],[Country]],"Leader(s)",TRUE))</f>
        <v>Charles III (Monarch), Ralph Gonsalves (Prime minister)</v>
      </c>
      <c r="K72" s="3" t="e" vm="496">
        <v>#VALUE!</v>
      </c>
      <c r="L72" s="36" cm="1">
        <f t="array" aca="1" ref="L72" ca="1">_FV(Table3[[#This Row],[Currency Pair]],"52 week high",TRUE)</f>
        <v>0.30919999999999997</v>
      </c>
      <c r="M72" s="36" cm="1">
        <f t="array" aca="1" ref="M72" ca="1">_FV(Table3[[#This Row],[Currency Pair]],"52 week low",TRUE)</f>
        <v>0.3044</v>
      </c>
      <c r="N72" s="36" cm="1">
        <f t="array" aca="1" ref="N72" ca="1">_FV(Table3[[#This Row],[Currency Pair]],"Price")</f>
        <v>0.30659999999999998</v>
      </c>
      <c r="O72" s="5" t="str" cm="1">
        <f t="array" aca="1" ref="O72" ca="1">_FV(Table3[[#This Row],[Currency Pair]],"Instrument type",TRUE)</f>
        <v>Currency Pair</v>
      </c>
      <c r="P72" s="5" t="str" cm="1">
        <f t="array" aca="1" ref="P72" ca="1">_FV(Table3[[#This Row],[Currency Pair]],"Ticker symbol",TRUE)</f>
        <v>USDKWD</v>
      </c>
      <c r="Q72" s="5" cm="1">
        <f t="array" aca="1" ref="Q72" ca="1">_FV(Table3[[#This Row],[Currency Pair]],"Change (%)",TRUE)</f>
        <v>3.2620000000000001E-4</v>
      </c>
      <c r="R72" s="5" cm="1">
        <f t="array" aca="1" ref="R72" ca="1">_FV(Table3[[#This Row],[Currency Pair]],"Last trade time",TRUE)</f>
        <v>45957.217847222222</v>
      </c>
      <c r="W72" s="3" t="s">
        <v>35</v>
      </c>
      <c r="X72" s="4" t="e" cm="1" vm="384">
        <f t="array" ref="X72">_FV(Table4[[#This Row],[Company]],"52 week high",TRUE)</f>
        <v>#VALUE!</v>
      </c>
      <c r="Y72" s="4" t="e" cm="1" vm="421">
        <f t="array" ref="Y72">_FV(Table4[[#This Row],[Company]],"Change")</f>
        <v>#VALUE!</v>
      </c>
      <c r="Z72" s="4" t="e" cm="1" vm="422">
        <f t="array" ref="Z72">_FV(Table4[[#This Row],[Company]],"Headquarters")</f>
        <v>#VALUE!</v>
      </c>
      <c r="AA72" s="4" t="e" cm="1" vm="423">
        <f t="array" ref="AA72">_FV(Table4[[#This Row],[Company]],"Employees")</f>
        <v>#VALUE!</v>
      </c>
      <c r="AB72" s="4" t="e" cm="1" vm="424">
        <f t="array" ref="AB72">_FV(Table4[[#This Row],[Company]],"Official name",TRUE)</f>
        <v>#VALUE!</v>
      </c>
      <c r="AC72" s="4" t="e" cm="1" vm="425">
        <f t="array" ref="AC72">_FV(Table4[[#This Row],[Company]],"Industry")</f>
        <v>#VALUE!</v>
      </c>
      <c r="AD72" s="4" t="e" cm="1" vm="426">
        <f t="array" ref="AD72">_FV(Table4[[#This Row],[Company]],"Year incorporated",TRUE)</f>
        <v>#VALUE!</v>
      </c>
      <c r="AE72" s="4" t="e" cm="1" vm="385">
        <f t="array" ref="AE72">_FV(Table4[[#This Row],[Company]],"52 week low",TRUE)</f>
        <v>#VALUE!</v>
      </c>
      <c r="AF72" s="4" t="e" cm="1" vm="422">
        <f t="array" ref="AF72">_FV(Table4[[#This Row],[Company]],"Headquarters")</f>
        <v>#VALUE!</v>
      </c>
      <c r="AG72" s="4" t="e" cm="1" vm="115">
        <f t="array" ref="AG72">_FV(Table4[[#This Row],[Company]],"Low")</f>
        <v>#VALUE!</v>
      </c>
    </row>
    <row r="73" spans="1:33" x14ac:dyDescent="0.4">
      <c r="A73" s="1" t="e" vm="497">
        <v>#VALUE!</v>
      </c>
      <c r="B73" s="1" cm="1" vm="498">
        <f t="array" aca="1" ref="B73" ca="1">_FV(Table2[[#This Row],[Country]],"Calling code",TRUE)</f>
        <v>685</v>
      </c>
      <c r="C73" s="1" cm="1" vm="499">
        <f t="array" aca="1" ref="C73" ca="1">_FV(Table2[[#This Row],[Country]],"GDP")</f>
        <v>850655017.22048795</v>
      </c>
      <c r="D73" s="1" t="str" cm="1">
        <f t="array" aca="1" ref="D73" ca="1">_FV(Table2[[#This Row],[Country]],"National anthem",TRUE)</f>
        <v>The Banner of Freedom</v>
      </c>
      <c r="E73" s="1" t="e" cm="1" vm="500">
        <f t="array" aca="1" ref="E73" ca="1">_FV(Table2[[#This Row],[Country]],"Largest city",TRUE)</f>
        <v>#VALUE!</v>
      </c>
      <c r="F73" s="1" t="e" cm="1" vm="501">
        <f t="array" aca="1" ref="F73" ca="1">_FV(Table2[[#This Row],[Country]],"Image")</f>
        <v>#VALUE!</v>
      </c>
      <c r="G73" s="1" t="e" cm="1" vm="500">
        <f t="array" aca="1" ref="G73" ca="1">_FV(Table2[[#This Row],[Country]],"Capital/Major City",TRUE)</f>
        <v>#VALUE!</v>
      </c>
      <c r="H73" s="1" t="str" cm="1">
        <f t="array" aca="1" ref="H73" ca="1">_xlfn.ARRAYTOTEXT(_FV(Table2[[#This Row],[Country]],"Leader(s)",TRUE))</f>
        <v>Fiamē Naomi Mataʻafa (Prime minister)</v>
      </c>
      <c r="K73" s="3" t="e" vm="502">
        <v>#VALUE!</v>
      </c>
      <c r="L73" s="6" cm="1">
        <f t="array" aca="1" ref="L73" ca="1">_FV(Table3[[#This Row],[Currency Pair]],"52 week high",TRUE)</f>
        <v>3.2825000000000002</v>
      </c>
      <c r="M73" s="6" cm="1">
        <f t="array" aca="1" ref="M73" ca="1">_FV(Table3[[#This Row],[Currency Pair]],"52 week low",TRUE)</f>
        <v>3.2311000000000001</v>
      </c>
      <c r="N73" s="6" cm="1">
        <f t="array" aca="1" ref="N73" ca="1">_FV(Table3[[#This Row],[Currency Pair]],"Price")</f>
        <v>3.2602000000000002</v>
      </c>
      <c r="O73" s="5" t="str" cm="1">
        <f t="array" aca="1" ref="O73" ca="1">_FV(Table3[[#This Row],[Currency Pair]],"Instrument type",TRUE)</f>
        <v>Currency Pair</v>
      </c>
      <c r="P73" s="5" t="str" cm="1">
        <f t="array" aca="1" ref="P73" ca="1">_FV(Table3[[#This Row],[Currency Pair]],"Ticker symbol",TRUE)</f>
        <v>KWDUSD</v>
      </c>
      <c r="Q73" s="5" cm="1">
        <f t="array" aca="1" ref="Q73" ca="1">_FV(Table3[[#This Row],[Currency Pair]],"Change (%)",TRUE)</f>
        <v>-3.3730000000000001E-4</v>
      </c>
      <c r="R73" s="5" cm="1">
        <f t="array" aca="1" ref="R73" ca="1">_FV(Table3[[#This Row],[Currency Pair]],"Last trade time",TRUE)</f>
        <v>45957.217638888891</v>
      </c>
      <c r="W73" s="3" t="s">
        <v>36</v>
      </c>
      <c r="X73" s="4" t="e" cm="1" vm="384">
        <f t="array" ref="X73">_FV(Table4[[#This Row],[Company]],"52 week high",TRUE)</f>
        <v>#VALUE!</v>
      </c>
      <c r="Y73" s="4" t="e" cm="1" vm="421">
        <f t="array" ref="Y73">_FV(Table4[[#This Row],[Company]],"Change")</f>
        <v>#VALUE!</v>
      </c>
      <c r="Z73" s="4" t="e" cm="1" vm="422">
        <f t="array" ref="Z73">_FV(Table4[[#This Row],[Company]],"Headquarters")</f>
        <v>#VALUE!</v>
      </c>
      <c r="AA73" s="4" t="e" cm="1" vm="423">
        <f t="array" ref="AA73">_FV(Table4[[#This Row],[Company]],"Employees")</f>
        <v>#VALUE!</v>
      </c>
      <c r="AB73" s="4" t="e" cm="1" vm="424">
        <f t="array" ref="AB73">_FV(Table4[[#This Row],[Company]],"Official name",TRUE)</f>
        <v>#VALUE!</v>
      </c>
      <c r="AC73" s="4" t="e" cm="1" vm="425">
        <f t="array" ref="AC73">_FV(Table4[[#This Row],[Company]],"Industry")</f>
        <v>#VALUE!</v>
      </c>
      <c r="AD73" s="4" t="e" cm="1" vm="426">
        <f t="array" ref="AD73">_FV(Table4[[#This Row],[Company]],"Year incorporated",TRUE)</f>
        <v>#VALUE!</v>
      </c>
      <c r="AE73" s="4" t="e" cm="1" vm="385">
        <f t="array" ref="AE73">_FV(Table4[[#This Row],[Company]],"52 week low",TRUE)</f>
        <v>#VALUE!</v>
      </c>
      <c r="AF73" s="4" t="e" cm="1" vm="422">
        <f t="array" ref="AF73">_FV(Table4[[#This Row],[Company]],"Headquarters")</f>
        <v>#VALUE!</v>
      </c>
      <c r="AG73" s="4" t="e" cm="1" vm="115">
        <f t="array" ref="AG73">_FV(Table4[[#This Row],[Company]],"Low")</f>
        <v>#VALUE!</v>
      </c>
    </row>
    <row r="74" spans="1:33" x14ac:dyDescent="0.4">
      <c r="A74" s="1" t="e" vm="503">
        <v>#VALUE!</v>
      </c>
      <c r="B74" s="1" cm="1" vm="504">
        <f t="array" aca="1" ref="B74" ca="1">_FV(Table2[[#This Row],[Country]],"Calling code",TRUE)</f>
        <v>378</v>
      </c>
      <c r="C74" s="1" cm="1" vm="505">
        <f t="array" aca="1" ref="C74" ca="1">_FV(Table2[[#This Row],[Country]],"GDP")</f>
        <v>1637931034.48276</v>
      </c>
      <c r="D74" s="1" t="str" cm="1">
        <f t="array" aca="1" ref="D74" ca="1">_FV(Table2[[#This Row],[Country]],"National anthem",TRUE)</f>
        <v>Inno Nazionale della Repubblica di San Marino</v>
      </c>
      <c r="E74" s="1" t="e" cm="1" vm="506">
        <f t="array" aca="1" ref="E74" ca="1">_FV(Table2[[#This Row],[Country]],"Largest city",TRUE)</f>
        <v>#VALUE!</v>
      </c>
      <c r="F74" s="1" t="e" cm="1" vm="507">
        <f t="array" aca="1" ref="F74" ca="1">_FV(Table2[[#This Row],[Country]],"Image")</f>
        <v>#VALUE!</v>
      </c>
      <c r="G74" s="1" t="e" cm="1" vm="506">
        <f t="array" aca="1" ref="G74" ca="1">_FV(Table2[[#This Row],[Country]],"Capital/Major City",TRUE)</f>
        <v>#VALUE!</v>
      </c>
      <c r="H74" s="1" t="e" cm="1" vm="508">
        <f t="array" ref="H74">_xlfn.ARRAYTOTEXT(_FV(Table2[[#This Row],[Country]],"Leader(s)",TRUE))</f>
        <v>#VALUE!</v>
      </c>
      <c r="K74" s="3" t="e" vm="509">
        <v>#VALUE!</v>
      </c>
      <c r="L74" s="37" cm="1">
        <f t="array" aca="1" ref="L74" ca="1">_FV(Table3[[#This Row],[Currency Pair]],"52 week high",TRUE)</f>
        <v>3.6507999999999998</v>
      </c>
      <c r="M74" s="37" cm="1">
        <f t="array" aca="1" ref="M74" ca="1">_FV(Table3[[#This Row],[Currency Pair]],"52 week low",TRUE)</f>
        <v>3.5849000000000002</v>
      </c>
      <c r="N74" s="37" cm="1">
        <f t="array" aca="1" ref="N74" ca="1">_FV(Table3[[#This Row],[Currency Pair]],"Price")</f>
        <v>3.6419999999999999</v>
      </c>
      <c r="O74" s="5" t="str" cm="1">
        <f t="array" aca="1" ref="O74" ca="1">_FV(Table3[[#This Row],[Currency Pair]],"Instrument type",TRUE)</f>
        <v>Currency Pair</v>
      </c>
      <c r="P74" s="5" t="str" cm="1">
        <f t="array" aca="1" ref="P74" ca="1">_FV(Table3[[#This Row],[Currency Pair]],"Ticker symbol",TRUE)</f>
        <v>USDQAR</v>
      </c>
      <c r="Q74" s="5" cm="1">
        <f t="array" aca="1" ref="Q74" ca="1">_FV(Table3[[#This Row],[Currency Pair]],"Change (%)",TRUE)</f>
        <v>0</v>
      </c>
      <c r="R74" s="5" cm="1">
        <f t="array" aca="1" ref="R74" ca="1">_FV(Table3[[#This Row],[Currency Pair]],"Last trade time",TRUE)</f>
        <v>45957.208437499998</v>
      </c>
      <c r="W74" s="3" t="s">
        <v>37</v>
      </c>
      <c r="X74" s="4" t="e" cm="1" vm="384">
        <f t="array" ref="X74">_FV(Table4[[#This Row],[Company]],"52 week high",TRUE)</f>
        <v>#VALUE!</v>
      </c>
      <c r="Y74" s="4" t="e" cm="1" vm="421">
        <f t="array" ref="Y74">_FV(Table4[[#This Row],[Company]],"Change")</f>
        <v>#VALUE!</v>
      </c>
      <c r="Z74" s="4" t="e" cm="1" vm="422">
        <f t="array" ref="Z74">_FV(Table4[[#This Row],[Company]],"Headquarters")</f>
        <v>#VALUE!</v>
      </c>
      <c r="AA74" s="4" t="e" cm="1" vm="423">
        <f t="array" ref="AA74">_FV(Table4[[#This Row],[Company]],"Employees")</f>
        <v>#VALUE!</v>
      </c>
      <c r="AB74" s="4" t="e" cm="1" vm="424">
        <f t="array" ref="AB74">_FV(Table4[[#This Row],[Company]],"Official name",TRUE)</f>
        <v>#VALUE!</v>
      </c>
      <c r="AC74" s="4" t="e" cm="1" vm="425">
        <f t="array" ref="AC74">_FV(Table4[[#This Row],[Company]],"Industry")</f>
        <v>#VALUE!</v>
      </c>
      <c r="AD74" s="4" t="e" cm="1" vm="426">
        <f t="array" ref="AD74">_FV(Table4[[#This Row],[Company]],"Year incorporated",TRUE)</f>
        <v>#VALUE!</v>
      </c>
      <c r="AE74" s="4" t="e" cm="1" vm="385">
        <f t="array" ref="AE74">_FV(Table4[[#This Row],[Company]],"52 week low",TRUE)</f>
        <v>#VALUE!</v>
      </c>
      <c r="AF74" s="4" t="e" cm="1" vm="422">
        <f t="array" ref="AF74">_FV(Table4[[#This Row],[Company]],"Headquarters")</f>
        <v>#VALUE!</v>
      </c>
      <c r="AG74" s="4" t="e" cm="1" vm="115">
        <f t="array" ref="AG74">_FV(Table4[[#This Row],[Company]],"Low")</f>
        <v>#VALUE!</v>
      </c>
    </row>
    <row r="75" spans="1:33" x14ac:dyDescent="0.4">
      <c r="A75" s="1" t="e" vm="510">
        <v>#VALUE!</v>
      </c>
      <c r="B75" s="1" cm="1" vm="511">
        <f t="array" aca="1" ref="B75" ca="1">_FV(Table2[[#This Row],[Country]],"Calling code",TRUE)</f>
        <v>239</v>
      </c>
      <c r="C75" s="1" cm="1" vm="512">
        <f t="array" aca="1" ref="C75" ca="1">_FV(Table2[[#This Row],[Country]],"GDP")</f>
        <v>429016605.20820498</v>
      </c>
      <c r="D75" s="1" t="str" cm="1">
        <f t="array" aca="1" ref="D75" ca="1">_FV(Table2[[#This Row],[Country]],"National anthem",TRUE)</f>
        <v>Independência total</v>
      </c>
      <c r="E75" s="1" t="e" cm="1" vm="513">
        <f t="array" aca="1" ref="E75" ca="1">_FV(Table2[[#This Row],[Country]],"Largest city",TRUE)</f>
        <v>#VALUE!</v>
      </c>
      <c r="F75" s="1" t="e" cm="1" vm="514">
        <f t="array" aca="1" ref="F75" ca="1">_FV(Table2[[#This Row],[Country]],"Image")</f>
        <v>#VALUE!</v>
      </c>
      <c r="G75" s="1" t="e" cm="1" vm="513">
        <f t="array" aca="1" ref="G75" ca="1">_FV(Table2[[#This Row],[Country]],"Capital/Major City",TRUE)</f>
        <v>#VALUE!</v>
      </c>
      <c r="H75" s="1" t="str" cm="1">
        <f t="array" aca="1" ref="H75" ca="1">_xlfn.ARRAYTOTEXT(_FV(Table2[[#This Row],[Country]],"Leader(s)",TRUE))</f>
        <v>Carlos Vila Nova (President), Patrice Trovoada (Prime minister)</v>
      </c>
      <c r="K75" s="3" t="e" vm="515">
        <v>#VALUE!</v>
      </c>
      <c r="L75" s="6" cm="1">
        <f t="array" aca="1" ref="L75" ca="1">_FV(Table3[[#This Row],[Currency Pair]],"52 week high",TRUE)</f>
        <v>0.27439999999999998</v>
      </c>
      <c r="M75" s="6" cm="1">
        <f t="array" aca="1" ref="M75" ca="1">_FV(Table3[[#This Row],[Currency Pair]],"52 week low",TRUE)</f>
        <v>0.26989999999999997</v>
      </c>
      <c r="N75" s="6" cm="1">
        <f t="array" aca="1" ref="N75" ca="1">_FV(Table3[[#This Row],[Currency Pair]],"Price")</f>
        <v>0.27410000000000001</v>
      </c>
      <c r="O75" s="5" t="str" cm="1">
        <f t="array" aca="1" ref="O75" ca="1">_FV(Table3[[#This Row],[Currency Pair]],"Instrument type",TRUE)</f>
        <v>Currency Pair</v>
      </c>
      <c r="P75" s="5" t="str" cm="1">
        <f t="array" aca="1" ref="P75" ca="1">_FV(Table3[[#This Row],[Currency Pair]],"Ticker symbol",TRUE)</f>
        <v>QARUSD</v>
      </c>
      <c r="Q75" s="5" cm="1">
        <f t="array" aca="1" ref="Q75" ca="1">_FV(Table3[[#This Row],[Currency Pair]],"Change (%)",TRUE)</f>
        <v>0</v>
      </c>
      <c r="R75" s="5" cm="1">
        <f t="array" aca="1" ref="R75" ca="1">_FV(Table3[[#This Row],[Currency Pair]],"Last trade time",TRUE)</f>
        <v>45957.208437499998</v>
      </c>
      <c r="W75" s="3" t="s">
        <v>38</v>
      </c>
      <c r="X75" s="4" t="e" cm="1" vm="384">
        <f t="array" ref="X75">_FV(Table4[[#This Row],[Company]],"52 week high",TRUE)</f>
        <v>#VALUE!</v>
      </c>
      <c r="Y75" s="4" t="e" cm="1" vm="421">
        <f t="array" ref="Y75">_FV(Table4[[#This Row],[Company]],"Change")</f>
        <v>#VALUE!</v>
      </c>
      <c r="Z75" s="4" t="e" cm="1" vm="422">
        <f t="array" ref="Z75">_FV(Table4[[#This Row],[Company]],"Headquarters")</f>
        <v>#VALUE!</v>
      </c>
      <c r="AA75" s="4" t="e" cm="1" vm="423">
        <f t="array" ref="AA75">_FV(Table4[[#This Row],[Company]],"Employees")</f>
        <v>#VALUE!</v>
      </c>
      <c r="AB75" s="4" t="e" cm="1" vm="424">
        <f t="array" ref="AB75">_FV(Table4[[#This Row],[Company]],"Official name",TRUE)</f>
        <v>#VALUE!</v>
      </c>
      <c r="AC75" s="4" t="e" cm="1" vm="425">
        <f t="array" ref="AC75">_FV(Table4[[#This Row],[Company]],"Industry")</f>
        <v>#VALUE!</v>
      </c>
      <c r="AD75" s="4" t="e" cm="1" vm="426">
        <f t="array" ref="AD75">_FV(Table4[[#This Row],[Company]],"Year incorporated",TRUE)</f>
        <v>#VALUE!</v>
      </c>
      <c r="AE75" s="4" t="e" cm="1" vm="385">
        <f t="array" ref="AE75">_FV(Table4[[#This Row],[Company]],"52 week low",TRUE)</f>
        <v>#VALUE!</v>
      </c>
      <c r="AF75" s="4" t="e" cm="1" vm="422">
        <f t="array" ref="AF75">_FV(Table4[[#This Row],[Company]],"Headquarters")</f>
        <v>#VALUE!</v>
      </c>
      <c r="AG75" s="4" t="e" cm="1" vm="115">
        <f t="array" ref="AG75">_FV(Table4[[#This Row],[Company]],"Low")</f>
        <v>#VALUE!</v>
      </c>
    </row>
    <row r="76" spans="1:33" x14ac:dyDescent="0.4">
      <c r="A76" s="1" t="e" vm="516">
        <v>#VALUE!</v>
      </c>
      <c r="B76" s="1" cm="1" vm="517">
        <f t="array" aca="1" ref="B76" ca="1">_FV(Table2[[#This Row],[Country]],"Calling code",TRUE)</f>
        <v>966</v>
      </c>
      <c r="C76" s="1" cm="1" vm="518">
        <f t="array" aca="1" ref="C76" ca="1">_FV(Table2[[#This Row],[Country]],"GDP")</f>
        <v>792966838161.65906</v>
      </c>
      <c r="D76" s="1" t="str" cm="1">
        <f t="array" aca="1" ref="D76" ca="1">_FV(Table2[[#This Row],[Country]],"National anthem",TRUE)</f>
        <v>National Anthem of Saudi Arabia</v>
      </c>
      <c r="E76" s="1" t="e" cm="1" vm="519">
        <f t="array" aca="1" ref="E76" ca="1">_FV(Table2[[#This Row],[Country]],"Largest city",TRUE)</f>
        <v>#VALUE!</v>
      </c>
      <c r="F76" s="1" t="e" cm="1" vm="520">
        <f t="array" aca="1" ref="F76" ca="1">_FV(Table2[[#This Row],[Country]],"Image")</f>
        <v>#VALUE!</v>
      </c>
      <c r="G76" s="1" t="e" cm="1" vm="519">
        <f t="array" aca="1" ref="G76" ca="1">_FV(Table2[[#This Row],[Country]],"Capital/Major City",TRUE)</f>
        <v>#VALUE!</v>
      </c>
      <c r="H76" s="1" t="str" cm="1">
        <f t="array" aca="1" ref="H76" ca="1">_xlfn.ARRAYTOTEXT(_FV(Table2[[#This Row],[Country]],"Leader(s)",TRUE))</f>
        <v>Salman of Saudi Arabia (King), Mohammed bin Salman (Prime minister)</v>
      </c>
      <c r="K76" s="3" t="e" vm="521">
        <v>#VALUE!</v>
      </c>
      <c r="L76" s="38" cm="1">
        <f t="array" aca="1" ref="L76" ca="1">_FV(Table3[[#This Row],[Currency Pair]],"52 week high",TRUE)</f>
        <v>3.7589000000000001</v>
      </c>
      <c r="M76" s="38" cm="1">
        <f t="array" aca="1" ref="M76" ca="1">_FV(Table3[[#This Row],[Currency Pair]],"52 week low",TRUE)</f>
        <v>3.7488000000000001</v>
      </c>
      <c r="N76" s="38" cm="1">
        <f t="array" aca="1" ref="N76" ca="1">_FV(Table3[[#This Row],[Currency Pair]],"Price")</f>
        <v>3.7503000000000002</v>
      </c>
      <c r="O76" s="5" t="str" cm="1">
        <f t="array" aca="1" ref="O76" ca="1">_FV(Table3[[#This Row],[Currency Pair]],"Instrument type",TRUE)</f>
        <v>Currency Pair</v>
      </c>
      <c r="P76" s="5" t="str" cm="1">
        <f t="array" aca="1" ref="P76" ca="1">_FV(Table3[[#This Row],[Currency Pair]],"Ticker symbol",TRUE)</f>
        <v>USDSAR</v>
      </c>
      <c r="Q76" s="5" cm="1">
        <f t="array" aca="1" ref="Q76" ca="1">_FV(Table3[[#This Row],[Currency Pair]],"Change (%)",TRUE)</f>
        <v>0</v>
      </c>
      <c r="R76" s="5" cm="1">
        <f t="array" aca="1" ref="R76" ca="1">_FV(Table3[[#This Row],[Currency Pair]],"Last trade time",TRUE)</f>
        <v>45957.217395833337</v>
      </c>
      <c r="W76" s="3" t="s">
        <v>39</v>
      </c>
      <c r="X76" s="4" t="e" cm="1" vm="384">
        <f t="array" ref="X76">_FV(Table4[[#This Row],[Company]],"52 week high",TRUE)</f>
        <v>#VALUE!</v>
      </c>
      <c r="Y76" s="4" t="e" cm="1" vm="421">
        <f t="array" ref="Y76">_FV(Table4[[#This Row],[Company]],"Change")</f>
        <v>#VALUE!</v>
      </c>
      <c r="Z76" s="4" t="e" cm="1" vm="422">
        <f t="array" ref="Z76">_FV(Table4[[#This Row],[Company]],"Headquarters")</f>
        <v>#VALUE!</v>
      </c>
      <c r="AA76" s="4" t="e" cm="1" vm="423">
        <f t="array" ref="AA76">_FV(Table4[[#This Row],[Company]],"Employees")</f>
        <v>#VALUE!</v>
      </c>
      <c r="AB76" s="4" t="e" cm="1" vm="424">
        <f t="array" ref="AB76">_FV(Table4[[#This Row],[Company]],"Official name",TRUE)</f>
        <v>#VALUE!</v>
      </c>
      <c r="AC76" s="4" t="e" cm="1" vm="425">
        <f t="array" ref="AC76">_FV(Table4[[#This Row],[Company]],"Industry")</f>
        <v>#VALUE!</v>
      </c>
      <c r="AD76" s="4" t="e" cm="1" vm="426">
        <f t="array" ref="AD76">_FV(Table4[[#This Row],[Company]],"Year incorporated",TRUE)</f>
        <v>#VALUE!</v>
      </c>
      <c r="AE76" s="4" t="e" cm="1" vm="385">
        <f t="array" ref="AE76">_FV(Table4[[#This Row],[Company]],"52 week low",TRUE)</f>
        <v>#VALUE!</v>
      </c>
      <c r="AF76" s="4" t="e" cm="1" vm="422">
        <f t="array" ref="AF76">_FV(Table4[[#This Row],[Company]],"Headquarters")</f>
        <v>#VALUE!</v>
      </c>
      <c r="AG76" s="4" t="e" cm="1" vm="115">
        <f t="array" ref="AG76">_FV(Table4[[#This Row],[Company]],"Low")</f>
        <v>#VALUE!</v>
      </c>
    </row>
    <row r="77" spans="1:33" x14ac:dyDescent="0.4">
      <c r="A77" s="1" t="e" vm="522">
        <v>#VALUE!</v>
      </c>
      <c r="B77" s="1" cm="1" vm="523">
        <f t="array" aca="1" ref="B77" ca="1">_FV(Table2[[#This Row],[Country]],"Calling code",TRUE)</f>
        <v>221</v>
      </c>
      <c r="C77" s="1" cm="1" vm="524">
        <f t="array" aca="1" ref="C77" ca="1">_FV(Table2[[#This Row],[Country]],"GDP")</f>
        <v>23578084052.014702</v>
      </c>
      <c r="D77" s="1" t="str" cm="1">
        <f t="array" aca="1" ref="D77" ca="1">_FV(Table2[[#This Row],[Country]],"National anthem",TRUE)</f>
        <v>Le Lion rouge</v>
      </c>
      <c r="E77" s="1" t="e" cm="1" vm="525">
        <f t="array" aca="1" ref="E77" ca="1">_FV(Table2[[#This Row],[Country]],"Largest city",TRUE)</f>
        <v>#VALUE!</v>
      </c>
      <c r="F77" s="1" t="e" cm="1" vm="526">
        <f t="array" aca="1" ref="F77" ca="1">_FV(Table2[[#This Row],[Country]],"Image")</f>
        <v>#VALUE!</v>
      </c>
      <c r="G77" s="1" t="e" cm="1" vm="525">
        <f t="array" aca="1" ref="G77" ca="1">_FV(Table2[[#This Row],[Country]],"Capital/Major City",TRUE)</f>
        <v>#VALUE!</v>
      </c>
      <c r="H77" s="1" t="str" cm="1">
        <f t="array" aca="1" ref="H77" ca="1">_xlfn.ARRAYTOTEXT(_FV(Table2[[#This Row],[Country]],"Leader(s)",TRUE))</f>
        <v>Macky Sall (President), Amadou Ba (Prime minister)</v>
      </c>
      <c r="K77" s="3" t="e" vm="527">
        <v>#VALUE!</v>
      </c>
      <c r="L77" s="6" cm="1">
        <f t="array" aca="1" ref="L77" ca="1">_FV(Table3[[#This Row],[Currency Pair]],"52 week high",TRUE)</f>
        <v>0.26690000000000003</v>
      </c>
      <c r="M77" s="6" cm="1">
        <f t="array" aca="1" ref="M77" ca="1">_FV(Table3[[#This Row],[Currency Pair]],"52 week low",TRUE)</f>
        <v>0.26590000000000003</v>
      </c>
      <c r="N77" s="6" cm="1">
        <f t="array" aca="1" ref="N77" ca="1">_FV(Table3[[#This Row],[Currency Pair]],"Price")</f>
        <v>0.2666</v>
      </c>
      <c r="O77" s="5" t="str" cm="1">
        <f t="array" aca="1" ref="O77" ca="1">_FV(Table3[[#This Row],[Currency Pair]],"Instrument type",TRUE)</f>
        <v>Currency Pair</v>
      </c>
      <c r="P77" s="5" t="str" cm="1">
        <f t="array" aca="1" ref="P77" ca="1">_FV(Table3[[#This Row],[Currency Pair]],"Ticker symbol",TRUE)</f>
        <v>SARUSD</v>
      </c>
      <c r="Q77" s="5" cm="1">
        <f t="array" aca="1" ref="Q77" ca="1">_FV(Table3[[#This Row],[Currency Pair]],"Change (%)",TRUE)</f>
        <v>0</v>
      </c>
      <c r="R77" s="5" cm="1">
        <f t="array" aca="1" ref="R77" ca="1">_FV(Table3[[#This Row],[Currency Pair]],"Last trade time",TRUE)</f>
        <v>45957.217743055553</v>
      </c>
      <c r="W77" s="3" t="s">
        <v>40</v>
      </c>
      <c r="X77" s="4" t="e" cm="1" vm="384">
        <f t="array" ref="X77">_FV(Table4[[#This Row],[Company]],"52 week high",TRUE)</f>
        <v>#VALUE!</v>
      </c>
      <c r="Y77" s="4" t="e" cm="1" vm="421">
        <f t="array" ref="Y77">_FV(Table4[[#This Row],[Company]],"Change")</f>
        <v>#VALUE!</v>
      </c>
      <c r="Z77" s="4" t="e" cm="1" vm="422">
        <f t="array" ref="Z77">_FV(Table4[[#This Row],[Company]],"Headquarters")</f>
        <v>#VALUE!</v>
      </c>
      <c r="AA77" s="4" t="e" cm="1" vm="423">
        <f t="array" ref="AA77">_FV(Table4[[#This Row],[Company]],"Employees")</f>
        <v>#VALUE!</v>
      </c>
      <c r="AB77" s="4" t="e" cm="1" vm="424">
        <f t="array" ref="AB77">_FV(Table4[[#This Row],[Company]],"Official name",TRUE)</f>
        <v>#VALUE!</v>
      </c>
      <c r="AC77" s="4" t="e" cm="1" vm="425">
        <f t="array" ref="AC77">_FV(Table4[[#This Row],[Company]],"Industry")</f>
        <v>#VALUE!</v>
      </c>
      <c r="AD77" s="4" t="e" cm="1" vm="426">
        <f t="array" ref="AD77">_FV(Table4[[#This Row],[Company]],"Year incorporated",TRUE)</f>
        <v>#VALUE!</v>
      </c>
      <c r="AE77" s="4" t="e" cm="1" vm="385">
        <f t="array" ref="AE77">_FV(Table4[[#This Row],[Company]],"52 week low",TRUE)</f>
        <v>#VALUE!</v>
      </c>
      <c r="AF77" s="4" t="e" cm="1" vm="422">
        <f t="array" ref="AF77">_FV(Table4[[#This Row],[Company]],"Headquarters")</f>
        <v>#VALUE!</v>
      </c>
      <c r="AG77" s="4" t="e" cm="1" vm="115">
        <f t="array" ref="AG77">_FV(Table4[[#This Row],[Company]],"Low")</f>
        <v>#VALUE!</v>
      </c>
    </row>
    <row r="78" spans="1:33" x14ac:dyDescent="0.4">
      <c r="A78" s="1" t="e" vm="528">
        <v>#VALUE!</v>
      </c>
      <c r="B78" s="1" cm="1" vm="529">
        <f t="array" aca="1" ref="B78" ca="1">_FV(Table2[[#This Row],[Country]],"Calling code",TRUE)</f>
        <v>381</v>
      </c>
      <c r="C78" s="1" cm="1" vm="530">
        <f t="array" aca="1" ref="C78" ca="1">_FV(Table2[[#This Row],[Country]],"GDP")</f>
        <v>51409167350.754799</v>
      </c>
      <c r="D78" s="1" t="str" cm="1">
        <f t="array" aca="1" ref="D78" ca="1">_FV(Table2[[#This Row],[Country]],"National anthem",TRUE)</f>
        <v>Bože pravde</v>
      </c>
      <c r="E78" s="1" t="e" cm="1" vm="531">
        <f t="array" aca="1" ref="E78" ca="1">_FV(Table2[[#This Row],[Country]],"Largest city",TRUE)</f>
        <v>#VALUE!</v>
      </c>
      <c r="F78" s="1" t="e" cm="1" vm="532">
        <f t="array" aca="1" ref="F78" ca="1">_FV(Table2[[#This Row],[Country]],"Image")</f>
        <v>#VALUE!</v>
      </c>
      <c r="G78" s="1" t="e" cm="1" vm="531">
        <f t="array" aca="1" ref="G78" ca="1">_FV(Table2[[#This Row],[Country]],"Capital/Major City",TRUE)</f>
        <v>#VALUE!</v>
      </c>
      <c r="H78" s="1" t="str" cm="1">
        <f t="array" aca="1" ref="H78" ca="1">_xlfn.ARRAYTOTEXT(_FV(Table2[[#This Row],[Country]],"Leader(s)",TRUE))</f>
        <v>Aleksandar Vučić (President), Ana Brnabić (Prime minister)</v>
      </c>
      <c r="K78" s="3" t="e" vm="533">
        <v>#VALUE!</v>
      </c>
      <c r="L78" s="39" cm="1">
        <f t="array" aca="1" ref="L78" ca="1">_FV(Table3[[#This Row],[Currency Pair]],"52 week high",TRUE)</f>
        <v>3.6736</v>
      </c>
      <c r="M78" s="39" cm="1">
        <f t="array" aca="1" ref="M78" ca="1">_FV(Table3[[#This Row],[Currency Pair]],"52 week low",TRUE)</f>
        <v>3.6709000000000001</v>
      </c>
      <c r="N78" s="39" cm="1">
        <f t="array" aca="1" ref="N78" ca="1">_FV(Table3[[#This Row],[Currency Pair]],"Price")</f>
        <v>3.6720999999999999</v>
      </c>
      <c r="O78" s="5" t="str" cm="1">
        <f t="array" aca="1" ref="O78" ca="1">_FV(Table3[[#This Row],[Currency Pair]],"Instrument type",TRUE)</f>
        <v>Currency Pair</v>
      </c>
      <c r="P78" s="5" t="str" cm="1">
        <f t="array" aca="1" ref="P78" ca="1">_FV(Table3[[#This Row],[Currency Pair]],"Ticker symbol",TRUE)</f>
        <v>USDAED</v>
      </c>
      <c r="Q78" s="5" cm="1">
        <f t="array" aca="1" ref="Q78" ca="1">_FV(Table3[[#This Row],[Currency Pair]],"Change (%)",TRUE)</f>
        <v>2.7230000000000002E-5</v>
      </c>
      <c r="R78" s="5" cm="1">
        <f t="array" aca="1" ref="R78" ca="1">_FV(Table3[[#This Row],[Currency Pair]],"Last trade time",TRUE)</f>
        <v>45957.216886574075</v>
      </c>
      <c r="W78" s="3" t="s">
        <v>41</v>
      </c>
      <c r="X78" s="4" t="e" cm="1" vm="384">
        <f t="array" ref="X78">_FV(Table4[[#This Row],[Company]],"52 week high",TRUE)</f>
        <v>#VALUE!</v>
      </c>
      <c r="Y78" s="4" t="e" cm="1" vm="421">
        <f t="array" ref="Y78">_FV(Table4[[#This Row],[Company]],"Change")</f>
        <v>#VALUE!</v>
      </c>
      <c r="Z78" s="4" t="e" cm="1" vm="422">
        <f t="array" ref="Z78">_FV(Table4[[#This Row],[Company]],"Headquarters")</f>
        <v>#VALUE!</v>
      </c>
      <c r="AA78" s="4" t="e" cm="1" vm="423">
        <f t="array" ref="AA78">_FV(Table4[[#This Row],[Company]],"Employees")</f>
        <v>#VALUE!</v>
      </c>
      <c r="AB78" s="4" t="e" cm="1" vm="424">
        <f t="array" ref="AB78">_FV(Table4[[#This Row],[Company]],"Official name",TRUE)</f>
        <v>#VALUE!</v>
      </c>
      <c r="AC78" s="4" t="e" cm="1" vm="425">
        <f t="array" ref="AC78">_FV(Table4[[#This Row],[Company]],"Industry")</f>
        <v>#VALUE!</v>
      </c>
      <c r="AD78" s="4" t="e" cm="1" vm="426">
        <f t="array" ref="AD78">_FV(Table4[[#This Row],[Company]],"Year incorporated",TRUE)</f>
        <v>#VALUE!</v>
      </c>
      <c r="AE78" s="4" t="e" cm="1" vm="385">
        <f t="array" ref="AE78">_FV(Table4[[#This Row],[Company]],"52 week low",TRUE)</f>
        <v>#VALUE!</v>
      </c>
      <c r="AF78" s="4" t="e" cm="1" vm="422">
        <f t="array" ref="AF78">_FV(Table4[[#This Row],[Company]],"Headquarters")</f>
        <v>#VALUE!</v>
      </c>
      <c r="AG78" s="4" t="e" cm="1" vm="115">
        <f t="array" ref="AG78">_FV(Table4[[#This Row],[Company]],"Low")</f>
        <v>#VALUE!</v>
      </c>
    </row>
    <row r="79" spans="1:33" x14ac:dyDescent="0.4">
      <c r="A79" s="1" t="e" vm="534">
        <v>#VALUE!</v>
      </c>
      <c r="B79" s="1" cm="1" vm="535">
        <f t="array" aca="1" ref="B79" ca="1">_FV(Table2[[#This Row],[Country]],"Calling code",TRUE)</f>
        <v>248</v>
      </c>
      <c r="C79" s="1" cm="1" vm="536">
        <f t="array" aca="1" ref="C79" ca="1">_FV(Table2[[#This Row],[Country]],"GDP")</f>
        <v>1698843062.76141</v>
      </c>
      <c r="D79" s="1" t="str" cm="1">
        <f t="array" aca="1" ref="D79" ca="1">_FV(Table2[[#This Row],[Country]],"National anthem",TRUE)</f>
        <v>Koste Seselwa</v>
      </c>
      <c r="E79" s="1" t="e" cm="1" vm="537">
        <f t="array" aca="1" ref="E79" ca="1">_FV(Table2[[#This Row],[Country]],"Largest city",TRUE)</f>
        <v>#VALUE!</v>
      </c>
      <c r="F79" s="1" t="e" cm="1" vm="538">
        <f t="array" aca="1" ref="F79" ca="1">_FV(Table2[[#This Row],[Country]],"Image")</f>
        <v>#VALUE!</v>
      </c>
      <c r="G79" s="1" t="e" cm="1" vm="537">
        <f t="array" aca="1" ref="G79" ca="1">_FV(Table2[[#This Row],[Country]],"Capital/Major City",TRUE)</f>
        <v>#VALUE!</v>
      </c>
      <c r="H79" s="1" t="str" cm="1">
        <f t="array" aca="1" ref="H79" ca="1">_xlfn.ARRAYTOTEXT(_FV(Table2[[#This Row],[Country]],"Leader(s)",TRUE))</f>
        <v>Wavel Ramkalawan (President), Ahmed Afif (Vice president)</v>
      </c>
      <c r="K79" s="3" t="e" vm="539">
        <v>#VALUE!</v>
      </c>
      <c r="L79" s="6" cm="1">
        <f t="array" aca="1" ref="L79" ca="1">_FV(Table3[[#This Row],[Currency Pair]],"52 week high",TRUE)</f>
        <v>0.27239999999999998</v>
      </c>
      <c r="M79" s="6" cm="1">
        <f t="array" aca="1" ref="M79" ca="1">_FV(Table3[[#This Row],[Currency Pair]],"52 week low",TRUE)</f>
        <v>0.2722</v>
      </c>
      <c r="N79" s="6" cm="1">
        <f t="array" aca="1" ref="N79" ca="1">_FV(Table3[[#This Row],[Currency Pair]],"Price")</f>
        <v>0.27229999999999999</v>
      </c>
      <c r="O79" s="5" t="str" cm="1">
        <f t="array" aca="1" ref="O79" ca="1">_FV(Table3[[#This Row],[Currency Pair]],"Instrument type",TRUE)</f>
        <v>Currency Pair</v>
      </c>
      <c r="P79" s="5" t="str" cm="1">
        <f t="array" aca="1" ref="P79" ca="1">_FV(Table3[[#This Row],[Currency Pair]],"Ticker symbol",TRUE)</f>
        <v>AEDUSD</v>
      </c>
      <c r="Q79" s="5" cm="1">
        <f t="array" aca="1" ref="Q79" ca="1">_FV(Table3[[#This Row],[Currency Pair]],"Change (%)",TRUE)</f>
        <v>-2.5709999999999999E-5</v>
      </c>
      <c r="R79" s="5" cm="1">
        <f t="array" aca="1" ref="R79" ca="1">_FV(Table3[[#This Row],[Currency Pair]],"Last trade time",TRUE)</f>
        <v>45957.216886574075</v>
      </c>
      <c r="W79" s="3" t="s">
        <v>42</v>
      </c>
      <c r="X79" s="4" t="e" cm="1" vm="384">
        <f t="array" ref="X79">_FV(Table4[[#This Row],[Company]],"52 week high",TRUE)</f>
        <v>#VALUE!</v>
      </c>
      <c r="Y79" s="4" t="e" cm="1" vm="421">
        <f t="array" ref="Y79">_FV(Table4[[#This Row],[Company]],"Change")</f>
        <v>#VALUE!</v>
      </c>
      <c r="Z79" s="4" t="e" cm="1" vm="422">
        <f t="array" ref="Z79">_FV(Table4[[#This Row],[Company]],"Headquarters")</f>
        <v>#VALUE!</v>
      </c>
      <c r="AA79" s="4" t="e" cm="1" vm="423">
        <f t="array" ref="AA79">_FV(Table4[[#This Row],[Company]],"Employees")</f>
        <v>#VALUE!</v>
      </c>
      <c r="AB79" s="4" t="e" cm="1" vm="424">
        <f t="array" ref="AB79">_FV(Table4[[#This Row],[Company]],"Official name",TRUE)</f>
        <v>#VALUE!</v>
      </c>
      <c r="AC79" s="4" t="e" cm="1" vm="425">
        <f t="array" ref="AC79">_FV(Table4[[#This Row],[Company]],"Industry")</f>
        <v>#VALUE!</v>
      </c>
      <c r="AD79" s="4" t="e" cm="1" vm="426">
        <f t="array" ref="AD79">_FV(Table4[[#This Row],[Company]],"Year incorporated",TRUE)</f>
        <v>#VALUE!</v>
      </c>
      <c r="AE79" s="4" t="e" cm="1" vm="385">
        <f t="array" ref="AE79">_FV(Table4[[#This Row],[Company]],"52 week low",TRUE)</f>
        <v>#VALUE!</v>
      </c>
      <c r="AF79" s="4" t="e" cm="1" vm="422">
        <f t="array" ref="AF79">_FV(Table4[[#This Row],[Company]],"Headquarters")</f>
        <v>#VALUE!</v>
      </c>
      <c r="AG79" s="4" t="e" cm="1" vm="115">
        <f t="array" ref="AG79">_FV(Table4[[#This Row],[Company]],"Low")</f>
        <v>#VALUE!</v>
      </c>
    </row>
    <row r="80" spans="1:33" x14ac:dyDescent="0.4">
      <c r="A80" s="1" t="e" vm="540">
        <v>#VALUE!</v>
      </c>
      <c r="B80" s="1" cm="1" vm="541">
        <f t="array" aca="1" ref="B80" ca="1">_FV(Table2[[#This Row],[Country]],"Calling code",TRUE)</f>
        <v>232</v>
      </c>
      <c r="C80" s="1" cm="1" vm="542">
        <f t="array" aca="1" ref="C80" ca="1">_FV(Table2[[#This Row],[Country]],"GDP")</f>
        <v>3941474310.7691302</v>
      </c>
      <c r="D80" s="1" t="str" cm="1">
        <f t="array" aca="1" ref="D80" ca="1">_FV(Table2[[#This Row],[Country]],"National anthem",TRUE)</f>
        <v>High We Exalt Thee, Realm of the Free</v>
      </c>
      <c r="E80" s="1" t="e" cm="1" vm="543">
        <f t="array" aca="1" ref="E80" ca="1">_FV(Table2[[#This Row],[Country]],"Largest city",TRUE)</f>
        <v>#VALUE!</v>
      </c>
      <c r="F80" s="1" t="e" cm="1" vm="544">
        <f t="array" aca="1" ref="F80" ca="1">_FV(Table2[[#This Row],[Country]],"Image")</f>
        <v>#VALUE!</v>
      </c>
      <c r="G80" s="1" t="e" cm="1" vm="543">
        <f t="array" aca="1" ref="G80" ca="1">_FV(Table2[[#This Row],[Country]],"Capital/Major City",TRUE)</f>
        <v>#VALUE!</v>
      </c>
      <c r="H80" s="1" t="str" cm="1">
        <f t="array" aca="1" ref="H80" ca="1">_xlfn.ARRAYTOTEXT(_FV(Table2[[#This Row],[Country]],"Leader(s)",TRUE))</f>
        <v>Julius Maada Bio (President), Mohamed Juldeh Jalloh (Vice president), David Moinina Sengeh (Chief minister)</v>
      </c>
      <c r="K80" s="3" t="e" vm="545">
        <v>#VALUE!</v>
      </c>
      <c r="L80" s="40" cm="1">
        <f t="array" aca="1" ref="L80" ca="1">_FV(Table3[[#This Row],[Currency Pair]],"52 week high",TRUE)</f>
        <v>0.37740000000000001</v>
      </c>
      <c r="M80" s="40" cm="1">
        <f t="array" aca="1" ref="M80" ca="1">_FV(Table3[[#This Row],[Currency Pair]],"52 week low",TRUE)</f>
        <v>0.37619999999999998</v>
      </c>
      <c r="N80" s="40" cm="1">
        <f t="array" aca="1" ref="N80" ca="1">_FV(Table3[[#This Row],[Currency Pair]],"Price")</f>
        <v>0.377</v>
      </c>
      <c r="O80" s="5" t="str" cm="1">
        <f t="array" aca="1" ref="O80" ca="1">_FV(Table3[[#This Row],[Currency Pair]],"Instrument type",TRUE)</f>
        <v>Currency Pair</v>
      </c>
      <c r="P80" s="5" t="str" cm="1">
        <f t="array" aca="1" ref="P80" ca="1">_FV(Table3[[#This Row],[Currency Pair]],"Ticker symbol",TRUE)</f>
        <v>USDBHD</v>
      </c>
      <c r="Q80" s="5" cm="1">
        <f t="array" aca="1" ref="Q80" ca="1">_FV(Table3[[#This Row],[Currency Pair]],"Change (%)",TRUE)</f>
        <v>0</v>
      </c>
      <c r="R80" s="5" cm="1">
        <f t="array" aca="1" ref="R80" ca="1">_FV(Table3[[#This Row],[Currency Pair]],"Last trade time",TRUE)</f>
        <v>45957.217731481483</v>
      </c>
      <c r="W80" s="3" t="s">
        <v>43</v>
      </c>
      <c r="X80" s="4" t="e" cm="1" vm="384">
        <f t="array" ref="X80">_FV(Table4[[#This Row],[Company]],"52 week high",TRUE)</f>
        <v>#VALUE!</v>
      </c>
      <c r="Y80" s="4" t="e" cm="1" vm="421">
        <f t="array" ref="Y80">_FV(Table4[[#This Row],[Company]],"Change")</f>
        <v>#VALUE!</v>
      </c>
      <c r="Z80" s="4" t="e" cm="1" vm="422">
        <f t="array" ref="Z80">_FV(Table4[[#This Row],[Company]],"Headquarters")</f>
        <v>#VALUE!</v>
      </c>
      <c r="AA80" s="4" t="e" cm="1" vm="423">
        <f t="array" ref="AA80">_FV(Table4[[#This Row],[Company]],"Employees")</f>
        <v>#VALUE!</v>
      </c>
      <c r="AB80" s="4" t="e" cm="1" vm="424">
        <f t="array" ref="AB80">_FV(Table4[[#This Row],[Company]],"Official name",TRUE)</f>
        <v>#VALUE!</v>
      </c>
      <c r="AC80" s="4" t="e" cm="1" vm="425">
        <f t="array" ref="AC80">_FV(Table4[[#This Row],[Company]],"Industry")</f>
        <v>#VALUE!</v>
      </c>
      <c r="AD80" s="4" t="e" cm="1" vm="426">
        <f t="array" ref="AD80">_FV(Table4[[#This Row],[Company]],"Year incorporated",TRUE)</f>
        <v>#VALUE!</v>
      </c>
      <c r="AE80" s="4" t="e" cm="1" vm="385">
        <f t="array" ref="AE80">_FV(Table4[[#This Row],[Company]],"52 week low",TRUE)</f>
        <v>#VALUE!</v>
      </c>
      <c r="AF80" s="4" t="e" cm="1" vm="422">
        <f t="array" ref="AF80">_FV(Table4[[#This Row],[Company]],"Headquarters")</f>
        <v>#VALUE!</v>
      </c>
      <c r="AG80" s="4" t="e" cm="1" vm="115">
        <f t="array" ref="AG80">_FV(Table4[[#This Row],[Company]],"Low")</f>
        <v>#VALUE!</v>
      </c>
    </row>
    <row r="81" spans="1:18" x14ac:dyDescent="0.4">
      <c r="A81" s="1" t="e" vm="546">
        <v>#VALUE!</v>
      </c>
      <c r="B81" s="1" cm="1" vm="547">
        <f t="array" aca="1" ref="B81" ca="1">_FV(Table2[[#This Row],[Country]],"Calling code",TRUE)</f>
        <v>65</v>
      </c>
      <c r="C81" s="1" cm="1" vm="548">
        <f t="array" aca="1" ref="C81" ca="1">_FV(Table2[[#This Row],[Country]],"GDP")</f>
        <v>372062527488.638</v>
      </c>
      <c r="D81" s="1" t="str" cm="1">
        <f t="array" aca="1" ref="D81" ca="1">_FV(Table2[[#This Row],[Country]],"National anthem",TRUE)</f>
        <v>Majulah Singapura</v>
      </c>
      <c r="E81" s="1" t="e" cm="1" vm="216">
        <f t="array" ref="E81">_FV(Table2[[#This Row],[Country]],"Largest city",TRUE)</f>
        <v>#VALUE!</v>
      </c>
      <c r="F81" s="1" t="e" cm="1" vm="549">
        <f t="array" aca="1" ref="F81" ca="1">_FV(Table2[[#This Row],[Country]],"Image")</f>
        <v>#VALUE!</v>
      </c>
      <c r="G81" s="1" t="e" cm="1" vm="403">
        <f t="array" aca="1" ref="G81" ca="1">_FV(Table2[[#This Row],[Country]],"Capital/Major City",TRUE)</f>
        <v>#VALUE!</v>
      </c>
      <c r="H81" s="1" t="str" cm="1">
        <f t="array" aca="1" ref="H81" ca="1">_xlfn.ARRAYTOTEXT(_FV(Table2[[#This Row],[Country]],"Leader(s)",TRUE))</f>
        <v>Tharman Shanmugaratnam (President), Lee Hsien Loong (Prime minister)</v>
      </c>
      <c r="K81" s="3" t="e" vm="550">
        <v>#VALUE!</v>
      </c>
      <c r="L81" s="6" cm="1">
        <f t="array" aca="1" ref="L81" ca="1">_FV(Table3[[#This Row],[Currency Pair]],"52 week high",TRUE)</f>
        <v>2.6534</v>
      </c>
      <c r="M81" s="6" cm="1">
        <f t="array" aca="1" ref="M81" ca="1">_FV(Table3[[#This Row],[Currency Pair]],"52 week low",TRUE)</f>
        <v>2.6478000000000002</v>
      </c>
      <c r="N81" s="6" cm="1">
        <f t="array" aca="1" ref="N81" ca="1">_FV(Table3[[#This Row],[Currency Pair]],"Price")</f>
        <v>2.6524999999999999</v>
      </c>
      <c r="O81" s="5" t="str" cm="1">
        <f t="array" aca="1" ref="O81" ca="1">_FV(Table3[[#This Row],[Currency Pair]],"Instrument type",TRUE)</f>
        <v>Currency Pair</v>
      </c>
      <c r="P81" s="5" t="str" cm="1">
        <f t="array" aca="1" ref="P81" ca="1">_FV(Table3[[#This Row],[Currency Pair]],"Ticker symbol",TRUE)</f>
        <v>BHDUSD</v>
      </c>
      <c r="Q81" s="5" cm="1">
        <f t="array" aca="1" ref="Q81" ca="1">_FV(Table3[[#This Row],[Currency Pair]],"Change (%)",TRUE)</f>
        <v>0</v>
      </c>
      <c r="R81" s="5" cm="1">
        <f t="array" aca="1" ref="R81" ca="1">_FV(Table3[[#This Row],[Currency Pair]],"Last trade time",TRUE)</f>
        <v>45957.217731481483</v>
      </c>
    </row>
    <row r="82" spans="1:18" x14ac:dyDescent="0.4">
      <c r="A82" s="1" t="e" vm="551">
        <v>#VALUE!</v>
      </c>
      <c r="B82" s="1" cm="1" vm="552">
        <f t="array" aca="1" ref="B82" ca="1">_FV(Table2[[#This Row],[Country]],"Calling code",TRUE)</f>
        <v>421</v>
      </c>
      <c r="C82" s="1" cm="1" vm="553">
        <f t="array" aca="1" ref="C82" ca="1">_FV(Table2[[#This Row],[Country]],"GDP")</f>
        <v>105422304975.576</v>
      </c>
      <c r="D82" s="1" t="str" cm="1">
        <f t="array" aca="1" ref="D82" ca="1">_FV(Table2[[#This Row],[Country]],"National anthem",TRUE)</f>
        <v>Nad Tatrou sa blýska</v>
      </c>
      <c r="E82" s="1" t="e" cm="1" vm="554">
        <f t="array" aca="1" ref="E82" ca="1">_FV(Table2[[#This Row],[Country]],"Largest city",TRUE)</f>
        <v>#VALUE!</v>
      </c>
      <c r="F82" s="1" t="e" cm="1" vm="555">
        <f t="array" aca="1" ref="F82" ca="1">_FV(Table2[[#This Row],[Country]],"Image")</f>
        <v>#VALUE!</v>
      </c>
      <c r="G82" s="1" t="e" cm="1" vm="554">
        <f t="array" aca="1" ref="G82" ca="1">_FV(Table2[[#This Row],[Country]],"Capital/Major City",TRUE)</f>
        <v>#VALUE!</v>
      </c>
      <c r="H82" s="1" t="str" cm="1">
        <f t="array" aca="1" ref="H82" ca="1">_xlfn.ARRAYTOTEXT(_FV(Table2[[#This Row],[Country]],"Leader(s)",TRUE))</f>
        <v>Zuzana Čaputová (President), Ľudovít Ódor (Prime minister)</v>
      </c>
      <c r="K82" s="3" t="e" vm="556">
        <v>#VALUE!</v>
      </c>
      <c r="L82" s="41" cm="1">
        <f t="array" aca="1" ref="L82" ca="1">_FV(Table3[[#This Row],[Currency Pair]],"52 week high",TRUE)</f>
        <v>0.70989999999999998</v>
      </c>
      <c r="M82" s="41" cm="1">
        <f t="array" aca="1" ref="M82" ca="1">_FV(Table3[[#This Row],[Currency Pair]],"52 week low",TRUE)</f>
        <v>0.70650000000000002</v>
      </c>
      <c r="N82" s="41" cm="1">
        <f t="array" aca="1" ref="N82" ca="1">_FV(Table3[[#This Row],[Currency Pair]],"Price")</f>
        <v>0.70799999999999996</v>
      </c>
      <c r="O82" s="5" t="str" cm="1">
        <f t="array" aca="1" ref="O82" ca="1">_FV(Table3[[#This Row],[Currency Pair]],"Instrument type",TRUE)</f>
        <v>Currency Pair</v>
      </c>
      <c r="P82" s="5" t="str" cm="1">
        <f t="array" aca="1" ref="P82" ca="1">_FV(Table3[[#This Row],[Currency Pair]],"Ticker symbol",TRUE)</f>
        <v>USDJOD</v>
      </c>
      <c r="Q82" s="5" cm="1">
        <f t="array" aca="1" ref="Q82" ca="1">_FV(Table3[[#This Row],[Currency Pair]],"Change (%)",TRUE)</f>
        <v>0</v>
      </c>
      <c r="R82" s="5" cm="1">
        <f t="array" aca="1" ref="R82" ca="1">_FV(Table3[[#This Row],[Currency Pair]],"Last trade time",TRUE)</f>
        <v>45957.21775462963</v>
      </c>
    </row>
    <row r="83" spans="1:18" x14ac:dyDescent="0.4">
      <c r="A83" s="1" t="e" vm="557">
        <v>#VALUE!</v>
      </c>
      <c r="B83" s="1" cm="1" vm="558">
        <f t="array" aca="1" ref="B83" ca="1">_FV(Table2[[#This Row],[Country]],"Calling code",TRUE)</f>
        <v>386</v>
      </c>
      <c r="C83" s="1" cm="1" vm="559">
        <f t="array" aca="1" ref="C83" ca="1">_FV(Table2[[#This Row],[Country]],"GDP")</f>
        <v>53742159516.927803</v>
      </c>
      <c r="D83" s="1" t="str" cm="1">
        <f t="array" aca="1" ref="D83" ca="1">_FV(Table2[[#This Row],[Country]],"National anthem",TRUE)</f>
        <v>National anthem of Slovenia</v>
      </c>
      <c r="E83" s="1" t="e" cm="1" vm="560">
        <f t="array" aca="1" ref="E83" ca="1">_FV(Table2[[#This Row],[Country]],"Largest city",TRUE)</f>
        <v>#VALUE!</v>
      </c>
      <c r="F83" s="1" t="e" cm="1" vm="561">
        <f t="array" aca="1" ref="F83" ca="1">_FV(Table2[[#This Row],[Country]],"Image")</f>
        <v>#VALUE!</v>
      </c>
      <c r="G83" s="1" t="e" cm="1" vm="560">
        <f t="array" aca="1" ref="G83" ca="1">_FV(Table2[[#This Row],[Country]],"Capital/Major City",TRUE)</f>
        <v>#VALUE!</v>
      </c>
      <c r="H83" s="1" t="str" cm="1">
        <f t="array" aca="1" ref="H83" ca="1">_xlfn.ARRAYTOTEXT(_FV(Table2[[#This Row],[Country]],"Leader(s)",TRUE))</f>
        <v>Nataša Pirc Musar (President), Robert Golob (Prime minister)</v>
      </c>
      <c r="K83" s="3" t="e" vm="562">
        <v>#VALUE!</v>
      </c>
      <c r="L83" s="6" cm="1">
        <f t="array" aca="1" ref="L83" ca="1">_FV(Table3[[#This Row],[Currency Pair]],"52 week high",TRUE)</f>
        <v>1.4124000000000001</v>
      </c>
      <c r="M83" s="6" cm="1">
        <f t="array" aca="1" ref="M83" ca="1">_FV(Table3[[#This Row],[Currency Pair]],"52 week low",TRUE)</f>
        <v>1.4036999999999999</v>
      </c>
      <c r="N83" s="6" cm="1">
        <f t="array" aca="1" ref="N83" ca="1">_FV(Table3[[#This Row],[Currency Pair]],"Price")</f>
        <v>1.4085000000000001</v>
      </c>
      <c r="O83" s="5" t="str" cm="1">
        <f t="array" aca="1" ref="O83" ca="1">_FV(Table3[[#This Row],[Currency Pair]],"Instrument type",TRUE)</f>
        <v>Currency Pair</v>
      </c>
      <c r="P83" s="5" t="str" cm="1">
        <f t="array" aca="1" ref="P83" ca="1">_FV(Table3[[#This Row],[Currency Pair]],"Ticker symbol",TRUE)</f>
        <v>JODUSD</v>
      </c>
      <c r="Q83" s="5" cm="1">
        <f t="array" aca="1" ref="Q83" ca="1">_FV(Table3[[#This Row],[Currency Pair]],"Change (%)",TRUE)</f>
        <v>0</v>
      </c>
      <c r="R83" s="5" cm="1">
        <f t="array" aca="1" ref="R83" ca="1">_FV(Table3[[#This Row],[Currency Pair]],"Last trade time",TRUE)</f>
        <v>45957.21775462963</v>
      </c>
    </row>
    <row r="84" spans="1:18" x14ac:dyDescent="0.4">
      <c r="A84" s="1" t="e" vm="563">
        <v>#VALUE!</v>
      </c>
      <c r="B84" s="1" cm="1" vm="564">
        <f t="array" aca="1" ref="B84" ca="1">_FV(Table2[[#This Row],[Country]],"Calling code",TRUE)</f>
        <v>677</v>
      </c>
      <c r="C84" s="1" cm="1" vm="565">
        <f t="array" aca="1" ref="C84" ca="1">_FV(Table2[[#This Row],[Country]],"GDP")</f>
        <v>1425074225.7779801</v>
      </c>
      <c r="D84" s="1" t="str" cm="1">
        <f t="array" aca="1" ref="D84" ca="1">_FV(Table2[[#This Row],[Country]],"National anthem",TRUE)</f>
        <v>God Save Our Solomon Islands</v>
      </c>
      <c r="E84" s="1" t="e" cm="1" vm="566">
        <f t="array" aca="1" ref="E84" ca="1">_FV(Table2[[#This Row],[Country]],"Largest city",TRUE)</f>
        <v>#VALUE!</v>
      </c>
      <c r="F84" s="1" t="e" cm="1" vm="567">
        <f t="array" aca="1" ref="F84" ca="1">_FV(Table2[[#This Row],[Country]],"Image")</f>
        <v>#VALUE!</v>
      </c>
      <c r="G84" s="1" t="e" cm="1" vm="566">
        <f t="array" aca="1" ref="G84" ca="1">_FV(Table2[[#This Row],[Country]],"Capital/Major City",TRUE)</f>
        <v>#VALUE!</v>
      </c>
      <c r="H84" s="1" t="str" cm="1">
        <f t="array" aca="1" ref="H84" ca="1">_xlfn.ARRAYTOTEXT(_FV(Table2[[#This Row],[Country]],"Leader(s)",TRUE))</f>
        <v>Charles III (Monarch), Manasseh Sogavare (Prime minister)</v>
      </c>
      <c r="K84" s="3" t="e" vm="568">
        <v>#VALUE!</v>
      </c>
      <c r="L84" s="42" cm="1">
        <f t="array" aca="1" ref="L84" ca="1">_FV(Table3[[#This Row],[Currency Pair]],"52 week high",TRUE)</f>
        <v>5.5475000000000003</v>
      </c>
      <c r="M84" s="42" cm="1">
        <f t="array" aca="1" ref="M84" ca="1">_FV(Table3[[#This Row],[Currency Pair]],"52 week low",TRUE)</f>
        <v>4.79</v>
      </c>
      <c r="N84" s="42" cm="1">
        <f t="array" aca="1" ref="N84" ca="1">_FV(Table3[[#This Row],[Currency Pair]],"Price")</f>
        <v>5.4249999999999998</v>
      </c>
      <c r="O84" s="5" t="str" cm="1">
        <f t="array" aca="1" ref="O84" ca="1">_FV(Table3[[#This Row],[Currency Pair]],"Instrument type",TRUE)</f>
        <v>Currency Pair</v>
      </c>
      <c r="P84" s="5" t="str" cm="1">
        <f t="array" aca="1" ref="P84" ca="1">_FV(Table3[[#This Row],[Currency Pair]],"Ticker symbol",TRUE)</f>
        <v>USDLYD</v>
      </c>
      <c r="Q84" s="5" cm="1">
        <f t="array" aca="1" ref="Q84" ca="1">_FV(Table3[[#This Row],[Currency Pair]],"Change (%)",TRUE)</f>
        <v>0</v>
      </c>
      <c r="R84" s="5" cm="1">
        <f t="array" aca="1" ref="R84" ca="1">_FV(Table3[[#This Row],[Currency Pair]],"Last trade time",TRUE)</f>
        <v>45957.145775462966</v>
      </c>
    </row>
    <row r="85" spans="1:18" x14ac:dyDescent="0.4">
      <c r="A85" s="1" t="e" vm="569">
        <v>#VALUE!</v>
      </c>
      <c r="B85" s="1" cm="1" vm="570">
        <f t="array" aca="1" ref="B85" ca="1">_FV(Table2[[#This Row],[Country]],"Calling code",TRUE)</f>
        <v>252</v>
      </c>
      <c r="C85" s="1" cm="1" vm="571">
        <f t="array" aca="1" ref="C85" ca="1">_FV(Table2[[#This Row],[Country]],"GDP")</f>
        <v>4720727278.1883297</v>
      </c>
      <c r="D85" s="1" t="str" cm="1">
        <f t="array" aca="1" ref="D85" ca="1">_FV(Table2[[#This Row],[Country]],"National anthem",TRUE)</f>
        <v>Qolobaa Calankeed</v>
      </c>
      <c r="E85" s="1" t="e" cm="1" vm="572">
        <f t="array" aca="1" ref="E85" ca="1">_FV(Table2[[#This Row],[Country]],"Largest city",TRUE)</f>
        <v>#VALUE!</v>
      </c>
      <c r="F85" s="1" t="e" cm="1" vm="573">
        <f t="array" aca="1" ref="F85" ca="1">_FV(Table2[[#This Row],[Country]],"Image")</f>
        <v>#VALUE!</v>
      </c>
      <c r="G85" s="1" t="e" cm="1" vm="572">
        <f t="array" aca="1" ref="G85" ca="1">_FV(Table2[[#This Row],[Country]],"Capital/Major City",TRUE)</f>
        <v>#VALUE!</v>
      </c>
      <c r="H85" s="1" t="str" cm="1">
        <f t="array" aca="1" ref="H85" ca="1">_xlfn.ARRAYTOTEXT(_FV(Table2[[#This Row],[Country]],"Leader(s)",TRUE))</f>
        <v>Hassan Sheikh Mohamud (President), Hamza Abdi Barre (Prime minister), Aden Madobe (Speaker)</v>
      </c>
      <c r="K85" s="3" t="e" vm="574">
        <v>#VALUE!</v>
      </c>
      <c r="L85" s="6" cm="1">
        <f t="array" aca="1" ref="L85" ca="1">_FV(Table3[[#This Row],[Currency Pair]],"52 week high",TRUE)</f>
        <v>0.20749999999999999</v>
      </c>
      <c r="M85" s="6" cm="1">
        <f t="array" aca="1" ref="M85" ca="1">_FV(Table3[[#This Row],[Currency Pair]],"52 week low",TRUE)</f>
        <v>0.17860000000000001</v>
      </c>
      <c r="N85" s="6" cm="1">
        <f t="array" aca="1" ref="N85" ca="1">_FV(Table3[[#This Row],[Currency Pair]],"Price")</f>
        <v>0.18340000000000001</v>
      </c>
      <c r="O85" s="5" t="str" cm="1">
        <f t="array" aca="1" ref="O85" ca="1">_FV(Table3[[#This Row],[Currency Pair]],"Instrument type",TRUE)</f>
        <v>Currency Pair</v>
      </c>
      <c r="P85" s="5" t="str" cm="1">
        <f t="array" aca="1" ref="P85" ca="1">_FV(Table3[[#This Row],[Currency Pair]],"Ticker symbol",TRUE)</f>
        <v>LYDUSD</v>
      </c>
      <c r="Q85" s="5" cm="1">
        <f t="array" aca="1" ref="Q85" ca="1">_FV(Table3[[#This Row],[Currency Pair]],"Change (%)",TRUE)</f>
        <v>0</v>
      </c>
      <c r="R85" s="5" cm="1">
        <f t="array" aca="1" ref="R85" ca="1">_FV(Table3[[#This Row],[Currency Pair]],"Last trade time",TRUE)</f>
        <v>45957.145775462966</v>
      </c>
    </row>
    <row r="86" spans="1:18" x14ac:dyDescent="0.4">
      <c r="A86" s="1" t="e" vm="575">
        <v>#VALUE!</v>
      </c>
      <c r="B86" s="1" cm="1" vm="576">
        <f t="array" aca="1" ref="B86" ca="1">_FV(Table2[[#This Row],[Country]],"Calling code",TRUE)</f>
        <v>27</v>
      </c>
      <c r="C86" s="1" cm="1" vm="577">
        <f t="array" aca="1" ref="C86" ca="1">_FV(Table2[[#This Row],[Country]],"GDP")</f>
        <v>351431649241.43903</v>
      </c>
      <c r="D86" s="1" t="str" cm="1">
        <f t="array" aca="1" ref="D86" ca="1">_FV(Table2[[#This Row],[Country]],"National anthem",TRUE)</f>
        <v>National anthem of South Africa</v>
      </c>
      <c r="E86" s="1" t="e" cm="1" vm="578">
        <f t="array" aca="1" ref="E86" ca="1">_FV(Table2[[#This Row],[Country]],"Largest city",TRUE)</f>
        <v>#VALUE!</v>
      </c>
      <c r="F86" s="1" t="e" cm="1" vm="579">
        <f t="array" aca="1" ref="F86" ca="1">_FV(Table2[[#This Row],[Country]],"Image")</f>
        <v>#VALUE!</v>
      </c>
      <c r="G86" s="1" t="e" cm="1" vm="580">
        <f t="array" aca="1" ref="G86" ca="1">_FV(Table2[[#This Row],[Country]],"Capital/Major City",TRUE)</f>
        <v>#VALUE!</v>
      </c>
      <c r="H86" s="1" t="str" cm="1">
        <f t="array" aca="1" ref="H86" ca="1">_xlfn.ARRAYTOTEXT(_FV(Table2[[#This Row],[Country]],"Leader(s)",TRUE))</f>
        <v>Cyril Ramaphosa (President), Ray Zondo (Chief justice)</v>
      </c>
      <c r="K86" s="3" t="e" vm="581">
        <v>#VALUE!</v>
      </c>
      <c r="L86" s="43" cm="1">
        <f t="array" aca="1" ref="L86" ca="1">_FV(Table3[[#This Row],[Currency Pair]],"52 week high",TRUE)</f>
        <v>10.144</v>
      </c>
      <c r="M86" s="43" cm="1">
        <f t="array" aca="1" ref="M86" ca="1">_FV(Table3[[#This Row],[Currency Pair]],"52 week low",TRUE)</f>
        <v>8.9354999999999993</v>
      </c>
      <c r="N86" s="43" cm="1">
        <f t="array" aca="1" ref="N86" ca="1">_FV(Table3[[#This Row],[Currency Pair]],"Price")</f>
        <v>9.2138000000000009</v>
      </c>
      <c r="O86" s="5" t="str" cm="1">
        <f t="array" aca="1" ref="O86" ca="1">_FV(Table3[[#This Row],[Currency Pair]],"Instrument type",TRUE)</f>
        <v>Currency Pair</v>
      </c>
      <c r="P86" s="5" t="str" cm="1">
        <f t="array" aca="1" ref="P86" ca="1">_FV(Table3[[#This Row],[Currency Pair]],"Ticker symbol",TRUE)</f>
        <v>USDMAD</v>
      </c>
      <c r="Q86" s="5" cm="1">
        <f t="array" aca="1" ref="Q86" ca="1">_FV(Table3[[#This Row],[Currency Pair]],"Change (%)",TRUE)</f>
        <v>-2.0579999999999999E-3</v>
      </c>
      <c r="R86" s="5" cm="1">
        <f t="array" aca="1" ref="R86" ca="1">_FV(Table3[[#This Row],[Currency Pair]],"Last trade time",TRUE)</f>
        <v>45954.876111111109</v>
      </c>
    </row>
    <row r="87" spans="1:18" x14ac:dyDescent="0.4">
      <c r="A87" s="1" t="e" vm="582">
        <v>#VALUE!</v>
      </c>
      <c r="B87" s="1" cm="1" vm="583">
        <f t="array" aca="1" ref="B87" ca="1">_FV(Table2[[#This Row],[Country]],"Calling code",TRUE)</f>
        <v>82</v>
      </c>
      <c r="C87" s="1" cm="1" vm="584">
        <f t="array" aca="1" ref="C87" ca="1">_FV(Table2[[#This Row],[Country]],"GDP")</f>
        <v>2029000000000</v>
      </c>
      <c r="D87" s="1" t="str" cm="1">
        <f t="array" aca="1" ref="D87" ca="1">_FV(Table2[[#This Row],[Country]],"National anthem",TRUE)</f>
        <v>Aegukga</v>
      </c>
      <c r="E87" s="1" t="e" cm="1" vm="585">
        <f t="array" aca="1" ref="E87" ca="1">_FV(Table2[[#This Row],[Country]],"Largest city",TRUE)</f>
        <v>#VALUE!</v>
      </c>
      <c r="F87" s="1" t="e" cm="1" vm="586">
        <f t="array" aca="1" ref="F87" ca="1">_FV(Table2[[#This Row],[Country]],"Image")</f>
        <v>#VALUE!</v>
      </c>
      <c r="G87" s="1" t="e" cm="1" vm="585">
        <f t="array" aca="1" ref="G87" ca="1">_FV(Table2[[#This Row],[Country]],"Capital/Major City",TRUE)</f>
        <v>#VALUE!</v>
      </c>
      <c r="H87" s="1" t="str" cm="1">
        <f t="array" aca="1" ref="H87" ca="1">_xlfn.ARRAYTOTEXT(_FV(Table2[[#This Row],[Country]],"Leader(s)",TRUE))</f>
        <v>Yoon Suk Yeol (President), Han Duck-soo (Prime minister)</v>
      </c>
      <c r="K87" s="3" t="e" vm="587">
        <v>#VALUE!</v>
      </c>
      <c r="L87" s="6" cm="1">
        <f t="array" aca="1" ref="L87" ca="1">_FV(Table3[[#This Row],[Currency Pair]],"52 week high",TRUE)</f>
        <v>0.1119</v>
      </c>
      <c r="M87" s="6" cm="1">
        <f t="array" aca="1" ref="M87" ca="1">_FV(Table3[[#This Row],[Currency Pair]],"52 week low",TRUE)</f>
        <v>9.8530000000000006E-2</v>
      </c>
      <c r="N87" s="6" cm="1">
        <f t="array" aca="1" ref="N87" ca="1">_FV(Table3[[#This Row],[Currency Pair]],"Price")</f>
        <v>0.10829999999999999</v>
      </c>
      <c r="O87" s="5" t="str" cm="1">
        <f t="array" aca="1" ref="O87" ca="1">_FV(Table3[[#This Row],[Currency Pair]],"Instrument type",TRUE)</f>
        <v>Currency Pair</v>
      </c>
      <c r="P87" s="5" t="str" cm="1">
        <f t="array" aca="1" ref="P87" ca="1">_FV(Table3[[#This Row],[Currency Pair]],"Ticker symbol",TRUE)</f>
        <v>MADUSD</v>
      </c>
      <c r="Q87" s="5" cm="1">
        <f t="array" aca="1" ref="Q87" ca="1">_FV(Table3[[#This Row],[Currency Pair]],"Change (%)",TRUE)</f>
        <v>0</v>
      </c>
      <c r="R87" s="5" cm="1">
        <f t="array" aca="1" ref="R87" ca="1">_FV(Table3[[#This Row],[Currency Pair]],"Last trade time",TRUE)</f>
        <v>45954.876111111109</v>
      </c>
    </row>
    <row r="88" spans="1:18" x14ac:dyDescent="0.4">
      <c r="A88" s="1" t="e" vm="588">
        <v>#VALUE!</v>
      </c>
      <c r="B88" s="1" cm="1" vm="589">
        <f t="array" aca="1" ref="B88" ca="1">_FV(Table2[[#This Row],[Country]],"Calling code",TRUE)</f>
        <v>211</v>
      </c>
      <c r="C88" s="1" cm="1" vm="590">
        <f t="array" aca="1" ref="C88" ca="1">_FV(Table2[[#This Row],[Country]],"GDP")</f>
        <v>11997800751.0613</v>
      </c>
      <c r="D88" s="1" t="str" cm="1">
        <f t="array" aca="1" ref="D88" ca="1">_FV(Table2[[#This Row],[Country]],"National anthem",TRUE)</f>
        <v>South Sudan Oyee!</v>
      </c>
      <c r="E88" s="1" t="e" cm="1" vm="591">
        <f t="array" aca="1" ref="E88" ca="1">_FV(Table2[[#This Row],[Country]],"Largest city",TRUE)</f>
        <v>#VALUE!</v>
      </c>
      <c r="F88" s="1" t="e" cm="1" vm="592">
        <f t="array" aca="1" ref="F88" ca="1">_FV(Table2[[#This Row],[Country]],"Image")</f>
        <v>#VALUE!</v>
      </c>
      <c r="G88" s="1" t="e" cm="1" vm="591">
        <f t="array" aca="1" ref="G88" ca="1">_FV(Table2[[#This Row],[Country]],"Capital/Major City",TRUE)</f>
        <v>#VALUE!</v>
      </c>
      <c r="H88" s="1" t="str" cm="1">
        <f t="array" aca="1" ref="H88" ca="1">_xlfn.ARRAYTOTEXT(_FV(Table2[[#This Row],[Country]],"Leader(s)",TRUE))</f>
        <v>Salva Kiir Mayardit (President), Jemma Nunu Kumba (Speaker), Chan Reec Madut (Chief justice)</v>
      </c>
      <c r="K88" s="3" t="e" vm="593">
        <v>#VALUE!</v>
      </c>
      <c r="L88" s="44" cm="1">
        <f t="array" aca="1" ref="L88" ca="1">_FV(Table3[[#This Row],[Currency Pair]],"52 week high",TRUE)</f>
        <v>136.0926</v>
      </c>
      <c r="M88" s="44" cm="1">
        <f t="array" aca="1" ref="M88" ca="1">_FV(Table3[[#This Row],[Currency Pair]],"52 week low",TRUE)</f>
        <v>128.4521</v>
      </c>
      <c r="N88" s="44" cm="1">
        <f t="array" aca="1" ref="N88" ca="1">_FV(Table3[[#This Row],[Currency Pair]],"Price")</f>
        <v>129.434</v>
      </c>
      <c r="O88" s="5" t="str" cm="1">
        <f t="array" aca="1" ref="O88" ca="1">_FV(Table3[[#This Row],[Currency Pair]],"Instrument type",TRUE)</f>
        <v>Currency Pair</v>
      </c>
      <c r="P88" s="5" t="str" cm="1">
        <f t="array" aca="1" ref="P88" ca="1">_FV(Table3[[#This Row],[Currency Pair]],"Ticker symbol",TRUE)</f>
        <v>USDDZD</v>
      </c>
      <c r="Q88" s="5" cm="1">
        <f t="array" aca="1" ref="Q88" ca="1">_FV(Table3[[#This Row],[Currency Pair]],"Change (%)",TRUE)</f>
        <v>-2.3370000000000001E-3</v>
      </c>
      <c r="R88" s="5" cm="1">
        <f t="array" aca="1" ref="R88" ca="1">_FV(Table3[[#This Row],[Currency Pair]],"Last trade time",TRUE)</f>
        <v>45954.892581018517</v>
      </c>
    </row>
    <row r="89" spans="1:18" x14ac:dyDescent="0.4">
      <c r="A89" s="1" t="e" vm="594">
        <v>#VALUE!</v>
      </c>
      <c r="B89" s="1" cm="1" vm="595">
        <f t="array" aca="1" ref="B89" ca="1">_FV(Table2[[#This Row],[Country]],"Calling code",TRUE)</f>
        <v>34</v>
      </c>
      <c r="C89" s="1" cm="1" vm="596">
        <f t="array" aca="1" ref="C89" ca="1">_FV(Table2[[#This Row],[Country]],"GDP")</f>
        <v>1394116310768.6299</v>
      </c>
      <c r="D89" s="1" t="str" cm="1">
        <f t="array" aca="1" ref="D89" ca="1">_FV(Table2[[#This Row],[Country]],"National anthem",TRUE)</f>
        <v>Marcha Real</v>
      </c>
      <c r="E89" s="1" t="e" cm="1" vm="597">
        <f t="array" aca="1" ref="E89" ca="1">_FV(Table2[[#This Row],[Country]],"Largest city",TRUE)</f>
        <v>#VALUE!</v>
      </c>
      <c r="F89" s="1" t="e" cm="1" vm="598">
        <f t="array" aca="1" ref="F89" ca="1">_FV(Table2[[#This Row],[Country]],"Image")</f>
        <v>#VALUE!</v>
      </c>
      <c r="G89" s="1" t="e" cm="1" vm="597">
        <f t="array" aca="1" ref="G89" ca="1">_FV(Table2[[#This Row],[Country]],"Capital/Major City",TRUE)</f>
        <v>#VALUE!</v>
      </c>
      <c r="H89" s="1" t="str" cm="1">
        <f t="array" aca="1" ref="H89" ca="1">_xlfn.ARRAYTOTEXT(_FV(Table2[[#This Row],[Country]],"Leader(s)",TRUE))</f>
        <v>Felipe VI (Monarch), Pedro Sánchez (Prime minister)</v>
      </c>
      <c r="K89" s="3" t="e" vm="599">
        <v>#VALUE!</v>
      </c>
      <c r="L89" s="6" cm="1">
        <f t="array" aca="1" ref="L89" ca="1">_FV(Table3[[#This Row],[Currency Pair]],"52 week high",TRUE)</f>
        <v>7.7200000000000003E-3</v>
      </c>
      <c r="M89" s="6" cm="1">
        <f t="array" aca="1" ref="M89" ca="1">_FV(Table3[[#This Row],[Currency Pair]],"52 week low",TRUE)</f>
        <v>7.28E-3</v>
      </c>
      <c r="N89" s="6" cm="1">
        <f t="array" aca="1" ref="N89" ca="1">_FV(Table3[[#This Row],[Currency Pair]],"Price")</f>
        <v>7.6299999999999996E-3</v>
      </c>
      <c r="O89" s="5" t="str" cm="1">
        <f t="array" aca="1" ref="O89" ca="1">_FV(Table3[[#This Row],[Currency Pair]],"Instrument type",TRUE)</f>
        <v>Currency Pair</v>
      </c>
      <c r="P89" s="5" t="str" cm="1">
        <f t="array" aca="1" ref="P89" ca="1">_FV(Table3[[#This Row],[Currency Pair]],"Ticker symbol",TRUE)</f>
        <v>DZDUSD</v>
      </c>
      <c r="Q89" s="5" cm="1">
        <f t="array" aca="1" ref="Q89" ca="1">_FV(Table3[[#This Row],[Currency Pair]],"Change (%)",TRUE)</f>
        <v>0</v>
      </c>
      <c r="R89" s="5" cm="1">
        <f t="array" aca="1" ref="R89" ca="1">_FV(Table3[[#This Row],[Currency Pair]],"Last trade time",TRUE)</f>
        <v>45954.892581018517</v>
      </c>
    </row>
    <row r="90" spans="1:18" x14ac:dyDescent="0.4">
      <c r="A90" s="1" t="e" vm="600">
        <v>#VALUE!</v>
      </c>
      <c r="B90" s="1" cm="1" vm="601">
        <f t="array" aca="1" ref="B90" ca="1">_FV(Table2[[#This Row],[Country]],"Calling code",TRUE)</f>
        <v>94</v>
      </c>
      <c r="C90" s="1" cm="1" vm="602">
        <f t="array" aca="1" ref="C90" ca="1">_FV(Table2[[#This Row],[Country]],"GDP")</f>
        <v>84008783756.067993</v>
      </c>
      <c r="D90" s="1" t="str" cm="1">
        <f t="array" aca="1" ref="D90" ca="1">_FV(Table2[[#This Row],[Country]],"National anthem",TRUE)</f>
        <v>Sri Lanka Matha</v>
      </c>
      <c r="E90" s="1" t="e" cm="1" vm="603">
        <f t="array" aca="1" ref="E90" ca="1">_FV(Table2[[#This Row],[Country]],"Largest city",TRUE)</f>
        <v>#VALUE!</v>
      </c>
      <c r="F90" s="1" t="e" cm="1" vm="604">
        <f t="array" aca="1" ref="F90" ca="1">_FV(Table2[[#This Row],[Country]],"Image")</f>
        <v>#VALUE!</v>
      </c>
      <c r="G90" s="1" t="e" cm="1" vm="603">
        <f t="array" aca="1" ref="G90" ca="1">_FV(Table2[[#This Row],[Country]],"Capital/Major City",TRUE)</f>
        <v>#VALUE!</v>
      </c>
      <c r="H90" s="1" t="str" cm="1">
        <f t="array" aca="1" ref="H90" ca="1">_xlfn.ARRAYTOTEXT(_FV(Table2[[#This Row],[Country]],"Leader(s)",TRUE))</f>
        <v>Ranil Wickremesinghe (President), Dinesh Gunawardena (Prime minister), Dinesh Gunawardena (Prime minister), Jayantha Jayasuriya (Chief justice)</v>
      </c>
      <c r="K90" s="3" t="e" vm="605">
        <v>#VALUE!</v>
      </c>
      <c r="L90" s="45" cm="1">
        <f t="array" aca="1" ref="L90" ca="1">_FV(Table3[[#This Row],[Currency Pair]],"52 week high",TRUE)</f>
        <v>799.5</v>
      </c>
      <c r="M90" s="45" cm="1">
        <f t="array" aca="1" ref="M90" ca="1">_FV(Table3[[#This Row],[Currency Pair]],"52 week low",TRUE)</f>
        <v>455</v>
      </c>
      <c r="N90" s="45" cm="1">
        <f t="array" aca="1" ref="N90" ca="1">_FV(Table3[[#This Row],[Currency Pair]],"Price")</f>
        <v>780</v>
      </c>
      <c r="O90" s="5" t="str" cm="1">
        <f t="array" aca="1" ref="O90" ca="1">_FV(Table3[[#This Row],[Currency Pair]],"Instrument type",TRUE)</f>
        <v>Currency Pair</v>
      </c>
      <c r="P90" s="5" t="str" cm="1">
        <f t="array" aca="1" ref="P90" ca="1">_FV(Table3[[#This Row],[Currency Pair]],"Ticker symbol",TRUE)</f>
        <v>USDNGN</v>
      </c>
      <c r="Q90" s="5" cm="1">
        <f t="array" aca="1" ref="Q90" ca="1">_FV(Table3[[#This Row],[Currency Pair]],"Change (%)",TRUE)</f>
        <v>0</v>
      </c>
      <c r="R90" s="5" cm="1">
        <f t="array" aca="1" ref="R90" ca="1">_FV(Table3[[#This Row],[Currency Pair]],"Last trade time",TRUE)</f>
        <v>45223.489560185182</v>
      </c>
    </row>
    <row r="91" spans="1:18" x14ac:dyDescent="0.4">
      <c r="A91" s="1" t="e" vm="606">
        <v>#VALUE!</v>
      </c>
      <c r="B91" s="1" cm="1" vm="607">
        <f t="array" aca="1" ref="B91" ca="1">_FV(Table2[[#This Row],[Country]],"Calling code",TRUE)</f>
        <v>249</v>
      </c>
      <c r="C91" s="1" cm="1" vm="608">
        <f t="array" aca="1" ref="C91" ca="1">_FV(Table2[[#This Row],[Country]],"GDP")</f>
        <v>18902284475.6054</v>
      </c>
      <c r="D91" s="1" t="str" cm="1">
        <f t="array" aca="1" ref="D91" ca="1">_FV(Table2[[#This Row],[Country]],"National anthem",TRUE)</f>
        <v>Nahnu Jund Allah Jund Al-watan</v>
      </c>
      <c r="E91" s="1" t="e" cm="1" vm="609">
        <f t="array" aca="1" ref="E91" ca="1">_FV(Table2[[#This Row],[Country]],"Largest city",TRUE)</f>
        <v>#VALUE!</v>
      </c>
      <c r="F91" s="1" t="e" cm="1" vm="610">
        <f t="array" aca="1" ref="F91" ca="1">_FV(Table2[[#This Row],[Country]],"Image")</f>
        <v>#VALUE!</v>
      </c>
      <c r="G91" s="1" t="e" cm="1" vm="609">
        <f t="array" aca="1" ref="G91" ca="1">_FV(Table2[[#This Row],[Country]],"Capital/Major City",TRUE)</f>
        <v>#VALUE!</v>
      </c>
      <c r="H91" s="1" t="str" cm="1">
        <f t="array" aca="1" ref="H91" ca="1">_xlfn.ARRAYTOTEXT(_FV(Table2[[#This Row],[Country]],"Leader(s)",TRUE))</f>
        <v>Osman Hussein (Prime minister)</v>
      </c>
      <c r="K91" s="3" t="e" vm="611">
        <v>#VALUE!</v>
      </c>
      <c r="L91" s="6" cm="1">
        <f t="array" aca="1" ref="L91" ca="1">_FV(Table3[[#This Row],[Currency Pair]],"52 week high",TRUE)</f>
        <v>6.8999999999999997E-4</v>
      </c>
      <c r="M91" s="6" cm="1">
        <f t="array" aca="1" ref="M91" ca="1">_FV(Table3[[#This Row],[Currency Pair]],"52 week low",TRUE)</f>
        <v>5.6999999999999998E-4</v>
      </c>
      <c r="N91" s="6" cm="1">
        <f t="array" aca="1" ref="N91" ca="1">_FV(Table3[[#This Row],[Currency Pair]],"Price")</f>
        <v>6.8300000000000001E-4</v>
      </c>
      <c r="O91" s="5" t="str" cm="1">
        <f t="array" aca="1" ref="O91" ca="1">_FV(Table3[[#This Row],[Currency Pair]],"Instrument type",TRUE)</f>
        <v>Currency Pair</v>
      </c>
      <c r="P91" s="5" t="str" cm="1">
        <f t="array" aca="1" ref="P91" ca="1">_FV(Table3[[#This Row],[Currency Pair]],"Ticker symbol",TRUE)</f>
        <v>NGNUSD</v>
      </c>
      <c r="Q91" s="5" cm="1">
        <f t="array" aca="1" ref="Q91" ca="1">_FV(Table3[[#This Row],[Currency Pair]],"Change (%)",TRUE)</f>
        <v>-2.9199999999999999E-3</v>
      </c>
      <c r="R91" s="5" cm="1">
        <f t="array" aca="1" ref="R91" ca="1">_FV(Table3[[#This Row],[Currency Pair]],"Last trade time",TRUE)</f>
        <v>45957.21020833333</v>
      </c>
    </row>
    <row r="92" spans="1:18" x14ac:dyDescent="0.4">
      <c r="A92" s="1" t="e" vm="612">
        <v>#VALUE!</v>
      </c>
      <c r="B92" s="1" cm="1" vm="613">
        <f t="array" aca="1" ref="B92" ca="1">_FV(Table2[[#This Row],[Country]],"Calling code",TRUE)</f>
        <v>597</v>
      </c>
      <c r="C92" s="1" cm="1" vm="614">
        <f t="array" aca="1" ref="C92" ca="1">_FV(Table2[[#This Row],[Country]],"GDP")</f>
        <v>3985250737.46313</v>
      </c>
      <c r="D92" s="1" t="str" cm="1">
        <f t="array" aca="1" ref="D92" ca="1">_FV(Table2[[#This Row],[Country]],"National anthem",TRUE)</f>
        <v>God zij met ons Suriname</v>
      </c>
      <c r="E92" s="1" t="e" cm="1" vm="615">
        <f t="array" aca="1" ref="E92" ca="1">_FV(Table2[[#This Row],[Country]],"Largest city",TRUE)</f>
        <v>#VALUE!</v>
      </c>
      <c r="F92" s="1" t="e" cm="1" vm="616">
        <f t="array" aca="1" ref="F92" ca="1">_FV(Table2[[#This Row],[Country]],"Image")</f>
        <v>#VALUE!</v>
      </c>
      <c r="G92" s="1" t="e" cm="1" vm="615">
        <f t="array" aca="1" ref="G92" ca="1">_FV(Table2[[#This Row],[Country]],"Capital/Major City",TRUE)</f>
        <v>#VALUE!</v>
      </c>
      <c r="H92" s="1" t="str" cm="1">
        <f t="array" aca="1" ref="H92" ca="1">_xlfn.ARRAYTOTEXT(_FV(Table2[[#This Row],[Country]],"Leader(s)",TRUE))</f>
        <v>Chan Santokhi (President), Ronnie Brunswijk (Vice president)</v>
      </c>
      <c r="K92" s="3" t="e" vm="617">
        <v>#VALUE!</v>
      </c>
      <c r="L92" s="46" cm="1">
        <f t="array" aca="1" ref="L92" ca="1">_FV(Table3[[#This Row],[Currency Pair]],"52 week high",TRUE)</f>
        <v>16.405000000000001</v>
      </c>
      <c r="M92" s="46" cm="1">
        <f t="array" aca="1" ref="M92" ca="1">_FV(Table3[[#This Row],[Currency Pair]],"52 week low",TRUE)</f>
        <v>10</v>
      </c>
      <c r="N92" s="46" cm="1">
        <f t="array" aca="1" ref="N92" ca="1">_FV(Table3[[#This Row],[Currency Pair]],"Price")</f>
        <v>10.75</v>
      </c>
      <c r="O92" s="5" t="str" cm="1">
        <f t="array" aca="1" ref="O92" ca="1">_FV(Table3[[#This Row],[Currency Pair]],"Instrument type",TRUE)</f>
        <v>Currency Pair</v>
      </c>
      <c r="P92" s="5" t="str" cm="1">
        <f t="array" aca="1" ref="P92" ca="1">_FV(Table3[[#This Row],[Currency Pair]],"Ticker symbol",TRUE)</f>
        <v>USDGHS</v>
      </c>
      <c r="Q92" s="5" cm="1">
        <f t="array" aca="1" ref="Q92" ca="1">_FV(Table3[[#This Row],[Currency Pair]],"Change (%)",TRUE)</f>
        <v>0</v>
      </c>
      <c r="R92" s="5" cm="1">
        <f t="array" aca="1" ref="R92" ca="1">_FV(Table3[[#This Row],[Currency Pair]],"Last trade time",TRUE)</f>
        <v>45954.873784722222</v>
      </c>
    </row>
    <row r="93" spans="1:18" x14ac:dyDescent="0.4">
      <c r="A93" s="1" t="e" vm="618">
        <v>#VALUE!</v>
      </c>
      <c r="B93" s="1" cm="1" vm="619">
        <f t="array" aca="1" ref="B93" ca="1">_FV(Table2[[#This Row],[Country]],"Calling code",TRUE)</f>
        <v>46</v>
      </c>
      <c r="C93" s="1" cm="1" vm="620">
        <f t="array" aca="1" ref="C93" ca="1">_FV(Table2[[#This Row],[Country]],"GDP")</f>
        <v>530832908737.862</v>
      </c>
      <c r="D93" s="1" t="str" cm="1">
        <f t="array" aca="1" ref="D93" ca="1">_FV(Table2[[#This Row],[Country]],"National anthem",TRUE)</f>
        <v>Du gamla, du fria</v>
      </c>
      <c r="E93" s="1" t="e" cm="1" vm="621">
        <f t="array" aca="1" ref="E93" ca="1">_FV(Table2[[#This Row],[Country]],"Largest city",TRUE)</f>
        <v>#VALUE!</v>
      </c>
      <c r="F93" s="1" t="e" cm="1" vm="622">
        <f t="array" aca="1" ref="F93" ca="1">_FV(Table2[[#This Row],[Country]],"Image")</f>
        <v>#VALUE!</v>
      </c>
      <c r="G93" s="1" t="e" cm="1" vm="621">
        <f t="array" aca="1" ref="G93" ca="1">_FV(Table2[[#This Row],[Country]],"Capital/Major City",TRUE)</f>
        <v>#VALUE!</v>
      </c>
      <c r="H93" s="1" t="str" cm="1">
        <f t="array" aca="1" ref="H93" ca="1">_xlfn.ARRAYTOTEXT(_FV(Table2[[#This Row],[Country]],"Leader(s)",TRUE))</f>
        <v>Carl XVI Gustaf (Monarch), Ulf Kristersson (Prime minister)</v>
      </c>
      <c r="K93" s="3" t="e" vm="623">
        <v>#VALUE!</v>
      </c>
      <c r="L93" s="6" cm="1">
        <f t="array" aca="1" ref="L93" ca="1">_FV(Table3[[#This Row],[Currency Pair]],"52 week high",TRUE)</f>
        <v>9.7699999999999995E-2</v>
      </c>
      <c r="M93" s="6" cm="1">
        <f t="array" aca="1" ref="M93" ca="1">_FV(Table3[[#This Row],[Currency Pair]],"52 week low",TRUE)</f>
        <v>6.0299999999999999E-2</v>
      </c>
      <c r="N93" s="6" cm="1">
        <f t="array" aca="1" ref="N93" ca="1">_FV(Table3[[#This Row],[Currency Pair]],"Price")</f>
        <v>9.2200000000000004E-2</v>
      </c>
      <c r="O93" s="5" t="str" cm="1">
        <f t="array" aca="1" ref="O93" ca="1">_FV(Table3[[#This Row],[Currency Pair]],"Instrument type",TRUE)</f>
        <v>Currency Pair</v>
      </c>
      <c r="P93" s="5" t="str" cm="1">
        <f t="array" aca="1" ref="P93" ca="1">_FV(Table3[[#This Row],[Currency Pair]],"Ticker symbol",TRUE)</f>
        <v>GHSUSD</v>
      </c>
      <c r="Q93" s="5" cm="1">
        <f t="array" aca="1" ref="Q93" ca="1">_FV(Table3[[#This Row],[Currency Pair]],"Change (%)",TRUE)</f>
        <v>0</v>
      </c>
      <c r="R93" s="5" cm="1">
        <f t="array" aca="1" ref="R93" ca="1">_FV(Table3[[#This Row],[Currency Pair]],"Last trade time",TRUE)</f>
        <v>45954.873784722222</v>
      </c>
    </row>
    <row r="94" spans="1:18" x14ac:dyDescent="0.4">
      <c r="A94" s="1" t="e" vm="624">
        <v>#VALUE!</v>
      </c>
      <c r="B94" s="1" cm="1" vm="625">
        <f t="array" aca="1" ref="B94" ca="1">_FV(Table2[[#This Row],[Country]],"Calling code",TRUE)</f>
        <v>41</v>
      </c>
      <c r="C94" s="1" cm="1" vm="626">
        <f t="array" aca="1" ref="C94" ca="1">_FV(Table2[[#This Row],[Country]],"GDP")</f>
        <v>703082435360.11694</v>
      </c>
      <c r="D94" s="1" t="str" cm="1">
        <f t="array" aca="1" ref="D94" ca="1">_FV(Table2[[#This Row],[Country]],"National anthem",TRUE)</f>
        <v>Swiss Psalm</v>
      </c>
      <c r="E94" s="1" t="e" cm="1" vm="627">
        <f t="array" aca="1" ref="E94" ca="1">_FV(Table2[[#This Row],[Country]],"Largest city",TRUE)</f>
        <v>#VALUE!</v>
      </c>
      <c r="F94" s="1" t="e" cm="1" vm="628">
        <f t="array" aca="1" ref="F94" ca="1">_FV(Table2[[#This Row],[Country]],"Image")</f>
        <v>#VALUE!</v>
      </c>
      <c r="G94" s="1" t="e" cm="1" vm="629">
        <f t="array" aca="1" ref="G94" ca="1">_FV(Table2[[#This Row],[Country]],"Capital/Major City",TRUE)</f>
        <v>#VALUE!</v>
      </c>
      <c r="H94" s="1" t="str" cm="1">
        <f t="array" aca="1" ref="H94" ca="1">_xlfn.ARRAYTOTEXT(_FV(Table2[[#This Row],[Country]],"Leader(s)",TRUE))</f>
        <v>Alain Berset (Federal Council), Viola Amherd (Federal Council), Guy Parmelin (Federal Council), Ignazio Cassis (Federal Council), Karin Keller-Sutter (Federal Council), Albert Rösti (Federal Council), Élisabeth Baume-Schneider (Federal Council)</v>
      </c>
      <c r="K94" s="3" t="e" vm="630">
        <v>#VALUE!</v>
      </c>
      <c r="L94" s="47" cm="1">
        <f t="array" aca="1" ref="L94" ca="1">_FV(Table3[[#This Row],[Currency Pair]],"52 week high",TRUE)</f>
        <v>21901</v>
      </c>
      <c r="M94" s="47" cm="1">
        <f t="array" aca="1" ref="M94" ca="1">_FV(Table3[[#This Row],[Currency Pair]],"52 week low",TRUE)</f>
        <v>21398.5</v>
      </c>
      <c r="N94" s="47" cm="1">
        <f t="array" aca="1" ref="N94" ca="1">_FV(Table3[[#This Row],[Currency Pair]],"Price")</f>
        <v>21596</v>
      </c>
      <c r="O94" s="5" t="str" cm="1">
        <f t="array" aca="1" ref="O94" ca="1">_FV(Table3[[#This Row],[Currency Pair]],"Instrument type",TRUE)</f>
        <v>Currency Pair</v>
      </c>
      <c r="P94" s="5" t="str" cm="1">
        <f t="array" aca="1" ref="P94" ca="1">_FV(Table3[[#This Row],[Currency Pair]],"Ticker symbol",TRUE)</f>
        <v>USDLAK</v>
      </c>
      <c r="Q94" s="5" cm="1">
        <f t="array" aca="1" ref="Q94" ca="1">_FV(Table3[[#This Row],[Currency Pair]],"Change (%)",TRUE)</f>
        <v>0</v>
      </c>
      <c r="R94" s="5" cm="1">
        <f t="array" aca="1" ref="R94" ca="1">_FV(Table3[[#This Row],[Currency Pair]],"Last trade time",TRUE)</f>
        <v>45957.145787037036</v>
      </c>
    </row>
    <row r="95" spans="1:18" x14ac:dyDescent="0.4">
      <c r="A95" s="1" t="e" vm="631">
        <v>#VALUE!</v>
      </c>
      <c r="B95" s="1" cm="1" vm="632">
        <f t="array" aca="1" ref="B95" ca="1">_FV(Table2[[#This Row],[Country]],"Calling code",TRUE)</f>
        <v>963</v>
      </c>
      <c r="C95" s="1" cm="1" vm="633">
        <f t="array" aca="1" ref="C95" ca="1">_FV(Table2[[#This Row],[Country]],"GDP")</f>
        <v>40405006007.208603</v>
      </c>
      <c r="D95" s="1" t="str" cm="1">
        <f t="array" aca="1" ref="D95" ca="1">_FV(Table2[[#This Row],[Country]],"National anthem",TRUE)</f>
        <v>Humat ad-Diyar</v>
      </c>
      <c r="E95" s="1" t="e" cm="1" vm="634">
        <f t="array" aca="1" ref="E95" ca="1">_FV(Table2[[#This Row],[Country]],"Largest city",TRUE)</f>
        <v>#VALUE!</v>
      </c>
      <c r="F95" s="1" t="e" cm="1" vm="635">
        <f t="array" aca="1" ref="F95" ca="1">_FV(Table2[[#This Row],[Country]],"Image")</f>
        <v>#VALUE!</v>
      </c>
      <c r="G95" s="1" t="e" cm="1" vm="634">
        <f t="array" aca="1" ref="G95" ca="1">_FV(Table2[[#This Row],[Country]],"Capital/Major City",TRUE)</f>
        <v>#VALUE!</v>
      </c>
      <c r="H95" s="1" t="str" cm="1">
        <f t="array" aca="1" ref="H95" ca="1">_xlfn.ARRAYTOTEXT(_FV(Table2[[#This Row],[Country]],"Leader(s)",TRUE))</f>
        <v>Bashar al-Assad (President), Najah al-Attar (Vice president), Hussein Arnous (Prime minister)</v>
      </c>
      <c r="K95" s="3" t="e" vm="636">
        <v>#VALUE!</v>
      </c>
      <c r="L95" s="6" cm="1">
        <f t="array" aca="1" ref="L95" ca="1">_FV(Table3[[#This Row],[Currency Pair]],"52 week high",TRUE)</f>
        <v>4.6300000000000001E-5</v>
      </c>
      <c r="M95" s="6" cm="1">
        <f t="array" aca="1" ref="M95" ca="1">_FV(Table3[[#This Row],[Currency Pair]],"52 week low",TRUE)</f>
        <v>4.5000000000000003E-5</v>
      </c>
      <c r="N95" s="6" cm="1">
        <f t="array" aca="1" ref="N95" ca="1">_FV(Table3[[#This Row],[Currency Pair]],"Price")</f>
        <v>4.5800000000000002E-5</v>
      </c>
      <c r="O95" s="5" t="str" cm="1">
        <f t="array" aca="1" ref="O95" ca="1">_FV(Table3[[#This Row],[Currency Pair]],"Instrument type",TRUE)</f>
        <v>Currency Pair</v>
      </c>
      <c r="P95" s="5" t="str" cm="1">
        <f t="array" aca="1" ref="P95" ca="1">_FV(Table3[[#This Row],[Currency Pair]],"Ticker symbol",TRUE)</f>
        <v>LAKUSD</v>
      </c>
      <c r="Q95" s="5" cm="1">
        <f t="array" aca="1" ref="Q95" ca="1">_FV(Table3[[#This Row],[Currency Pair]],"Change (%)",TRUE)</f>
        <v>0</v>
      </c>
      <c r="R95" s="5" cm="1">
        <f t="array" aca="1" ref="R95" ca="1">_FV(Table3[[#This Row],[Currency Pair]],"Last trade time",TRUE)</f>
        <v>45957.145787037036</v>
      </c>
    </row>
    <row r="96" spans="1:18" x14ac:dyDescent="0.4">
      <c r="A96" s="1" t="e" vm="637">
        <v>#VALUE!</v>
      </c>
      <c r="B96" s="1" cm="1" vm="638">
        <f t="array" aca="1" ref="B96" ca="1">_FV(Table2[[#This Row],[Country]],"Calling code",TRUE)</f>
        <v>886</v>
      </c>
      <c r="C96" s="1" cm="1" vm="639">
        <f t="array" aca="1" ref="C96" ca="1">_FV(Table2[[#This Row],[Country]],"GDP")</f>
        <v>473971000000</v>
      </c>
      <c r="D96" s="1" t="str" cm="1">
        <f t="array" aca="1" ref="D96" ca="1">_FV(Table2[[#This Row],[Country]],"National anthem",TRUE)</f>
        <v>National Anthem of the Republic of China</v>
      </c>
      <c r="E96" s="1" t="e" cm="1" vm="640">
        <f t="array" aca="1" ref="E96" ca="1">_FV(Table2[[#This Row],[Country]],"Largest city",TRUE)</f>
        <v>#VALUE!</v>
      </c>
      <c r="F96" s="1" t="e" cm="1" vm="641">
        <f t="array" aca="1" ref="F96" ca="1">_FV(Table2[[#This Row],[Country]],"Image")</f>
        <v>#VALUE!</v>
      </c>
      <c r="G96" s="1" t="e" cm="1" vm="642">
        <f t="array" aca="1" ref="G96" ca="1">_FV(Table2[[#This Row],[Country]],"Capital/Major City",TRUE)</f>
        <v>#VALUE!</v>
      </c>
      <c r="H96" s="1" t="str" cm="1">
        <f t="array" aca="1" ref="H96" ca="1">_xlfn.ARRAYTOTEXT(_FV(Table2[[#This Row],[Country]],"Leader(s)",TRUE))</f>
        <v>Tsai Ing-wen (President), Lai Ching-te (Vice president)</v>
      </c>
      <c r="K96" s="3" t="e" vm="643">
        <v>#VALUE!</v>
      </c>
      <c r="L96" s="48" cm="1">
        <f t="array" aca="1" ref="L96" ca="1">_FV(Table3[[#This Row],[Currency Pair]],"52 week high",TRUE)</f>
        <v>2093.6999999999998</v>
      </c>
      <c r="M96" s="48" cm="1">
        <f t="array" aca="1" ref="M96" ca="1">_FV(Table3[[#This Row],[Currency Pair]],"52 week low",TRUE)</f>
        <v>2093.6999999999998</v>
      </c>
      <c r="N96" s="48" cm="1">
        <f t="array" aca="1" ref="N96" ca="1">_FV(Table3[[#This Row],[Currency Pair]],"Price")</f>
        <v>2093.6999999999998</v>
      </c>
      <c r="O96" s="5" t="str" cm="1">
        <f t="array" aca="1" ref="O96" ca="1">_FV(Table3[[#This Row],[Currency Pair]],"Instrument type",TRUE)</f>
        <v>Currency Pair</v>
      </c>
      <c r="P96" s="5" t="str" cm="1">
        <f t="array" aca="1" ref="P96" ca="1">_FV(Table3[[#This Row],[Currency Pair]],"Ticker symbol",TRUE)</f>
        <v>USDMMK</v>
      </c>
      <c r="Q96" s="5" cm="1">
        <f t="array" aca="1" ref="Q96" ca="1">_FV(Table3[[#This Row],[Currency Pair]],"Change (%)",TRUE)</f>
        <v>0</v>
      </c>
      <c r="R96" s="5" cm="1">
        <f t="array" aca="1" ref="R96" ca="1">_FV(Table3[[#This Row],[Currency Pair]],"Last trade time",TRUE)</f>
        <v>45954.553946759261</v>
      </c>
    </row>
    <row r="97" spans="1:18" x14ac:dyDescent="0.4">
      <c r="A97" s="1" t="e" vm="644">
        <v>#VALUE!</v>
      </c>
      <c r="B97" s="1" cm="1" vm="645">
        <f t="array" aca="1" ref="B97" ca="1">_FV(Table2[[#This Row],[Country]],"Calling code",TRUE)</f>
        <v>992</v>
      </c>
      <c r="C97" s="1" cm="1" vm="646">
        <f t="array" aca="1" ref="C97" ca="1">_FV(Table2[[#This Row],[Country]],"GDP")</f>
        <v>8116626794.2583704</v>
      </c>
      <c r="D97" s="1" t="str" cm="1">
        <f t="array" aca="1" ref="D97" ca="1">_FV(Table2[[#This Row],[Country]],"National anthem",TRUE)</f>
        <v>National anthem of Tajikistan</v>
      </c>
      <c r="E97" s="1" t="e" cm="1" vm="647">
        <f t="array" aca="1" ref="E97" ca="1">_FV(Table2[[#This Row],[Country]],"Largest city",TRUE)</f>
        <v>#VALUE!</v>
      </c>
      <c r="F97" s="1" t="e" cm="1" vm="648">
        <f t="array" aca="1" ref="F97" ca="1">_FV(Table2[[#This Row],[Country]],"Image")</f>
        <v>#VALUE!</v>
      </c>
      <c r="G97" s="1" t="e" cm="1" vm="647">
        <f t="array" aca="1" ref="G97" ca="1">_FV(Table2[[#This Row],[Country]],"Capital/Major City",TRUE)</f>
        <v>#VALUE!</v>
      </c>
      <c r="H97" s="1" t="str" cm="1">
        <f t="array" aca="1" ref="H97" ca="1">_xlfn.ARRAYTOTEXT(_FV(Table2[[#This Row],[Country]],"Leader(s)",TRUE))</f>
        <v>Emomali Rahmon (President), Kokhir Rasulzoda (Prime minister)</v>
      </c>
      <c r="K97" s="3" t="e" vm="649">
        <v>#VALUE!</v>
      </c>
      <c r="L97" s="6" cm="1">
        <f t="array" aca="1" ref="L97" ca="1">_FV(Table3[[#This Row],[Currency Pair]],"52 week high",TRUE)</f>
        <v>4.6999999999999999E-4</v>
      </c>
      <c r="M97" s="6" cm="1">
        <f t="array" aca="1" ref="M97" ca="1">_FV(Table3[[#This Row],[Currency Pair]],"52 week low",TRUE)</f>
        <v>4.6999999999999999E-4</v>
      </c>
      <c r="N97" s="6" cm="1">
        <f t="array" aca="1" ref="N97" ca="1">_FV(Table3[[#This Row],[Currency Pair]],"Price")</f>
        <v>4.6999999999999999E-4</v>
      </c>
      <c r="O97" s="5" t="str" cm="1">
        <f t="array" aca="1" ref="O97" ca="1">_FV(Table3[[#This Row],[Currency Pair]],"Instrument type",TRUE)</f>
        <v>Currency Pair</v>
      </c>
      <c r="P97" s="5" t="str" cm="1">
        <f t="array" aca="1" ref="P97" ca="1">_FV(Table3[[#This Row],[Currency Pair]],"Ticker symbol",TRUE)</f>
        <v>MMKUSD</v>
      </c>
      <c r="Q97" s="5" cm="1">
        <f t="array" aca="1" ref="Q97" ca="1">_FV(Table3[[#This Row],[Currency Pair]],"Change (%)",TRUE)</f>
        <v>0</v>
      </c>
      <c r="R97" s="5" cm="1">
        <f t="array" aca="1" ref="R97" ca="1">_FV(Table3[[#This Row],[Currency Pair]],"Last trade time",TRUE)</f>
        <v>45954.558229166665</v>
      </c>
    </row>
    <row r="98" spans="1:18" x14ac:dyDescent="0.4">
      <c r="A98" s="1" t="e" vm="650">
        <v>#VALUE!</v>
      </c>
      <c r="B98" s="1" cm="1" vm="651">
        <f t="array" aca="1" ref="B98" ca="1">_FV(Table2[[#This Row],[Country]],"Calling code",TRUE)</f>
        <v>255</v>
      </c>
      <c r="C98" s="1" cm="1" vm="652">
        <f t="array" aca="1" ref="C98" ca="1">_FV(Table2[[#This Row],[Country]],"GDP")</f>
        <v>63177068174.549004</v>
      </c>
      <c r="D98" s="1" t="str" cm="1">
        <f t="array" aca="1" ref="D98" ca="1">_FV(Table2[[#This Row],[Country]],"National anthem",TRUE)</f>
        <v>Mungu ibariki Afrika</v>
      </c>
      <c r="E98" s="1" t="e" cm="1" vm="653">
        <f t="array" aca="1" ref="E98" ca="1">_FV(Table2[[#This Row],[Country]],"Largest city",TRUE)</f>
        <v>#VALUE!</v>
      </c>
      <c r="F98" s="1" t="e" cm="1" vm="654">
        <f t="array" aca="1" ref="F98" ca="1">_FV(Table2[[#This Row],[Country]],"Image")</f>
        <v>#VALUE!</v>
      </c>
      <c r="G98" s="1" t="e" cm="1" vm="655">
        <f t="array" aca="1" ref="G98" ca="1">_FV(Table2[[#This Row],[Country]],"Capital/Major City",TRUE)</f>
        <v>#VALUE!</v>
      </c>
      <c r="H98" s="1" t="str" cm="1">
        <f t="array" aca="1" ref="H98" ca="1">_xlfn.ARRAYTOTEXT(_FV(Table2[[#This Row],[Country]],"Leader(s)",TRUE))</f>
        <v>Samia Suluhu Hassan (President), Philip Mpango (Vice president), Kassim Majaliwa (Prime minister), Tulia Ackson (Speaker), Ibrahim Hamis Juma (Chief justice)</v>
      </c>
      <c r="K98" s="3" t="e" vm="656">
        <v>#VALUE!</v>
      </c>
      <c r="L98" s="49" cm="1">
        <f t="array" aca="1" ref="L98" ca="1">_FV(Table3[[#This Row],[Currency Pair]],"52 week high",TRUE)</f>
        <v>4065</v>
      </c>
      <c r="M98" s="49" cm="1">
        <f t="array" aca="1" ref="M98" ca="1">_FV(Table3[[#This Row],[Currency Pair]],"52 week low",TRUE)</f>
        <v>3958.5</v>
      </c>
      <c r="N98" s="49" cm="1">
        <f t="array" aca="1" ref="N98" ca="1">_FV(Table3[[#This Row],[Currency Pair]],"Price")</f>
        <v>4014</v>
      </c>
      <c r="O98" s="5" t="str" cm="1">
        <f t="array" aca="1" ref="O98" ca="1">_FV(Table3[[#This Row],[Currency Pair]],"Instrument type",TRUE)</f>
        <v>Currency Pair</v>
      </c>
      <c r="P98" s="5" t="str" cm="1">
        <f t="array" aca="1" ref="P98" ca="1">_FV(Table3[[#This Row],[Currency Pair]],"Ticker symbol",TRUE)</f>
        <v>USDKHR</v>
      </c>
      <c r="Q98" s="5" cm="1">
        <f t="array" aca="1" ref="Q98" ca="1">_FV(Table3[[#This Row],[Currency Pair]],"Change (%)",TRUE)</f>
        <v>-2.4910000000000004E-4</v>
      </c>
      <c r="R98" s="5" cm="1">
        <f t="array" aca="1" ref="R98" ca="1">_FV(Table3[[#This Row],[Currency Pair]],"Last trade time",TRUE)</f>
        <v>45957.209131944444</v>
      </c>
    </row>
    <row r="99" spans="1:18" x14ac:dyDescent="0.4">
      <c r="A99" s="1" t="e" vm="657">
        <v>#VALUE!</v>
      </c>
      <c r="B99" s="1" cm="1" vm="658">
        <f t="array" aca="1" ref="B99" ca="1">_FV(Table2[[#This Row],[Country]],"Calling code",TRUE)</f>
        <v>66</v>
      </c>
      <c r="C99" s="1" cm="1" vm="659">
        <f t="array" aca="1" ref="C99" ca="1">_FV(Table2[[#This Row],[Country]],"GDP")</f>
        <v>543649976165.63</v>
      </c>
      <c r="D99" s="1" t="str" cm="1">
        <f t="array" aca="1" ref="D99" ca="1">_FV(Table2[[#This Row],[Country]],"National anthem",TRUE)</f>
        <v>Thai National Anthem</v>
      </c>
      <c r="E99" s="1" t="e" cm="1" vm="660">
        <f t="array" aca="1" ref="E99" ca="1">_FV(Table2[[#This Row],[Country]],"Largest city",TRUE)</f>
        <v>#VALUE!</v>
      </c>
      <c r="F99" s="1" t="e" cm="1" vm="661">
        <f t="array" aca="1" ref="F99" ca="1">_FV(Table2[[#This Row],[Country]],"Image")</f>
        <v>#VALUE!</v>
      </c>
      <c r="G99" s="1" t="e" cm="1" vm="660">
        <f t="array" aca="1" ref="G99" ca="1">_FV(Table2[[#This Row],[Country]],"Capital/Major City",TRUE)</f>
        <v>#VALUE!</v>
      </c>
      <c r="H99" s="1" t="str" cm="1">
        <f t="array" aca="1" ref="H99" ca="1">_xlfn.ARRAYTOTEXT(_FV(Table2[[#This Row],[Country]],"Leader(s)",TRUE))</f>
        <v>Vajiralongkorn (Monarch), Srettha Thavisin (Prime minister)</v>
      </c>
      <c r="K99" s="3" t="e" vm="662">
        <v>#VALUE!</v>
      </c>
      <c r="L99" s="6" cm="1">
        <f t="array" aca="1" ref="L99" ca="1">_FV(Table3[[#This Row],[Currency Pair]],"52 week high",TRUE)</f>
        <v>2.5000000000000001E-4</v>
      </c>
      <c r="M99" s="6" cm="1">
        <f t="array" aca="1" ref="M99" ca="1">_FV(Table3[[#This Row],[Currency Pair]],"52 week low",TRUE)</f>
        <v>2.4000000000000001E-4</v>
      </c>
      <c r="N99" s="6" cm="1">
        <f t="array" aca="1" ref="N99" ca="1">_FV(Table3[[#This Row],[Currency Pair]],"Price")</f>
        <v>2.4800000000000001E-4</v>
      </c>
      <c r="O99" s="5" t="str" cm="1">
        <f t="array" aca="1" ref="O99" ca="1">_FV(Table3[[#This Row],[Currency Pair]],"Instrument type",TRUE)</f>
        <v>Currency Pair</v>
      </c>
      <c r="P99" s="5" t="str" cm="1">
        <f t="array" aca="1" ref="P99" ca="1">_FV(Table3[[#This Row],[Currency Pair]],"Ticker symbol",TRUE)</f>
        <v>KHRUSD</v>
      </c>
      <c r="Q99" s="5" cm="1">
        <f t="array" aca="1" ref="Q99" ca="1">_FV(Table3[[#This Row],[Currency Pair]],"Change (%)",TRUE)</f>
        <v>0</v>
      </c>
      <c r="R99" s="5" cm="1">
        <f t="array" aca="1" ref="R99" ca="1">_FV(Table3[[#This Row],[Currency Pair]],"Last trade time",TRUE)</f>
        <v>45957.209131944444</v>
      </c>
    </row>
    <row r="100" spans="1:18" x14ac:dyDescent="0.4">
      <c r="A100" s="1" t="e" vm="663">
        <v>#VALUE!</v>
      </c>
      <c r="B100" s="1" cm="1" vm="664">
        <f t="array" aca="1" ref="B100" ca="1">_FV(Table2[[#This Row],[Country]],"Calling code",TRUE)</f>
        <v>228</v>
      </c>
      <c r="C100" s="1" cm="1" vm="665">
        <f t="array" aca="1" ref="C100" ca="1">_FV(Table2[[#This Row],[Country]],"GDP")</f>
        <v>5459979416.6690798</v>
      </c>
      <c r="D100" s="1" t="str" cm="1">
        <f t="array" aca="1" ref="D100" ca="1">_FV(Table2[[#This Row],[Country]],"National anthem",TRUE)</f>
        <v>Salut à toi, pays de nos aïeux</v>
      </c>
      <c r="E100" s="1" t="e" cm="1" vm="666">
        <f t="array" aca="1" ref="E100" ca="1">_FV(Table2[[#This Row],[Country]],"Largest city",TRUE)</f>
        <v>#VALUE!</v>
      </c>
      <c r="F100" s="1" t="e" cm="1" vm="667">
        <f t="array" aca="1" ref="F100" ca="1">_FV(Table2[[#This Row],[Country]],"Image")</f>
        <v>#VALUE!</v>
      </c>
      <c r="G100" s="1" t="e" cm="1" vm="666">
        <f t="array" aca="1" ref="G100" ca="1">_FV(Table2[[#This Row],[Country]],"Capital/Major City",TRUE)</f>
        <v>#VALUE!</v>
      </c>
      <c r="H100" s="1" t="str" cm="1">
        <f t="array" aca="1" ref="H100" ca="1">_xlfn.ARRAYTOTEXT(_FV(Table2[[#This Row],[Country]],"Leader(s)",TRUE))</f>
        <v>Faure Gnassingbé (President), Victoire Tomegah Dogbé (Prime minister)</v>
      </c>
      <c r="K100" s="3" t="e" vm="668">
        <v>#VALUE!</v>
      </c>
      <c r="L100" s="50" cm="1">
        <f t="array" aca="1" ref="L100" ca="1">_FV(Table3[[#This Row],[Currency Pair]],"52 week high",TRUE)</f>
        <v>4.516</v>
      </c>
      <c r="M100" s="50" cm="1">
        <f t="array" aca="1" ref="M100" ca="1">_FV(Table3[[#This Row],[Currency Pair]],"52 week low",TRUE)</f>
        <v>4.1740000000000004</v>
      </c>
      <c r="N100" s="50" cm="1">
        <f t="array" aca="1" ref="N100" ca="1">_FV(Table3[[#This Row],[Currency Pair]],"Price")</f>
        <v>4.2130000000000001</v>
      </c>
      <c r="O100" s="5" t="str" cm="1">
        <f t="array" aca="1" ref="O100" ca="1">_FV(Table3[[#This Row],[Currency Pair]],"Instrument type",TRUE)</f>
        <v>Currency Pair</v>
      </c>
      <c r="P100" s="5" t="str" cm="1">
        <f t="array" aca="1" ref="P100" ca="1">_FV(Table3[[#This Row],[Currency Pair]],"Ticker symbol",TRUE)</f>
        <v>USDMYR</v>
      </c>
      <c r="Q100" s="5" cm="1">
        <f t="array" aca="1" ref="Q100" ca="1">_FV(Table3[[#This Row],[Currency Pair]],"Change (%)",TRUE)</f>
        <v>-1.6589999999999999E-3</v>
      </c>
      <c r="R100" s="5" cm="1">
        <f t="array" aca="1" ref="R100" ca="1">_FV(Table3[[#This Row],[Currency Pair]],"Last trade time",TRUE)</f>
        <v>45957.1953587963</v>
      </c>
    </row>
    <row r="101" spans="1:18" x14ac:dyDescent="0.4">
      <c r="A101" s="1" t="e" vm="669">
        <v>#VALUE!</v>
      </c>
      <c r="B101" s="1" cm="1" vm="670">
        <f t="array" aca="1" ref="B101" ca="1">_FV(Table2[[#This Row],[Country]],"Calling code",TRUE)</f>
        <v>676</v>
      </c>
      <c r="C101" s="1" cm="1" vm="671">
        <f t="array" aca="1" ref="C101" ca="1">_FV(Table2[[#This Row],[Country]],"GDP")</f>
        <v>450353313.88458401</v>
      </c>
      <c r="D101" s="1" t="str" cm="1">
        <f t="array" aca="1" ref="D101" ca="1">_FV(Table2[[#This Row],[Country]],"National anthem",TRUE)</f>
        <v>Ko e fasi 'o e tu'i 'o e 'Otu Tonga</v>
      </c>
      <c r="E101" s="1" t="e" cm="1" vm="672">
        <f t="array" aca="1" ref="E101" ca="1">_FV(Table2[[#This Row],[Country]],"Largest city",TRUE)</f>
        <v>#VALUE!</v>
      </c>
      <c r="F101" s="1" t="e" cm="1" vm="673">
        <f t="array" aca="1" ref="F101" ca="1">_FV(Table2[[#This Row],[Country]],"Image")</f>
        <v>#VALUE!</v>
      </c>
      <c r="G101" s="1" t="e" cm="1" vm="672">
        <f t="array" aca="1" ref="G101" ca="1">_FV(Table2[[#This Row],[Country]],"Capital/Major City",TRUE)</f>
        <v>#VALUE!</v>
      </c>
      <c r="H101" s="1" t="str" cm="1">
        <f t="array" aca="1" ref="H101" ca="1">_xlfn.ARRAYTOTEXT(_FV(Table2[[#This Row],[Country]],"Leader(s)",TRUE))</f>
        <v>Tupou VI (Monarch), Siaosi Sovaleni (Prime minister)</v>
      </c>
      <c r="K101" s="3" t="e" vm="674">
        <v>#VALUE!</v>
      </c>
      <c r="L101" s="6" cm="1">
        <f t="array" aca="1" ref="L101" ca="1">_FV(Table3[[#This Row],[Currency Pair]],"52 week high",TRUE)</f>
        <v>0.23930000000000001</v>
      </c>
      <c r="M101" s="6" cm="1">
        <f t="array" aca="1" ref="M101" ca="1">_FV(Table3[[#This Row],[Currency Pair]],"52 week low",TRUE)</f>
        <v>0.221</v>
      </c>
      <c r="N101" s="6" cm="1">
        <f t="array" aca="1" ref="N101" ca="1">_FV(Table3[[#This Row],[Currency Pair]],"Price")</f>
        <v>0.23710000000000001</v>
      </c>
      <c r="O101" s="5" t="str" cm="1">
        <f t="array" aca="1" ref="O101" ca="1">_FV(Table3[[#This Row],[Currency Pair]],"Instrument type",TRUE)</f>
        <v>Currency Pair</v>
      </c>
      <c r="P101" s="5" t="str" cm="1">
        <f t="array" aca="1" ref="P101" ca="1">_FV(Table3[[#This Row],[Currency Pair]],"Ticker symbol",TRUE)</f>
        <v>MYRUSD</v>
      </c>
      <c r="Q101" s="5" cm="1">
        <f t="array" aca="1" ref="Q101" ca="1">_FV(Table3[[#This Row],[Currency Pair]],"Change (%)",TRUE)</f>
        <v>1.902E-3</v>
      </c>
      <c r="R101" s="5" cm="1">
        <f t="array" aca="1" ref="R101" ca="1">_FV(Table3[[#This Row],[Currency Pair]],"Last trade time",TRUE)</f>
        <v>45957.1953587963</v>
      </c>
    </row>
    <row r="102" spans="1:18" x14ac:dyDescent="0.4">
      <c r="A102" s="1" t="e" vm="675">
        <v>#VALUE!</v>
      </c>
      <c r="B102" s="1" cm="1" vm="676">
        <f t="array" aca="1" ref="B102" ca="1">_FV(Table2[[#This Row],[Country]],"Calling code",TRUE)</f>
        <v>1868</v>
      </c>
      <c r="C102" s="1" cm="1" vm="677">
        <f t="array" aca="1" ref="C102" ca="1">_FV(Table2[[#This Row],[Country]],"GDP")</f>
        <v>24100202833.750401</v>
      </c>
      <c r="D102" s="1" t="str" cm="1">
        <f t="array" aca="1" ref="D102" ca="1">_FV(Table2[[#This Row],[Country]],"National anthem",TRUE)</f>
        <v>Forged from the Love of Liberty</v>
      </c>
      <c r="E102" s="1" t="e" cm="1" vm="678">
        <f t="array" aca="1" ref="E102" ca="1">_FV(Table2[[#This Row],[Country]],"Largest city",TRUE)</f>
        <v>#VALUE!</v>
      </c>
      <c r="F102" s="1" t="e" cm="1" vm="679">
        <f t="array" aca="1" ref="F102" ca="1">_FV(Table2[[#This Row],[Country]],"Image")</f>
        <v>#VALUE!</v>
      </c>
      <c r="G102" s="1" t="e" cm="1" vm="680">
        <f t="array" aca="1" ref="G102" ca="1">_FV(Table2[[#This Row],[Country]],"Capital/Major City",TRUE)</f>
        <v>#VALUE!</v>
      </c>
      <c r="H102" s="1" t="str" cm="1">
        <f t="array" aca="1" ref="H102" ca="1">_xlfn.ARRAYTOTEXT(_FV(Table2[[#This Row],[Country]],"Leader(s)",TRUE))</f>
        <v>Christine Kangaloo (President), Keith Rowley (Prime minister), Bridgid Annisette-George (Speaker), Ivor Archie (Chief justice)</v>
      </c>
      <c r="K102" s="3" t="e" vm="461">
        <v>#VALUE!</v>
      </c>
      <c r="L102" s="33" cm="1">
        <f t="array" aca="1" ref="L102" ca="1">_FV(Table3[[#This Row],[Currency Pair]],"52 week high",TRUE)</f>
        <v>122.7</v>
      </c>
      <c r="M102" s="33" cm="1">
        <f t="array" aca="1" ref="M102" ca="1">_FV(Table3[[#This Row],[Currency Pair]],"52 week low",TRUE)</f>
        <v>119</v>
      </c>
      <c r="N102" s="33" cm="1">
        <f t="array" aca="1" ref="N102" ca="1">_FV(Table3[[#This Row],[Currency Pair]],"Price")</f>
        <v>122.15</v>
      </c>
      <c r="O102" s="5" t="str" cm="1">
        <f t="array" aca="1" ref="O102" ca="1">_FV(Table3[[#This Row],[Currency Pair]],"Instrument type",TRUE)</f>
        <v>Currency Pair</v>
      </c>
      <c r="P102" s="5" t="str" cm="1">
        <f t="array" aca="1" ref="P102" ca="1">_FV(Table3[[#This Row],[Currency Pair]],"Ticker symbol",TRUE)</f>
        <v>USDBDT</v>
      </c>
      <c r="Q102" s="5" cm="1">
        <f t="array" aca="1" ref="Q102" ca="1">_FV(Table3[[#This Row],[Currency Pair]],"Change (%)",TRUE)</f>
        <v>-1.2260000000000001E-3</v>
      </c>
      <c r="R102" s="5" cm="1">
        <f t="array" aca="1" ref="R102" ca="1">_FV(Table3[[#This Row],[Currency Pair]],"Last trade time",TRUE)</f>
        <v>45957.187835648147</v>
      </c>
    </row>
    <row r="103" spans="1:18" x14ac:dyDescent="0.4">
      <c r="A103" s="1" t="e" vm="681">
        <v>#VALUE!</v>
      </c>
      <c r="B103" s="1" cm="1" vm="682">
        <f t="array" aca="1" ref="B103" ca="1">_FV(Table2[[#This Row],[Country]],"Calling code",TRUE)</f>
        <v>216</v>
      </c>
      <c r="C103" s="1" cm="1" vm="683">
        <f t="array" aca="1" ref="C103" ca="1">_FV(Table2[[#This Row],[Country]],"GDP")</f>
        <v>38797709923.664101</v>
      </c>
      <c r="D103" s="1" t="str" cm="1">
        <f t="array" aca="1" ref="D103" ca="1">_FV(Table2[[#This Row],[Country]],"National anthem",TRUE)</f>
        <v>Humat Al Hima</v>
      </c>
      <c r="E103" s="1" t="e" cm="1" vm="684">
        <f t="array" aca="1" ref="E103" ca="1">_FV(Table2[[#This Row],[Country]],"Largest city",TRUE)</f>
        <v>#VALUE!</v>
      </c>
      <c r="F103" s="1" t="e" cm="1" vm="685">
        <f t="array" aca="1" ref="F103" ca="1">_FV(Table2[[#This Row],[Country]],"Image")</f>
        <v>#VALUE!</v>
      </c>
      <c r="G103" s="1" t="e" cm="1" vm="684">
        <f t="array" aca="1" ref="G103" ca="1">_FV(Table2[[#This Row],[Country]],"Capital/Major City",TRUE)</f>
        <v>#VALUE!</v>
      </c>
      <c r="H103" s="1" t="str" cm="1">
        <f t="array" aca="1" ref="H103" ca="1">_xlfn.ARRAYTOTEXT(_FV(Table2[[#This Row],[Country]],"Leader(s)",TRUE))</f>
        <v>Kais Saied (President), Ahmed Hachani (Prime minister)</v>
      </c>
      <c r="K103" s="3" t="e" vm="467">
        <v>#VALUE!</v>
      </c>
      <c r="L103" s="6" cm="1">
        <f t="array" aca="1" ref="L103" ca="1">_FV(Table3[[#This Row],[Currency Pair]],"52 week high",TRUE)</f>
        <v>8.3300000000000006E-3</v>
      </c>
      <c r="M103" s="6" cm="1">
        <f t="array" aca="1" ref="M103" ca="1">_FV(Table3[[#This Row],[Currency Pair]],"52 week low",TRUE)</f>
        <v>8.1200000000000005E-3</v>
      </c>
      <c r="N103" s="6" cm="1">
        <f t="array" aca="1" ref="N103" ca="1">_FV(Table3[[#This Row],[Currency Pair]],"Price")</f>
        <v>8.1569999999999993E-3</v>
      </c>
      <c r="O103" s="5" t="str" cm="1">
        <f t="array" aca="1" ref="O103" ca="1">_FV(Table3[[#This Row],[Currency Pair]],"Instrument type",TRUE)</f>
        <v>Currency Pair</v>
      </c>
      <c r="P103" s="5" t="str" cm="1">
        <f t="array" aca="1" ref="P103" ca="1">_FV(Table3[[#This Row],[Currency Pair]],"Ticker symbol",TRUE)</f>
        <v>BDTUSD</v>
      </c>
      <c r="Q103" s="5" cm="1">
        <f t="array" aca="1" ref="Q103" ca="1">_FV(Table3[[#This Row],[Currency Pair]],"Change (%)",TRUE)</f>
        <v>1.719E-3</v>
      </c>
      <c r="R103" s="5" cm="1">
        <f t="array" aca="1" ref="R103" ca="1">_FV(Table3[[#This Row],[Currency Pair]],"Last trade time",TRUE)</f>
        <v>45957.187835648147</v>
      </c>
    </row>
    <row r="104" spans="1:18" x14ac:dyDescent="0.4">
      <c r="A104" s="1" t="e" vm="686">
        <v>#VALUE!</v>
      </c>
      <c r="B104" s="1" cm="1" vm="687">
        <f t="array" aca="1" ref="B104" ca="1">_FV(Table2[[#This Row],[Country]],"Calling code",TRUE)</f>
        <v>90</v>
      </c>
      <c r="C104" s="1" cm="1" vm="688">
        <f t="array" aca="1" ref="C104" ca="1">_FV(Table2[[#This Row],[Country]],"GDP")</f>
        <v>754411708202.61597</v>
      </c>
      <c r="D104" s="1" t="str" cm="1">
        <f t="array" aca="1" ref="D104" ca="1">_FV(Table2[[#This Row],[Country]],"National anthem",TRUE)</f>
        <v>İstiklal Marşı</v>
      </c>
      <c r="E104" s="1" t="e" cm="1" vm="689">
        <f t="array" aca="1" ref="E104" ca="1">_FV(Table2[[#This Row],[Country]],"Largest city",TRUE)</f>
        <v>#VALUE!</v>
      </c>
      <c r="F104" s="1" t="e" cm="1" vm="690">
        <f t="array" aca="1" ref="F104" ca="1">_FV(Table2[[#This Row],[Country]],"Image")</f>
        <v>#VALUE!</v>
      </c>
      <c r="G104" s="1" t="e" cm="1" vm="691">
        <f t="array" aca="1" ref="G104" ca="1">_FV(Table2[[#This Row],[Country]],"Capital/Major City",TRUE)</f>
        <v>#VALUE!</v>
      </c>
      <c r="H104" s="1" t="str" cm="1">
        <f t="array" aca="1" ref="H104" ca="1">_xlfn.ARRAYTOTEXT(_FV(Table2[[#This Row],[Country]],"Leader(s)",TRUE))</f>
        <v>Recep Tayyip Erdoğan (President), Cevdet Yılmaz (Vice president), Zühtü Arslan (Chief justice)</v>
      </c>
      <c r="K104" s="3" t="e" vm="692">
        <v>#VALUE!</v>
      </c>
      <c r="L104" s="51" cm="1">
        <f t="array" aca="1" ref="L104" ca="1">_FV(Table3[[#This Row],[Currency Pair]],"52 week high",TRUE)</f>
        <v>33.295000000000002</v>
      </c>
      <c r="M104" s="51" cm="1">
        <f t="array" aca="1" ref="M104" ca="1">_FV(Table3[[#This Row],[Currency Pair]],"52 week low",TRUE)</f>
        <v>28.734000000000002</v>
      </c>
      <c r="N104" s="51" cm="1">
        <f t="array" aca="1" ref="N104" ca="1">_FV(Table3[[#This Row],[Currency Pair]],"Price")</f>
        <v>30.745000000000001</v>
      </c>
      <c r="O104" s="5" t="str" cm="1">
        <f t="array" aca="1" ref="O104" ca="1">_FV(Table3[[#This Row],[Currency Pair]],"Instrument type",TRUE)</f>
        <v>Currency Pair</v>
      </c>
      <c r="P104" s="5" t="str" cm="1">
        <f t="array" aca="1" ref="P104" ca="1">_FV(Table3[[#This Row],[Currency Pair]],"Ticker symbol",TRUE)</f>
        <v>USDTWD</v>
      </c>
      <c r="Q104" s="5" cm="1">
        <f t="array" aca="1" ref="Q104" ca="1">_FV(Table3[[#This Row],[Currency Pair]],"Change (%)",TRUE)</f>
        <v>-2.8539999999999998E-3</v>
      </c>
      <c r="R104" s="5" cm="1">
        <f t="array" aca="1" ref="R104" ca="1">_FV(Table3[[#This Row],[Currency Pair]],"Last trade time",TRUE)</f>
        <v>45957.217766203707</v>
      </c>
    </row>
    <row r="105" spans="1:18" x14ac:dyDescent="0.4">
      <c r="A105" s="1" t="e" vm="693">
        <v>#VALUE!</v>
      </c>
      <c r="B105" s="1" cm="1" vm="694">
        <f t="array" aca="1" ref="B105" ca="1">_FV(Table2[[#This Row],[Country]],"Calling code",TRUE)</f>
        <v>993</v>
      </c>
      <c r="C105" s="1" cm="1" vm="695">
        <f t="array" aca="1" ref="C105" ca="1">_FV(Table2[[#This Row],[Country]],"GDP")</f>
        <v>40761142857.142899</v>
      </c>
      <c r="D105" s="1" t="str" cm="1">
        <f t="array" aca="1" ref="D105" ca="1">_FV(Table2[[#This Row],[Country]],"National anthem",TRUE)</f>
        <v>National anthem of Turkmenistan</v>
      </c>
      <c r="E105" s="1" t="e" cm="1" vm="696">
        <f t="array" aca="1" ref="E105" ca="1">_FV(Table2[[#This Row],[Country]],"Largest city",TRUE)</f>
        <v>#VALUE!</v>
      </c>
      <c r="F105" s="1" t="e" cm="1" vm="697">
        <f t="array" aca="1" ref="F105" ca="1">_FV(Table2[[#This Row],[Country]],"Image")</f>
        <v>#VALUE!</v>
      </c>
      <c r="G105" s="1" t="e" cm="1" vm="696">
        <f t="array" aca="1" ref="G105" ca="1">_FV(Table2[[#This Row],[Country]],"Capital/Major City",TRUE)</f>
        <v>#VALUE!</v>
      </c>
      <c r="H105" s="1" t="str" cm="1">
        <f t="array" aca="1" ref="H105" ca="1">_xlfn.ARRAYTOTEXT(_FV(Table2[[#This Row],[Country]],"Leader(s)",TRUE))</f>
        <v>Serdar Berdimuhamedow (President), Raşit Meredow (Vice president)</v>
      </c>
      <c r="K105" s="3" t="e" vm="698">
        <v>#VALUE!</v>
      </c>
      <c r="L105" s="6" cm="1">
        <f t="array" aca="1" ref="L105" ca="1">_FV(Table3[[#This Row],[Currency Pair]],"52 week high",TRUE)</f>
        <v>3.4779999999999998E-2</v>
      </c>
      <c r="M105" s="6" cm="1">
        <f t="array" aca="1" ref="M105" ca="1">_FV(Table3[[#This Row],[Currency Pair]],"52 week low",TRUE)</f>
        <v>2.9989999999999999E-2</v>
      </c>
      <c r="N105" s="6" cm="1">
        <f t="array" aca="1" ref="N105" ca="1">_FV(Table3[[#This Row],[Currency Pair]],"Price")</f>
        <v>3.2489999999999998E-2</v>
      </c>
      <c r="O105" s="5" t="str" cm="1">
        <f t="array" aca="1" ref="O105" ca="1">_FV(Table3[[#This Row],[Currency Pair]],"Instrument type",TRUE)</f>
        <v>Currency Pair</v>
      </c>
      <c r="P105" s="5" t="str" cm="1">
        <f t="array" aca="1" ref="P105" ca="1">_FV(Table3[[#This Row],[Currency Pair]],"Ticker symbol",TRUE)</f>
        <v>TWDUSD</v>
      </c>
      <c r="Q105" s="5" cm="1">
        <f t="array" aca="1" ref="Q105" ca="1">_FV(Table3[[#This Row],[Currency Pair]],"Change (%)",TRUE)</f>
        <v>2.5300000000000001E-3</v>
      </c>
      <c r="R105" s="5" cm="1">
        <f t="array" aca="1" ref="R105" ca="1">_FV(Table3[[#This Row],[Currency Pair]],"Last trade time",TRUE)</f>
        <v>45957.217766203707</v>
      </c>
    </row>
    <row r="106" spans="1:18" x14ac:dyDescent="0.4">
      <c r="A106" s="1" t="e" vm="699">
        <v>#VALUE!</v>
      </c>
      <c r="B106" s="1" cm="1" vm="700">
        <f t="array" aca="1" ref="B106" ca="1">_FV(Table2[[#This Row],[Country]],"Calling code",TRUE)</f>
        <v>688</v>
      </c>
      <c r="C106" s="1" cm="1" vm="701">
        <f t="array" aca="1" ref="C106" ca="1">_FV(Table2[[#This Row],[Country]],"GDP")</f>
        <v>47271463.329857498</v>
      </c>
      <c r="D106" s="1" t="str" cm="1">
        <f t="array" aca="1" ref="D106" ca="1">_FV(Table2[[#This Row],[Country]],"National anthem",TRUE)</f>
        <v>Tuvalu mo te Atua</v>
      </c>
      <c r="E106" s="1" t="e" cm="1" vm="702">
        <f t="array" aca="1" ref="E106" ca="1">_FV(Table2[[#This Row],[Country]],"Largest city",TRUE)</f>
        <v>#VALUE!</v>
      </c>
      <c r="F106" s="1" t="e" cm="1" vm="703">
        <f t="array" aca="1" ref="F106" ca="1">_FV(Table2[[#This Row],[Country]],"Image")</f>
        <v>#VALUE!</v>
      </c>
      <c r="G106" s="1" t="e" cm="1" vm="702">
        <f t="array" aca="1" ref="G106" ca="1">_FV(Table2[[#This Row],[Country]],"Capital/Major City",TRUE)</f>
        <v>#VALUE!</v>
      </c>
      <c r="H106" s="1" t="str" cm="1">
        <f t="array" aca="1" ref="H106" ca="1">_xlfn.ARRAYTOTEXT(_FV(Table2[[#This Row],[Country]],"Leader(s)",TRUE))</f>
        <v>Charles III (Monarch), Kausea Natano (Prime minister)</v>
      </c>
      <c r="K106" s="3" t="e" vm="135">
        <v>#VALUE!</v>
      </c>
      <c r="L106" s="15" cm="1">
        <f t="array" aca="1" ref="L106" ca="1">_FV(Table3[[#This Row],[Currency Pair]],"52 week high",TRUE)</f>
        <v>7.85</v>
      </c>
      <c r="M106" s="15" cm="1">
        <f t="array" aca="1" ref="M106" ca="1">_FV(Table3[[#This Row],[Currency Pair]],"52 week low",TRUE)</f>
        <v>7.7496</v>
      </c>
      <c r="N106" s="15" cm="1">
        <f t="array" aca="1" ref="N106" ca="1">_FV(Table3[[#This Row],[Currency Pair]],"Price")</f>
        <v>7.7683</v>
      </c>
      <c r="O106" s="5" t="str" cm="1">
        <f t="array" aca="1" ref="O106" ca="1">_FV(Table3[[#This Row],[Currency Pair]],"Instrument type",TRUE)</f>
        <v>Currency Pair</v>
      </c>
      <c r="P106" s="5" t="str" cm="1">
        <f t="array" aca="1" ref="P106" ca="1">_FV(Table3[[#This Row],[Currency Pair]],"Ticker symbol",TRUE)</f>
        <v>USDHKD</v>
      </c>
      <c r="Q106" s="5" cm="1">
        <f t="array" aca="1" ref="Q106" ca="1">_FV(Table3[[#This Row],[Currency Pair]],"Change (%)",TRUE)</f>
        <v>-1.6729999999999997E-4</v>
      </c>
      <c r="R106" s="5" cm="1">
        <f t="array" aca="1" ref="R106" ca="1">_FV(Table3[[#This Row],[Currency Pair]],"Last trade time",TRUE)</f>
        <v>45957.217650462961</v>
      </c>
    </row>
    <row r="107" spans="1:18" x14ac:dyDescent="0.4">
      <c r="A107" s="1" t="e" vm="704">
        <v>#VALUE!</v>
      </c>
      <c r="B107" s="1" cm="1" vm="705">
        <f t="array" aca="1" ref="B107" ca="1">_FV(Table2[[#This Row],[Country]],"Calling code",TRUE)</f>
        <v>256</v>
      </c>
      <c r="C107" s="1" cm="1" vm="706">
        <f t="array" aca="1" ref="C107" ca="1">_FV(Table2[[#This Row],[Country]],"GDP")</f>
        <v>34387229486.400803</v>
      </c>
      <c r="D107" s="1" t="str" cm="1">
        <f t="array" aca="1" ref="D107" ca="1">_FV(Table2[[#This Row],[Country]],"National anthem",TRUE)</f>
        <v>Oh Uganda, Land of Beauty</v>
      </c>
      <c r="E107" s="1" t="e" cm="1" vm="707">
        <f t="array" aca="1" ref="E107" ca="1">_FV(Table2[[#This Row],[Country]],"Largest city",TRUE)</f>
        <v>#VALUE!</v>
      </c>
      <c r="F107" s="1" t="e" cm="1" vm="708">
        <f t="array" aca="1" ref="F107" ca="1">_FV(Table2[[#This Row],[Country]],"Image")</f>
        <v>#VALUE!</v>
      </c>
      <c r="G107" s="1" t="e" cm="1" vm="707">
        <f t="array" aca="1" ref="G107" ca="1">_FV(Table2[[#This Row],[Country]],"Capital/Major City",TRUE)</f>
        <v>#VALUE!</v>
      </c>
      <c r="H107" s="1" t="str" cm="1">
        <f t="array" aca="1" ref="H107" ca="1">_xlfn.ARRAYTOTEXT(_FV(Table2[[#This Row],[Country]],"Leader(s)",TRUE))</f>
        <v>Yoweri Museveni (President), Jessica Alupo (Vice president), Robinah Nabbanja (Prime minister)</v>
      </c>
      <c r="K107" s="3" t="e" vm="142">
        <v>#VALUE!</v>
      </c>
      <c r="L107" s="6" cm="1">
        <f t="array" aca="1" ref="L107" ca="1">_FV(Table3[[#This Row],[Currency Pair]],"52 week high",TRUE)</f>
        <v>0.129</v>
      </c>
      <c r="M107" s="6" cm="1">
        <f t="array" aca="1" ref="M107" ca="1">_FV(Table3[[#This Row],[Currency Pair]],"52 week low",TRUE)</f>
        <v>0.12740000000000001</v>
      </c>
      <c r="N107" s="6" cm="1">
        <f t="array" aca="1" ref="N107" ca="1">_FV(Table3[[#This Row],[Currency Pair]],"Price")</f>
        <v>0.12870000000000001</v>
      </c>
      <c r="O107" s="5" t="str" cm="1">
        <f t="array" aca="1" ref="O107" ca="1">_FV(Table3[[#This Row],[Currency Pair]],"Instrument type",TRUE)</f>
        <v>Currency Pair</v>
      </c>
      <c r="P107" s="5" t="str" cm="1">
        <f t="array" aca="1" ref="P107" ca="1">_FV(Table3[[#This Row],[Currency Pair]],"Ticker symbol",TRUE)</f>
        <v>HKDUSD</v>
      </c>
      <c r="Q107" s="5" cm="1">
        <f t="array" aca="1" ref="Q107" ca="1">_FV(Table3[[#This Row],[Currency Pair]],"Change (%)",TRUE)</f>
        <v>2.0979999999999998E-4</v>
      </c>
      <c r="R107" s="5" cm="1">
        <f t="array" aca="1" ref="R107" ca="1">_FV(Table3[[#This Row],[Currency Pair]],"Last trade time",TRUE)</f>
        <v>45957.217650462961</v>
      </c>
    </row>
    <row r="108" spans="1:18" x14ac:dyDescent="0.4">
      <c r="A108" s="1" t="e" vm="709">
        <v>#VALUE!</v>
      </c>
      <c r="B108" s="1" cm="1" vm="710">
        <f t="array" aca="1" ref="B108" ca="1">_FV(Table2[[#This Row],[Country]],"Calling code",TRUE)</f>
        <v>380</v>
      </c>
      <c r="C108" s="1" cm="1" vm="711">
        <f t="array" aca="1" ref="C108" ca="1">_FV(Table2[[#This Row],[Country]],"GDP")</f>
        <v>153781069118.14801</v>
      </c>
      <c r="D108" s="1" t="str" cm="1">
        <f t="array" aca="1" ref="D108" ca="1">_FV(Table2[[#This Row],[Country]],"National anthem",TRUE)</f>
        <v>National anthem of Ukraine</v>
      </c>
      <c r="E108" s="1" t="e" cm="1" vm="712">
        <f t="array" aca="1" ref="E108" ca="1">_FV(Table2[[#This Row],[Country]],"Largest city",TRUE)</f>
        <v>#VALUE!</v>
      </c>
      <c r="F108" s="1" t="e" cm="1" vm="713">
        <f t="array" aca="1" ref="F108" ca="1">_FV(Table2[[#This Row],[Country]],"Image")</f>
        <v>#VALUE!</v>
      </c>
      <c r="G108" s="1" t="e" cm="1" vm="712">
        <f t="array" aca="1" ref="G108" ca="1">_FV(Table2[[#This Row],[Country]],"Capital/Major City",TRUE)</f>
        <v>#VALUE!</v>
      </c>
      <c r="H108" s="1" t="str" cm="1">
        <f t="array" aca="1" ref="H108" ca="1">_xlfn.ARRAYTOTEXT(_FV(Table2[[#This Row],[Country]],"Leader(s)",TRUE))</f>
        <v>Volodymyr Zelenskyy (President), Denys Shmyhal (Prime minister)</v>
      </c>
      <c r="K108" s="3" t="e" vm="274">
        <v>#VALUE!</v>
      </c>
      <c r="L108" s="21" cm="1">
        <f t="array" aca="1" ref="L108" ca="1">_FV(Table3[[#This Row],[Currency Pair]],"52 week high",TRUE)</f>
        <v>6.3139000000000003</v>
      </c>
      <c r="M108" s="21" cm="1">
        <f t="array" aca="1" ref="M108" ca="1">_FV(Table3[[#This Row],[Currency Pair]],"52 week low",TRUE)</f>
        <v>5.2689000000000004</v>
      </c>
      <c r="N108" s="21" cm="1">
        <f t="array" aca="1" ref="N108" ca="1">_FV(Table3[[#This Row],[Currency Pair]],"Price")</f>
        <v>5.3898999999999999</v>
      </c>
      <c r="O108" s="5" t="str" cm="1">
        <f t="array" aca="1" ref="O108" ca="1">_FV(Table3[[#This Row],[Currency Pair]],"Instrument type",TRUE)</f>
        <v>Currency Pair</v>
      </c>
      <c r="P108" s="5" t="str" cm="1">
        <f t="array" aca="1" ref="P108" ca="1">_FV(Table3[[#This Row],[Currency Pair]],"Ticker symbol",TRUE)</f>
        <v>USDBRL</v>
      </c>
      <c r="Q108" s="5" cm="1">
        <f t="array" aca="1" ref="Q108" ca="1">_FV(Table3[[#This Row],[Currency Pair]],"Change (%)",TRUE)</f>
        <v>2.2270000000000002E-4</v>
      </c>
      <c r="R108" s="5" cm="1">
        <f t="array" aca="1" ref="R108" ca="1">_FV(Table3[[#This Row],[Currency Pair]],"Last trade time",TRUE)</f>
        <v>45956.875023148146</v>
      </c>
    </row>
    <row r="109" spans="1:18" x14ac:dyDescent="0.4">
      <c r="A109" s="1" t="e" vm="714">
        <v>#VALUE!</v>
      </c>
      <c r="B109" s="1" cm="1" vm="715">
        <f t="array" aca="1" ref="B109" ca="1">_FV(Table2[[#This Row],[Country]],"Calling code",TRUE)</f>
        <v>971</v>
      </c>
      <c r="C109" s="1" cm="1" vm="716">
        <f t="array" aca="1" ref="C109" ca="1">_FV(Table2[[#This Row],[Country]],"GDP")</f>
        <v>421142267937.65002</v>
      </c>
      <c r="D109" s="1" t="str" cm="1">
        <f t="array" aca="1" ref="D109" ca="1">_FV(Table2[[#This Row],[Country]],"National anthem",TRUE)</f>
        <v>Ishy Bilady</v>
      </c>
      <c r="E109" s="1" t="e" cm="1" vm="717">
        <f t="array" aca="1" ref="E109" ca="1">_FV(Table2[[#This Row],[Country]],"Largest city",TRUE)</f>
        <v>#VALUE!</v>
      </c>
      <c r="F109" s="1" t="e" cm="1" vm="718">
        <f t="array" aca="1" ref="F109" ca="1">_FV(Table2[[#This Row],[Country]],"Image")</f>
        <v>#VALUE!</v>
      </c>
      <c r="G109" s="1" t="e" cm="1" vm="719">
        <f t="array" aca="1" ref="G109" ca="1">_FV(Table2[[#This Row],[Country]],"Capital/Major City",TRUE)</f>
        <v>#VALUE!</v>
      </c>
      <c r="H109" s="1" t="str" cm="1">
        <f t="array" aca="1" ref="H109" ca="1">_xlfn.ARRAYTOTEXT(_FV(Table2[[#This Row],[Country]],"Leader(s)",TRUE))</f>
        <v>Mohamed bin Zayed Al Nahyan (President), Mohammed bin Rashid Al Maktoum (Prime minister)</v>
      </c>
      <c r="K109" s="3" t="e" vm="281">
        <v>#VALUE!</v>
      </c>
      <c r="L109" s="6" cm="1">
        <f t="array" aca="1" ref="L109" ca="1">_FV(Table3[[#This Row],[Currency Pair]],"52 week high",TRUE)</f>
        <v>0.1898</v>
      </c>
      <c r="M109" s="6" cm="1">
        <f t="array" aca="1" ref="M109" ca="1">_FV(Table3[[#This Row],[Currency Pair]],"52 week low",TRUE)</f>
        <v>0.15840000000000001</v>
      </c>
      <c r="N109" s="6" cm="1">
        <f t="array" aca="1" ref="N109" ca="1">_FV(Table3[[#This Row],[Currency Pair]],"Price")</f>
        <v>0.1855</v>
      </c>
      <c r="O109" s="5" t="str" cm="1">
        <f t="array" aca="1" ref="O109" ca="1">_FV(Table3[[#This Row],[Currency Pair]],"Instrument type",TRUE)</f>
        <v>Currency Pair</v>
      </c>
      <c r="P109" s="5" t="str" cm="1">
        <f t="array" aca="1" ref="P109" ca="1">_FV(Table3[[#This Row],[Currency Pair]],"Ticker symbol",TRUE)</f>
        <v>BRLUSD</v>
      </c>
      <c r="Q109" s="5" cm="1">
        <f t="array" aca="1" ref="Q109" ca="1">_FV(Table3[[#This Row],[Currency Pair]],"Change (%)",TRUE)</f>
        <v>0</v>
      </c>
      <c r="R109" s="5" cm="1">
        <f t="array" aca="1" ref="R109" ca="1">_FV(Table3[[#This Row],[Currency Pair]],"Last trade time",TRUE)</f>
        <v>45956.875023148146</v>
      </c>
    </row>
    <row r="110" spans="1:18" x14ac:dyDescent="0.4">
      <c r="A110" s="1" t="e" vm="720">
        <v>#VALUE!</v>
      </c>
      <c r="B110" s="1" cm="1" vm="721">
        <f t="array" aca="1" ref="B110" ca="1">_FV(Table2[[#This Row],[Country]],"Calling code",TRUE)</f>
        <v>44</v>
      </c>
      <c r="C110" s="1" cm="1" vm="722">
        <f t="array" aca="1" ref="C110" ca="1">_FV(Table2[[#This Row],[Country]],"GDP")</f>
        <v>2827113184695.5801</v>
      </c>
      <c r="D110" s="1" t="str" cm="1">
        <f t="array" aca="1" ref="D110" ca="1">_FV(Table2[[#This Row],[Country]],"National anthem",TRUE)</f>
        <v>God Save the King</v>
      </c>
      <c r="E110" s="1" t="e" cm="1" vm="723">
        <f t="array" aca="1" ref="E110" ca="1">_FV(Table2[[#This Row],[Country]],"Largest city",TRUE)</f>
        <v>#VALUE!</v>
      </c>
      <c r="F110" s="1" t="e" cm="1" vm="724">
        <f t="array" aca="1" ref="F110" ca="1">_FV(Table2[[#This Row],[Country]],"Image")</f>
        <v>#VALUE!</v>
      </c>
      <c r="G110" s="1" t="e" cm="1" vm="723">
        <f t="array" aca="1" ref="G110" ca="1">_FV(Table2[[#This Row],[Country]],"Capital/Major City",TRUE)</f>
        <v>#VALUE!</v>
      </c>
      <c r="H110" s="1" t="str" cm="1">
        <f t="array" aca="1" ref="H110" ca="1">_xlfn.ARRAYTOTEXT(_FV(Table2[[#This Row],[Country]],"Leader(s)",TRUE))</f>
        <v>Charles III (Monarch), Rishi Sunak (Prime minister)</v>
      </c>
      <c r="K110" s="3" t="e" vm="725">
        <v>#VALUE!</v>
      </c>
      <c r="L110" s="52" cm="1">
        <f t="array" aca="1" ref="L110" ca="1">_FV(Table3[[#This Row],[Currency Pair]],"52 week high",TRUE)</f>
        <v>51.68</v>
      </c>
      <c r="M110" s="52" cm="1">
        <f t="array" aca="1" ref="M110" ca="1">_FV(Table3[[#This Row],[Currency Pair]],"52 week low",TRUE)</f>
        <v>47.33</v>
      </c>
      <c r="N110" s="52" cm="1">
        <f t="array" aca="1" ref="N110" ca="1">_FV(Table3[[#This Row],[Currency Pair]],"Price")</f>
        <v>47.52</v>
      </c>
      <c r="O110" s="5" t="str" cm="1">
        <f t="array" aca="1" ref="O110" ca="1">_FV(Table3[[#This Row],[Currency Pair]],"Instrument type",TRUE)</f>
        <v>Currency Pair</v>
      </c>
      <c r="P110" s="5" t="str" cm="1">
        <f t="array" aca="1" ref="P110" ca="1">_FV(Table3[[#This Row],[Currency Pair]],"Ticker symbol",TRUE)</f>
        <v>USDEGP</v>
      </c>
      <c r="Q110" s="5" cm="1">
        <f t="array" aca="1" ref="Q110" ca="1">_FV(Table3[[#This Row],[Currency Pair]],"Change (%)",TRUE)</f>
        <v>8.4250000000000004E-4</v>
      </c>
      <c r="R110" s="5" cm="1">
        <f t="array" aca="1" ref="R110" ca="1">_FV(Table3[[#This Row],[Currency Pair]],"Last trade time",TRUE)</f>
        <v>45957.216817129629</v>
      </c>
    </row>
    <row r="111" spans="1:18" x14ac:dyDescent="0.4">
      <c r="A111" s="1" t="e" vm="726">
        <v>#VALUE!</v>
      </c>
      <c r="B111" s="1" cm="1" vm="727">
        <f t="array" aca="1" ref="B111" ca="1">_FV(Table2[[#This Row],[Country]],"Calling code",TRUE)</f>
        <v>1</v>
      </c>
      <c r="C111" s="1" cm="1" vm="728">
        <f t="array" aca="1" ref="C111" ca="1">_FV(Table2[[#This Row],[Country]],"GDP")</f>
        <v>21427700000000</v>
      </c>
      <c r="D111" s="1" t="str" cm="1">
        <f t="array" aca="1" ref="D111" ca="1">_FV(Table2[[#This Row],[Country]],"National anthem",TRUE)</f>
        <v>The Star-Spangled Banner</v>
      </c>
      <c r="E111" s="1" t="e" cm="1" vm="729">
        <f t="array" aca="1" ref="E111" ca="1">_FV(Table2[[#This Row],[Country]],"Largest city",TRUE)</f>
        <v>#VALUE!</v>
      </c>
      <c r="F111" s="1" t="e" cm="1" vm="730">
        <f t="array" aca="1" ref="F111" ca="1">_FV(Table2[[#This Row],[Country]],"Image")</f>
        <v>#VALUE!</v>
      </c>
      <c r="G111" s="1" t="e" cm="1" vm="731">
        <f t="array" aca="1" ref="G111" ca="1">_FV(Table2[[#This Row],[Country]],"Capital/Major City",TRUE)</f>
        <v>#VALUE!</v>
      </c>
      <c r="H111" s="1" t="str" cm="1">
        <f t="array" aca="1" ref="H111" ca="1">_xlfn.ARRAYTOTEXT(_FV(Table2[[#This Row],[Country]],"Leader(s)",TRUE))</f>
        <v>Joe Biden (President), Kamala Harris (Vice president), Kevin McCarthy (Speaker), John Roberts (Chief justice)</v>
      </c>
      <c r="K111" s="3" t="e" vm="732">
        <v>#VALUE!</v>
      </c>
      <c r="L111" s="6" cm="1">
        <f t="array" aca="1" ref="L111" ca="1">_FV(Table3[[#This Row],[Currency Pair]],"52 week high",TRUE)</f>
        <v>2.1080000000000002E-2</v>
      </c>
      <c r="M111" s="6" cm="1">
        <f t="array" aca="1" ref="M111" ca="1">_FV(Table3[[#This Row],[Currency Pair]],"52 week low",TRUE)</f>
        <v>1.932E-2</v>
      </c>
      <c r="N111" s="6" cm="1">
        <f t="array" aca="1" ref="N111" ca="1">_FV(Table3[[#This Row],[Currency Pair]],"Price")</f>
        <v>2.1000000000000001E-2</v>
      </c>
      <c r="O111" s="5" t="str" cm="1">
        <f t="array" aca="1" ref="O111" ca="1">_FV(Table3[[#This Row],[Currency Pair]],"Instrument type",TRUE)</f>
        <v>Currency Pair</v>
      </c>
      <c r="P111" s="5" t="str" cm="1">
        <f t="array" aca="1" ref="P111" ca="1">_FV(Table3[[#This Row],[Currency Pair]],"Ticker symbol",TRUE)</f>
        <v>EGPUSD</v>
      </c>
      <c r="Q111" s="5" cm="1">
        <f t="array" aca="1" ref="Q111" ca="1">_FV(Table3[[#This Row],[Currency Pair]],"Change (%)",TRUE)</f>
        <v>-9.5149999999999998E-4</v>
      </c>
      <c r="R111" s="5" cm="1">
        <f t="array" aca="1" ref="R111" ca="1">_FV(Table3[[#This Row],[Currency Pair]],"Last trade time",TRUE)</f>
        <v>45957.216817129629</v>
      </c>
    </row>
    <row r="112" spans="1:18" x14ac:dyDescent="0.4">
      <c r="A112" s="1" t="e" vm="733">
        <v>#VALUE!</v>
      </c>
      <c r="B112" s="1" cm="1" vm="734">
        <f t="array" aca="1" ref="B112" ca="1">_FV(Table2[[#This Row],[Country]],"Calling code",TRUE)</f>
        <v>598</v>
      </c>
      <c r="C112" s="1" cm="1" vm="735">
        <f t="array" aca="1" ref="C112" ca="1">_FV(Table2[[#This Row],[Country]],"GDP")</f>
        <v>56045912952.342003</v>
      </c>
      <c r="D112" s="1" t="str" cm="1">
        <f t="array" aca="1" ref="D112" ca="1">_FV(Table2[[#This Row],[Country]],"National anthem",TRUE)</f>
        <v>National Anthem of Uruguay</v>
      </c>
      <c r="E112" s="1" t="e" cm="1" vm="736">
        <f t="array" aca="1" ref="E112" ca="1">_FV(Table2[[#This Row],[Country]],"Largest city",TRUE)</f>
        <v>#VALUE!</v>
      </c>
      <c r="F112" s="1" t="e" cm="1" vm="737">
        <f t="array" aca="1" ref="F112" ca="1">_FV(Table2[[#This Row],[Country]],"Image")</f>
        <v>#VALUE!</v>
      </c>
      <c r="G112" s="1" t="e" cm="1" vm="736">
        <f t="array" aca="1" ref="G112" ca="1">_FV(Table2[[#This Row],[Country]],"Capital/Major City",TRUE)</f>
        <v>#VALUE!</v>
      </c>
      <c r="H112" s="1" t="str" cm="1">
        <f t="array" aca="1" ref="H112" ca="1">_xlfn.ARRAYTOTEXT(_FV(Table2[[#This Row],[Country]],"Leader(s)",TRUE))</f>
        <v>Luis Lacalle Pou (President), Beatriz Argimón (Vice president)</v>
      </c>
      <c r="K112" s="3" t="e" vm="738">
        <v>#VALUE!</v>
      </c>
      <c r="L112" s="53" cm="1">
        <f t="array" aca="1" ref="L112" ca="1">_FV(Table3[[#This Row],[Currency Pair]],"52 week high",TRUE)</f>
        <v>1492</v>
      </c>
      <c r="M112" s="53" cm="1">
        <f t="array" aca="1" ref="M112" ca="1">_FV(Table3[[#This Row],[Currency Pair]],"52 week low",TRUE)</f>
        <v>983</v>
      </c>
      <c r="N112" s="53" cm="1">
        <f t="array" aca="1" ref="N112" ca="1">_FV(Table3[[#This Row],[Currency Pair]],"Price")</f>
        <v>1491.5</v>
      </c>
      <c r="O112" s="5" t="str" cm="1">
        <f t="array" aca="1" ref="O112" ca="1">_FV(Table3[[#This Row],[Currency Pair]],"Instrument type",TRUE)</f>
        <v>Currency Pair</v>
      </c>
      <c r="P112" s="5" t="str" cm="1">
        <f t="array" aca="1" ref="P112" ca="1">_FV(Table3[[#This Row],[Currency Pair]],"Ticker symbol",TRUE)</f>
        <v>USDARS</v>
      </c>
      <c r="Q112" s="5" cm="1">
        <f t="array" aca="1" ref="Q112" ca="1">_FV(Table3[[#This Row],[Currency Pair]],"Change (%)",TRUE)</f>
        <v>0</v>
      </c>
      <c r="R112" s="5" cm="1">
        <f t="array" aca="1" ref="R112" ca="1">_FV(Table3[[#This Row],[Currency Pair]],"Last trade time",TRUE)</f>
        <v>45954.750428240739</v>
      </c>
    </row>
    <row r="113" spans="1:18" x14ac:dyDescent="0.4">
      <c r="A113" s="1" t="e" vm="739">
        <v>#VALUE!</v>
      </c>
      <c r="B113" s="1" cm="1" vm="740">
        <f t="array" aca="1" ref="B113" ca="1">_FV(Table2[[#This Row],[Country]],"Calling code",TRUE)</f>
        <v>998</v>
      </c>
      <c r="C113" s="1" cm="1" vm="741">
        <f t="array" aca="1" ref="C113" ca="1">_FV(Table2[[#This Row],[Country]],"GDP")</f>
        <v>57921286440.349503</v>
      </c>
      <c r="D113" s="1" t="str" cm="1">
        <f t="array" aca="1" ref="D113" ca="1">_FV(Table2[[#This Row],[Country]],"National anthem",TRUE)</f>
        <v>National Anthem of Uzbekistan</v>
      </c>
      <c r="E113" s="1" t="e" cm="1" vm="742">
        <f t="array" aca="1" ref="E113" ca="1">_FV(Table2[[#This Row],[Country]],"Largest city",TRUE)</f>
        <v>#VALUE!</v>
      </c>
      <c r="F113" s="1" t="e" cm="1" vm="743">
        <f t="array" aca="1" ref="F113" ca="1">_FV(Table2[[#This Row],[Country]],"Image")</f>
        <v>#VALUE!</v>
      </c>
      <c r="G113" s="1" t="e" cm="1" vm="742">
        <f t="array" aca="1" ref="G113" ca="1">_FV(Table2[[#This Row],[Country]],"Capital/Major City",TRUE)</f>
        <v>#VALUE!</v>
      </c>
      <c r="H113" s="1" t="str" cm="1">
        <f t="array" aca="1" ref="H113" ca="1">_xlfn.ARRAYTOTEXT(_FV(Table2[[#This Row],[Country]],"Leader(s)",TRUE))</f>
        <v>Shavkat Mirziyoyev (President), Abdulla Aripov (Prime minister)</v>
      </c>
      <c r="K113" s="3" t="e" vm="744">
        <v>#VALUE!</v>
      </c>
      <c r="L113" s="6" cm="1">
        <f t="array" aca="1" ref="L113" ca="1">_FV(Table3[[#This Row],[Currency Pair]],"52 week high",TRUE)</f>
        <v>1.0200000000000001E-3</v>
      </c>
      <c r="M113" s="6" cm="1">
        <f t="array" aca="1" ref="M113" ca="1">_FV(Table3[[#This Row],[Currency Pair]],"52 week low",TRUE)</f>
        <v>6.7000000000000002E-4</v>
      </c>
      <c r="N113" s="6" cm="1">
        <f t="array" aca="1" ref="N113" ca="1">_FV(Table3[[#This Row],[Currency Pair]],"Price")</f>
        <v>6.7000000000000002E-4</v>
      </c>
      <c r="O113" s="5" t="str" cm="1">
        <f t="array" aca="1" ref="O113" ca="1">_FV(Table3[[#This Row],[Currency Pair]],"Instrument type",TRUE)</f>
        <v>Currency Pair</v>
      </c>
      <c r="P113" s="5" t="str" cm="1">
        <f t="array" aca="1" ref="P113" ca="1">_FV(Table3[[#This Row],[Currency Pair]],"Ticker symbol",TRUE)</f>
        <v>ARSUSD</v>
      </c>
      <c r="Q113" s="5" cm="1">
        <f t="array" aca="1" ref="Q113" ca="1">_FV(Table3[[#This Row],[Currency Pair]],"Change (%)",TRUE)</f>
        <v>0</v>
      </c>
      <c r="R113" s="5" cm="1">
        <f t="array" aca="1" ref="R113" ca="1">_FV(Table3[[#This Row],[Currency Pair]],"Last trade time",TRUE)</f>
        <v>45954.750428240739</v>
      </c>
    </row>
    <row r="114" spans="1:18" x14ac:dyDescent="0.4">
      <c r="A114" s="1" t="e" vm="745">
        <v>#VALUE!</v>
      </c>
      <c r="B114" s="1" cm="1" vm="746">
        <f t="array" aca="1" ref="B114" ca="1">_FV(Table2[[#This Row],[Country]],"Calling code",TRUE)</f>
        <v>678</v>
      </c>
      <c r="C114" s="1" cm="1" vm="747">
        <f t="array" aca="1" ref="C114" ca="1">_FV(Table2[[#This Row],[Country]],"GDP")</f>
        <v>917058850.81656301</v>
      </c>
      <c r="D114" s="1" t="str" cm="1">
        <f t="array" aca="1" ref="D114" ca="1">_FV(Table2[[#This Row],[Country]],"National anthem",TRUE)</f>
        <v>Yumi, Yumi</v>
      </c>
      <c r="E114" s="1" t="e" cm="1" vm="748">
        <f t="array" aca="1" ref="E114" ca="1">_FV(Table2[[#This Row],[Country]],"Largest city",TRUE)</f>
        <v>#VALUE!</v>
      </c>
      <c r="F114" s="1" t="e" cm="1" vm="749">
        <f t="array" aca="1" ref="F114" ca="1">_FV(Table2[[#This Row],[Country]],"Image")</f>
        <v>#VALUE!</v>
      </c>
      <c r="G114" s="1" t="e" cm="1" vm="748">
        <f t="array" aca="1" ref="G114" ca="1">_FV(Table2[[#This Row],[Country]],"Capital/Major City",TRUE)</f>
        <v>#VALUE!</v>
      </c>
      <c r="H114" s="1" t="str" cm="1">
        <f t="array" aca="1" ref="H114" ca="1">_xlfn.ARRAYTOTEXT(_FV(Table2[[#This Row],[Country]],"Leader(s)",TRUE))</f>
        <v>Nikenike Vurobaravu (President), Charlot Salwai (Prime minister)</v>
      </c>
      <c r="K114" s="3" t="e" vm="750">
        <v>#VALUE!</v>
      </c>
      <c r="L114" s="54" cm="1">
        <f t="array" aca="1" ref="L114" ca="1">_FV(Table3[[#This Row],[Currency Pair]],"52 week high",TRUE)</f>
        <v>4537</v>
      </c>
      <c r="M114" s="54" cm="1">
        <f t="array" aca="1" ref="M114" ca="1">_FV(Table3[[#This Row],[Currency Pair]],"52 week low",TRUE)</f>
        <v>3764.43</v>
      </c>
      <c r="N114" s="54" cm="1">
        <f t="array" aca="1" ref="N114" ca="1">_FV(Table3[[#This Row],[Currency Pair]],"Price")</f>
        <v>3872.5</v>
      </c>
      <c r="O114" s="5" t="str" cm="1">
        <f t="array" aca="1" ref="O114" ca="1">_FV(Table3[[#This Row],[Currency Pair]],"Instrument type",TRUE)</f>
        <v>Currency Pair</v>
      </c>
      <c r="P114" s="5" t="str" cm="1">
        <f t="array" aca="1" ref="P114" ca="1">_FV(Table3[[#This Row],[Currency Pair]],"Ticker symbol",TRUE)</f>
        <v>USDCOP</v>
      </c>
      <c r="Q114" s="5" cm="1">
        <f t="array" aca="1" ref="Q114" ca="1">_FV(Table3[[#This Row],[Currency Pair]],"Change (%)",TRUE)</f>
        <v>0</v>
      </c>
      <c r="R114" s="5" cm="1">
        <f t="array" aca="1" ref="R114" ca="1">_FV(Table3[[#This Row],[Currency Pair]],"Last trade time",TRUE)</f>
        <v>45954.874467592592</v>
      </c>
    </row>
    <row r="115" spans="1:18" x14ac:dyDescent="0.4">
      <c r="A115" s="1" t="e" vm="751">
        <v>#VALUE!</v>
      </c>
      <c r="B115" s="1" cm="1" vm="45">
        <f t="array" aca="1" ref="B115" ca="1">_FV(Table2[[#This Row],[Country]],"Calling code",TRUE)</f>
        <v>39</v>
      </c>
      <c r="C115" s="1" t="e" cm="1" vm="752">
        <f t="array" ref="C115">_FV(Table2[[#This Row],[Country]],"GDP")</f>
        <v>#VALUE!</v>
      </c>
      <c r="D115" s="1" t="str" cm="1">
        <f t="array" aca="1" ref="D115" ca="1">_FV(Table2[[#This Row],[Country]],"National anthem",TRUE)</f>
        <v>Inno e Marcia Pontificale</v>
      </c>
      <c r="E115" s="1" t="e" cm="1" vm="216">
        <f t="array" ref="E115">_FV(Table2[[#This Row],[Country]],"Largest city",TRUE)</f>
        <v>#VALUE!</v>
      </c>
      <c r="F115" s="1" t="e" cm="1" vm="753">
        <f t="array" aca="1" ref="F115" ca="1">_FV(Table2[[#This Row],[Country]],"Image")</f>
        <v>#VALUE!</v>
      </c>
      <c r="G115" s="1" t="str" cm="1">
        <f t="array" aca="1" ref="G115" ca="1">_FV(Table2[[#This Row],[Country]],"Capital/Major City",TRUE)</f>
        <v>Vatican City</v>
      </c>
      <c r="H115" s="1" t="str" cm="1">
        <f t="array" aca="1" ref="H115" ca="1">_xlfn.ARRAYTOTEXT(_FV(Table2[[#This Row],[Country]],"Leader(s)",TRUE))</f>
        <v>Pietro Parolin (Secretary of state)</v>
      </c>
      <c r="K115" s="3" t="e" vm="754">
        <v>#VALUE!</v>
      </c>
      <c r="L115" s="6" cm="1">
        <f t="array" aca="1" ref="L115" ca="1">_FV(Table3[[#This Row],[Currency Pair]],"52 week high",TRUE)</f>
        <v>2.654E-4</v>
      </c>
      <c r="M115" s="6" cm="1">
        <f t="array" aca="1" ref="M115" ca="1">_FV(Table3[[#This Row],[Currency Pair]],"52 week low",TRUE)</f>
        <v>2.198E-4</v>
      </c>
      <c r="N115" s="6" cm="1">
        <f t="array" aca="1" ref="N115" ca="1">_FV(Table3[[#This Row],[Currency Pair]],"Price")</f>
        <v>2.5789999999999998E-4</v>
      </c>
      <c r="O115" s="5" t="str" cm="1">
        <f t="array" aca="1" ref="O115" ca="1">_FV(Table3[[#This Row],[Currency Pair]],"Instrument type",TRUE)</f>
        <v>Currency Pair</v>
      </c>
      <c r="P115" s="5" t="str" cm="1">
        <f t="array" aca="1" ref="P115" ca="1">_FV(Table3[[#This Row],[Currency Pair]],"Ticker symbol",TRUE)</f>
        <v>COPUSD</v>
      </c>
      <c r="Q115" s="5" cm="1">
        <f t="array" aca="1" ref="Q115" ca="1">_FV(Table3[[#This Row],[Currency Pair]],"Change (%)",TRUE)</f>
        <v>0</v>
      </c>
      <c r="R115" s="5" cm="1">
        <f t="array" aca="1" ref="R115" ca="1">_FV(Table3[[#This Row],[Currency Pair]],"Last trade time",TRUE)</f>
        <v>45954.874467592592</v>
      </c>
    </row>
    <row r="116" spans="1:18" x14ac:dyDescent="0.4">
      <c r="A116" s="1" t="e" vm="755">
        <v>#VALUE!</v>
      </c>
      <c r="B116" s="1" cm="1" vm="756">
        <f t="array" aca="1" ref="B116" ca="1">_FV(Table2[[#This Row],[Country]],"Calling code",TRUE)</f>
        <v>58</v>
      </c>
      <c r="C116" s="1" cm="1" vm="757">
        <f t="array" aca="1" ref="C116" ca="1">_FV(Table2[[#This Row],[Country]],"GDP")</f>
        <v>482359318767.703</v>
      </c>
      <c r="D116" s="1" t="str" cm="1">
        <f t="array" aca="1" ref="D116" ca="1">_FV(Table2[[#This Row],[Country]],"National anthem",TRUE)</f>
        <v>Gloria al Bravo Pueblo</v>
      </c>
      <c r="E116" s="1" t="e" cm="1" vm="758">
        <f t="array" aca="1" ref="E116" ca="1">_FV(Table2[[#This Row],[Country]],"Largest city",TRUE)</f>
        <v>#VALUE!</v>
      </c>
      <c r="F116" s="1" t="e" cm="1" vm="759">
        <f t="array" aca="1" ref="F116" ca="1">_FV(Table2[[#This Row],[Country]],"Image")</f>
        <v>#VALUE!</v>
      </c>
      <c r="G116" s="1" t="e" cm="1" vm="758">
        <f t="array" aca="1" ref="G116" ca="1">_FV(Table2[[#This Row],[Country]],"Capital/Major City",TRUE)</f>
        <v>#VALUE!</v>
      </c>
      <c r="H116" s="1" t="str" cm="1">
        <f t="array" aca="1" ref="H116" ca="1">_xlfn.ARRAYTOTEXT(_FV(Table2[[#This Row],[Country]],"Leader(s)",TRUE))</f>
        <v>Nicolás Maduro (President), Delcy Rodríguez (Vice president)</v>
      </c>
      <c r="K116" s="3" t="e" vm="760">
        <v>#VALUE!</v>
      </c>
      <c r="L116" s="55" cm="1">
        <f t="array" aca="1" ref="L116" ca="1">_FV(Table3[[#This Row],[Currency Pair]],"52 week high",TRUE)</f>
        <v>3.81</v>
      </c>
      <c r="M116" s="55" cm="1">
        <f t="array" aca="1" ref="M116" ca="1">_FV(Table3[[#This Row],[Currency Pair]],"52 week low",TRUE)</f>
        <v>3.3607</v>
      </c>
      <c r="N116" s="55" cm="1">
        <f t="array" aca="1" ref="N116" ca="1">_FV(Table3[[#This Row],[Currency Pair]],"Price")</f>
        <v>3.3828</v>
      </c>
      <c r="O116" s="5" t="str" cm="1">
        <f t="array" aca="1" ref="O116" ca="1">_FV(Table3[[#This Row],[Currency Pair]],"Instrument type",TRUE)</f>
        <v>Currency Pair</v>
      </c>
      <c r="P116" s="5" t="str" cm="1">
        <f t="array" aca="1" ref="P116" ca="1">_FV(Table3[[#This Row],[Currency Pair]],"Ticker symbol",TRUE)</f>
        <v>USDPEN</v>
      </c>
      <c r="Q116" s="5" cm="1">
        <f t="array" aca="1" ref="Q116" ca="1">_FV(Table3[[#This Row],[Currency Pair]],"Change (%)",TRUE)</f>
        <v>5.9129999999999998E-5</v>
      </c>
      <c r="R116" s="5" cm="1">
        <f t="array" aca="1" ref="R116" ca="1">_FV(Table3[[#This Row],[Currency Pair]],"Last trade time",TRUE)</f>
        <v>45954.875104166669</v>
      </c>
    </row>
    <row r="117" spans="1:18" x14ac:dyDescent="0.4">
      <c r="A117" s="1" t="e" vm="761">
        <v>#VALUE!</v>
      </c>
      <c r="B117" s="1" cm="1" vm="762">
        <f t="array" aca="1" ref="B117" ca="1">_FV(Table2[[#This Row],[Country]],"Calling code",TRUE)</f>
        <v>84</v>
      </c>
      <c r="C117" s="1" cm="1" vm="763">
        <f t="array" aca="1" ref="C117" ca="1">_FV(Table2[[#This Row],[Country]],"GDP")</f>
        <v>261921244843.172</v>
      </c>
      <c r="D117" s="1" t="str" cm="1">
        <f t="array" aca="1" ref="D117" ca="1">_FV(Table2[[#This Row],[Country]],"National anthem",TRUE)</f>
        <v>Tiến Quân Ca</v>
      </c>
      <c r="E117" s="1" t="e" cm="1" vm="764">
        <f t="array" aca="1" ref="E117" ca="1">_FV(Table2[[#This Row],[Country]],"Largest city",TRUE)</f>
        <v>#VALUE!</v>
      </c>
      <c r="F117" s="1" t="e" cm="1" vm="765">
        <f t="array" aca="1" ref="F117" ca="1">_FV(Table2[[#This Row],[Country]],"Image")</f>
        <v>#VALUE!</v>
      </c>
      <c r="G117" s="1" t="e" cm="1" vm="766">
        <f t="array" aca="1" ref="G117" ca="1">_FV(Table2[[#This Row],[Country]],"Capital/Major City",TRUE)</f>
        <v>#VALUE!</v>
      </c>
      <c r="H117" s="1" t="str" cm="1">
        <f t="array" aca="1" ref="H117" ca="1">_xlfn.ARRAYTOTEXT(_FV(Table2[[#This Row],[Country]],"Leader(s)",TRUE))</f>
        <v>Võ Văn Thưởng (President), Phạm Minh Chính (Prime minister)</v>
      </c>
      <c r="K117" s="3" t="e" vm="767">
        <v>#VALUE!</v>
      </c>
      <c r="L117" s="6" cm="1">
        <f t="array" aca="1" ref="L117" ca="1">_FV(Table3[[#This Row],[Currency Pair]],"52 week high",TRUE)</f>
        <v>0.29720000000000002</v>
      </c>
      <c r="M117" s="6" cm="1">
        <f t="array" aca="1" ref="M117" ca="1">_FV(Table3[[#This Row],[Currency Pair]],"52 week low",TRUE)</f>
        <v>0.2621</v>
      </c>
      <c r="N117" s="6" cm="1">
        <f t="array" aca="1" ref="N117" ca="1">_FV(Table3[[#This Row],[Currency Pair]],"Price")</f>
        <v>0.29530000000000001</v>
      </c>
      <c r="O117" s="5" t="str" cm="1">
        <f t="array" aca="1" ref="O117" ca="1">_FV(Table3[[#This Row],[Currency Pair]],"Instrument type",TRUE)</f>
        <v>Currency Pair</v>
      </c>
      <c r="P117" s="5" t="str" cm="1">
        <f t="array" aca="1" ref="P117" ca="1">_FV(Table3[[#This Row],[Currency Pair]],"Ticker symbol",TRUE)</f>
        <v>PENUSD</v>
      </c>
      <c r="Q117" s="5" cm="1">
        <f t="array" aca="1" ref="Q117" ca="1">_FV(Table3[[#This Row],[Currency Pair]],"Change (%)",TRUE)</f>
        <v>0</v>
      </c>
      <c r="R117" s="5" cm="1">
        <f t="array" aca="1" ref="R117" ca="1">_FV(Table3[[#This Row],[Currency Pair]],"Last trade time",TRUE)</f>
        <v>45954.875104166669</v>
      </c>
    </row>
    <row r="118" spans="1:18" x14ac:dyDescent="0.4">
      <c r="A118" s="1" t="e" vm="768">
        <v>#VALUE!</v>
      </c>
      <c r="B118" s="1" cm="1" vm="769">
        <f t="array" aca="1" ref="B118" ca="1">_FV(Table2[[#This Row],[Country]],"Calling code",TRUE)</f>
        <v>967</v>
      </c>
      <c r="C118" s="1" cm="1" vm="770">
        <f t="array" aca="1" ref="C118" ca="1">_FV(Table2[[#This Row],[Country]],"GDP")</f>
        <v>26914402223.782799</v>
      </c>
      <c r="D118" s="1" t="str" cm="1">
        <f t="array" aca="1" ref="D118" ca="1">_FV(Table2[[#This Row],[Country]],"National anthem",TRUE)</f>
        <v>National anthem of Yemen</v>
      </c>
      <c r="E118" s="1" t="e" cm="1" vm="771">
        <f t="array" aca="1" ref="E118" ca="1">_FV(Table2[[#This Row],[Country]],"Largest city",TRUE)</f>
        <v>#VALUE!</v>
      </c>
      <c r="F118" s="1" t="e" cm="1" vm="772">
        <f t="array" aca="1" ref="F118" ca="1">_FV(Table2[[#This Row],[Country]],"Image")</f>
        <v>#VALUE!</v>
      </c>
      <c r="G118" s="1" t="e" cm="1" vm="771">
        <f t="array" aca="1" ref="G118" ca="1">_FV(Table2[[#This Row],[Country]],"Capital/Major City",TRUE)</f>
        <v>#VALUE!</v>
      </c>
      <c r="H118" s="1" t="str" cm="1">
        <f t="array" aca="1" ref="H118" ca="1">_xlfn.ARRAYTOTEXT(_FV(Table2[[#This Row],[Country]],"Leader(s)",TRUE))</f>
        <v>Maeen Abdulmalik Saeed (Prime minister)</v>
      </c>
      <c r="K118" s="3" t="e" vm="773">
        <v>#VALUE!</v>
      </c>
      <c r="L118" s="56" cm="1">
        <f t="array" aca="1" ref="L118" ca="1">_FV(Table3[[#This Row],[Currency Pair]],"52 week high",TRUE)</f>
        <v>514</v>
      </c>
      <c r="M118" s="56" cm="1">
        <f t="array" aca="1" ref="M118" ca="1">_FV(Table3[[#This Row],[Currency Pair]],"52 week low",TRUE)</f>
        <v>495</v>
      </c>
      <c r="N118" s="56" cm="1">
        <f t="array" aca="1" ref="N118" ca="1">_FV(Table3[[#This Row],[Currency Pair]],"Price")</f>
        <v>497.43</v>
      </c>
      <c r="O118" s="5" t="str" cm="1">
        <f t="array" aca="1" ref="O118" ca="1">_FV(Table3[[#This Row],[Currency Pair]],"Instrument type",TRUE)</f>
        <v>Currency Pair</v>
      </c>
      <c r="P118" s="5" t="str" cm="1">
        <f t="array" aca="1" ref="P118" ca="1">_FV(Table3[[#This Row],[Currency Pair]],"Ticker symbol",TRUE)</f>
        <v>USDCRC</v>
      </c>
      <c r="Q118" s="5" cm="1">
        <f t="array" aca="1" ref="Q118" ca="1">_FV(Table3[[#This Row],[Currency Pair]],"Change (%)",TRUE)</f>
        <v>0</v>
      </c>
      <c r="R118" s="5" cm="1">
        <f t="array" aca="1" ref="R118" ca="1">_FV(Table3[[#This Row],[Currency Pair]],"Last trade time",TRUE)</f>
        <v>45957.21769675926</v>
      </c>
    </row>
    <row r="119" spans="1:18" x14ac:dyDescent="0.4">
      <c r="K119" s="3" t="e" vm="774">
        <v>#VALUE!</v>
      </c>
      <c r="L119" s="6" cm="1">
        <f t="array" aca="1" ref="L119" ca="1">_FV(Table3[[#This Row],[Currency Pair]],"52 week high",TRUE)</f>
        <v>2E-3</v>
      </c>
      <c r="M119" s="6" cm="1">
        <f t="array" aca="1" ref="M119" ca="1">_FV(Table3[[#This Row],[Currency Pair]],"52 week low",TRUE)</f>
        <v>1.92E-3</v>
      </c>
      <c r="N119" s="6" cm="1">
        <f t="array" aca="1" ref="N119" ca="1">_FV(Table3[[#This Row],[Currency Pair]],"Price")</f>
        <v>1.98E-3</v>
      </c>
      <c r="O119" s="5" t="str" cm="1">
        <f t="array" aca="1" ref="O119" ca="1">_FV(Table3[[#This Row],[Currency Pair]],"Instrument type",TRUE)</f>
        <v>Currency Pair</v>
      </c>
      <c r="P119" s="5" t="str" cm="1">
        <f t="array" aca="1" ref="P119" ca="1">_FV(Table3[[#This Row],[Currency Pair]],"Ticker symbol",TRUE)</f>
        <v>CRCUSD</v>
      </c>
      <c r="Q119" s="5" cm="1">
        <f t="array" aca="1" ref="Q119" ca="1">_FV(Table3[[#This Row],[Currency Pair]],"Change (%)",TRUE)</f>
        <v>0</v>
      </c>
      <c r="R119" s="5" cm="1">
        <f t="array" aca="1" ref="R119" ca="1">_FV(Table3[[#This Row],[Currency Pair]],"Last trade time",TRUE)</f>
        <v>45957.21769675926</v>
      </c>
    </row>
    <row r="120" spans="1:18" x14ac:dyDescent="0.4">
      <c r="K120" s="3" t="e" vm="775">
        <v>#VALUE!</v>
      </c>
      <c r="L120" s="57" cm="1">
        <f t="array" aca="1" ref="L120" ca="1">_FV(Table3[[#This Row],[Currency Pair]],"52 week high",TRUE)</f>
        <v>36.630000000000003</v>
      </c>
      <c r="M120" s="57" cm="1">
        <f t="array" aca="1" ref="M120" ca="1">_FV(Table3[[#This Row],[Currency Pair]],"52 week low",TRUE)</f>
        <v>36.450000000000003</v>
      </c>
      <c r="N120" s="57" cm="1">
        <f t="array" aca="1" ref="N120" ca="1">_FV(Table3[[#This Row],[Currency Pair]],"Price")</f>
        <v>36.6</v>
      </c>
      <c r="O120" s="5" t="str" cm="1">
        <f t="array" aca="1" ref="O120" ca="1">_FV(Table3[[#This Row],[Currency Pair]],"Instrument type",TRUE)</f>
        <v>Currency Pair</v>
      </c>
      <c r="P120" s="5" t="str" cm="1">
        <f t="array" aca="1" ref="P120" ca="1">_FV(Table3[[#This Row],[Currency Pair]],"Ticker symbol",TRUE)</f>
        <v>USDNIO</v>
      </c>
      <c r="Q120" s="5" cm="1">
        <f t="array" aca="1" ref="Q120" ca="1">_FV(Table3[[#This Row],[Currency Pair]],"Change (%)",TRUE)</f>
        <v>0</v>
      </c>
      <c r="R120" s="5" cm="1">
        <f t="array" aca="1" ref="R120" ca="1">_FV(Table3[[#This Row],[Currency Pair]],"Last trade time",TRUE)</f>
        <v>45957.217789351853</v>
      </c>
    </row>
    <row r="121" spans="1:18" x14ac:dyDescent="0.4">
      <c r="K121" s="3" t="e" vm="776">
        <v>#VALUE!</v>
      </c>
      <c r="L121" s="6" cm="1">
        <f t="array" aca="1" ref="L121" ca="1">_FV(Table3[[#This Row],[Currency Pair]],"52 week high",TRUE)</f>
        <v>2.7310000000000001E-2</v>
      </c>
      <c r="M121" s="6" cm="1">
        <f t="array" aca="1" ref="M121" ca="1">_FV(Table3[[#This Row],[Currency Pair]],"52 week low",TRUE)</f>
        <v>2.6749999999999999E-2</v>
      </c>
      <c r="N121" s="6" cm="1">
        <f t="array" aca="1" ref="N121" ca="1">_FV(Table3[[#This Row],[Currency Pair]],"Price")</f>
        <v>2.7029999999999998E-2</v>
      </c>
      <c r="O121" s="5" t="str" cm="1">
        <f t="array" aca="1" ref="O121" ca="1">_FV(Table3[[#This Row],[Currency Pair]],"Instrument type",TRUE)</f>
        <v>Currency Pair</v>
      </c>
      <c r="P121" s="5" t="str" cm="1">
        <f t="array" aca="1" ref="P121" ca="1">_FV(Table3[[#This Row],[Currency Pair]],"Ticker symbol",TRUE)</f>
        <v>NIOUSD</v>
      </c>
      <c r="Q121" s="5" cm="1">
        <f t="array" aca="1" ref="Q121" ca="1">_FV(Table3[[#This Row],[Currency Pair]],"Change (%)",TRUE)</f>
        <v>0</v>
      </c>
      <c r="R121" s="5" cm="1">
        <f t="array" aca="1" ref="R121" ca="1">_FV(Table3[[#This Row],[Currency Pair]],"Last trade time",TRUE)</f>
        <v>45957.217789351853</v>
      </c>
    </row>
    <row r="122" spans="1:18" x14ac:dyDescent="0.4">
      <c r="K122" s="3" t="e" vm="777">
        <v>#VALUE!</v>
      </c>
      <c r="L122" s="58" cm="1">
        <f t="array" aca="1" ref="L122" ca="1">_FV(Table3[[#This Row],[Currency Pair]],"52 week high",TRUE)</f>
        <v>63.88</v>
      </c>
      <c r="M122" s="58" cm="1">
        <f t="array" aca="1" ref="M122" ca="1">_FV(Table3[[#This Row],[Currency Pair]],"52 week low",TRUE)</f>
        <v>58.4</v>
      </c>
      <c r="N122" s="58" cm="1">
        <f t="array" aca="1" ref="N122" ca="1">_FV(Table3[[#This Row],[Currency Pair]],"Price")</f>
        <v>63.81</v>
      </c>
      <c r="O122" s="5" t="str" cm="1">
        <f t="array" aca="1" ref="O122" ca="1">_FV(Table3[[#This Row],[Currency Pair]],"Instrument type",TRUE)</f>
        <v>Currency Pair</v>
      </c>
      <c r="P122" s="5" t="str" cm="1">
        <f t="array" aca="1" ref="P122" ca="1">_FV(Table3[[#This Row],[Currency Pair]],"Ticker symbol",TRUE)</f>
        <v>USDDOP</v>
      </c>
      <c r="Q122" s="5" cm="1">
        <f t="array" aca="1" ref="Q122" ca="1">_FV(Table3[[#This Row],[Currency Pair]],"Change (%)",TRUE)</f>
        <v>-1.096E-3</v>
      </c>
      <c r="R122" s="5" cm="1">
        <f t="array" aca="1" ref="R122" ca="1">_FV(Table3[[#This Row],[Currency Pair]],"Last trade time",TRUE)</f>
        <v>45957.209131944444</v>
      </c>
    </row>
    <row r="123" spans="1:18" x14ac:dyDescent="0.4">
      <c r="K123" s="3" t="e" vm="778">
        <v>#VALUE!</v>
      </c>
      <c r="L123" s="6" cm="1">
        <f t="array" aca="1" ref="L123" ca="1">_FV(Table3[[#This Row],[Currency Pair]],"52 week high",TRUE)</f>
        <v>1.6969999999999999E-2</v>
      </c>
      <c r="M123" s="6" cm="1">
        <f t="array" aca="1" ref="M123" ca="1">_FV(Table3[[#This Row],[Currency Pair]],"52 week low",TRUE)</f>
        <v>1.555E-2</v>
      </c>
      <c r="N123" s="6" cm="1">
        <f t="array" aca="1" ref="N123" ca="1">_FV(Table3[[#This Row],[Currency Pair]],"Price")</f>
        <v>1.5570000000000001E-2</v>
      </c>
      <c r="O123" s="5" t="str" cm="1">
        <f t="array" aca="1" ref="O123" ca="1">_FV(Table3[[#This Row],[Currency Pair]],"Instrument type",TRUE)</f>
        <v>Currency Pair</v>
      </c>
      <c r="P123" s="5" t="str" cm="1">
        <f t="array" aca="1" ref="P123" ca="1">_FV(Table3[[#This Row],[Currency Pair]],"Ticker symbol",TRUE)</f>
        <v>DOPUSD</v>
      </c>
      <c r="Q123" s="5" cm="1">
        <f t="array" aca="1" ref="Q123" ca="1">_FV(Table3[[#This Row],[Currency Pair]],"Change (%)",TRUE)</f>
        <v>6.4269999999999996E-4</v>
      </c>
      <c r="R123" s="5" cm="1">
        <f t="array" aca="1" ref="R123" ca="1">_FV(Table3[[#This Row],[Currency Pair]],"Last trade time",TRUE)</f>
        <v>45957.209131944444</v>
      </c>
    </row>
    <row r="124" spans="1:18" x14ac:dyDescent="0.4">
      <c r="K124" s="3" t="e" vm="779">
        <v>#VALUE!</v>
      </c>
      <c r="L124" s="46" cm="1">
        <f t="array" aca="1" ref="L124" ca="1">_FV(Table3[[#This Row],[Currency Pair]],"52 week high",TRUE)</f>
        <v>73.45</v>
      </c>
      <c r="M124" s="46" cm="1">
        <f t="array" aca="1" ref="M124" ca="1">_FV(Table3[[#This Row],[Currency Pair]],"52 week low",TRUE)</f>
        <v>69</v>
      </c>
      <c r="N124" s="46" cm="1">
        <f t="array" aca="1" ref="N124" ca="1">_FV(Table3[[#This Row],[Currency Pair]],"Price")</f>
        <v>72.45</v>
      </c>
      <c r="O124" s="5" t="str" cm="1">
        <f t="array" aca="1" ref="O124" ca="1">_FV(Table3[[#This Row],[Currency Pair]],"Instrument type",TRUE)</f>
        <v>Currency Pair</v>
      </c>
      <c r="P124" s="5" t="str" cm="1">
        <f t="array" aca="1" ref="P124" ca="1">_FV(Table3[[#This Row],[Currency Pair]],"Ticker symbol",TRUE)</f>
        <v>USDGMD</v>
      </c>
      <c r="Q124" s="5" cm="1">
        <f t="array" aca="1" ref="Q124" ca="1">_FV(Table3[[#This Row],[Currency Pair]],"Change (%)",TRUE)</f>
        <v>0</v>
      </c>
      <c r="R124" s="5" cm="1">
        <f t="array" aca="1" ref="R124" ca="1">_FV(Table3[[#This Row],[Currency Pair]],"Last trade time",TRUE)</f>
        <v>45957.145671296297</v>
      </c>
    </row>
    <row r="125" spans="1:18" x14ac:dyDescent="0.4">
      <c r="K125" s="3" t="e" vm="780">
        <v>#VALUE!</v>
      </c>
      <c r="L125" s="6" cm="1">
        <f t="array" aca="1" ref="L125" ca="1">_FV(Table3[[#This Row],[Currency Pair]],"52 week high",TRUE)</f>
        <v>1.41E-2</v>
      </c>
      <c r="M125" s="6" cm="1">
        <f t="array" aca="1" ref="M125" ca="1">_FV(Table3[[#This Row],[Currency Pair]],"52 week low",TRUE)</f>
        <v>1.34E-2</v>
      </c>
      <c r="N125" s="6" cm="1">
        <f t="array" aca="1" ref="N125" ca="1">_FV(Table3[[#This Row],[Currency Pair]],"Price")</f>
        <v>1.34E-2</v>
      </c>
      <c r="O125" s="5" t="str" cm="1">
        <f t="array" aca="1" ref="O125" ca="1">_FV(Table3[[#This Row],[Currency Pair]],"Instrument type",TRUE)</f>
        <v>Currency Pair</v>
      </c>
      <c r="P125" s="5" t="str" cm="1">
        <f t="array" aca="1" ref="P125" ca="1">_FV(Table3[[#This Row],[Currency Pair]],"Ticker symbol",TRUE)</f>
        <v>GMDUSD</v>
      </c>
      <c r="Q125" s="5" cm="1">
        <f t="array" aca="1" ref="Q125" ca="1">_FV(Table3[[#This Row],[Currency Pair]],"Change (%)",TRUE)</f>
        <v>0</v>
      </c>
      <c r="R125" s="5" cm="1">
        <f t="array" aca="1" ref="R125" ca="1">_FV(Table3[[#This Row],[Currency Pair]],"Last trade time",TRUE)</f>
        <v>45957.145671296297</v>
      </c>
    </row>
    <row r="126" spans="1:18" x14ac:dyDescent="0.4">
      <c r="K126" s="3" t="e" vm="781">
        <v>#VALUE!</v>
      </c>
      <c r="L126" s="46" cm="1">
        <f t="array" aca="1" ref="L126" ca="1">_FV(Table3[[#This Row],[Currency Pair]],"52 week high",TRUE)</f>
        <v>22933</v>
      </c>
      <c r="M126" s="46" cm="1">
        <f t="array" aca="1" ref="M126" ca="1">_FV(Table3[[#This Row],[Currency Pair]],"52 week low",TRUE)</f>
        <v>17911</v>
      </c>
      <c r="N126" s="46" cm="1">
        <f t="array" aca="1" ref="N126" ca="1">_FV(Table3[[#This Row],[Currency Pair]],"Price")</f>
        <v>22683</v>
      </c>
      <c r="O126" s="5" t="str" cm="1">
        <f t="array" aca="1" ref="O126" ca="1">_FV(Table3[[#This Row],[Currency Pair]],"Instrument type",TRUE)</f>
        <v>Currency Pair</v>
      </c>
      <c r="P126" s="5" t="str" cm="1">
        <f t="array" aca="1" ref="P126" ca="1">_FV(Table3[[#This Row],[Currency Pair]],"Ticker symbol",TRUE)</f>
        <v>USDSLL</v>
      </c>
      <c r="Q126" s="5" cm="1">
        <f t="array" aca="1" ref="Q126" ca="1">_FV(Table3[[#This Row],[Currency Pair]],"Change (%)",TRUE)</f>
        <v>0</v>
      </c>
      <c r="R126" s="5" cm="1">
        <f t="array" aca="1" ref="R126" ca="1">_FV(Table3[[#This Row],[Currency Pair]],"Last trade time",TRUE)</f>
        <v>45289.910775462966</v>
      </c>
    </row>
    <row r="127" spans="1:18" x14ac:dyDescent="0.4">
      <c r="K127" s="3" t="e" vm="782">
        <v>#VALUE!</v>
      </c>
      <c r="L127" s="6" cm="1">
        <f t="array" aca="1" ref="L127" ca="1">_FV(Table3[[#This Row],[Currency Pair]],"52 week high",TRUE)</f>
        <v>5.5000000000000002E-5</v>
      </c>
      <c r="M127" s="6" cm="1">
        <f t="array" aca="1" ref="M127" ca="1">_FV(Table3[[#This Row],[Currency Pair]],"52 week low",TRUE)</f>
        <v>4.3000000000000002E-5</v>
      </c>
      <c r="N127" s="6" cm="1">
        <f t="array" aca="1" ref="N127" ca="1">_FV(Table3[[#This Row],[Currency Pair]],"Price")</f>
        <v>4.3699999999999998E-5</v>
      </c>
      <c r="O127" s="5" t="str" cm="1">
        <f t="array" aca="1" ref="O127" ca="1">_FV(Table3[[#This Row],[Currency Pair]],"Instrument type",TRUE)</f>
        <v>Currency Pair</v>
      </c>
      <c r="P127" s="5" t="str" cm="1">
        <f t="array" aca="1" ref="P127" ca="1">_FV(Table3[[#This Row],[Currency Pair]],"Ticker symbol",TRUE)</f>
        <v>SLLUSD</v>
      </c>
      <c r="Q127" s="5" t="e" cm="1" vm="783">
        <f t="array" ref="Q127">_FV(Table3[[#This Row],[Currency Pair]],"Change (%)",TRUE)</f>
        <v>#VALUE!</v>
      </c>
      <c r="R127" s="5" cm="1">
        <f t="array" aca="1" ref="R127" ca="1">_FV(Table3[[#This Row],[Currency Pair]],"Last trade time",TRUE)</f>
        <v>45289.984537037039</v>
      </c>
    </row>
    <row r="128" spans="1:18" x14ac:dyDescent="0.4">
      <c r="K128" s="3" t="e" vm="784">
        <v>#VALUE!</v>
      </c>
      <c r="L128" s="46" cm="1">
        <f t="array" aca="1" ref="L128" ca="1">_FV(Table3[[#This Row],[Currency Pair]],"52 week high",TRUE)</f>
        <v>598.88019999999995</v>
      </c>
      <c r="M128" s="46" cm="1">
        <f t="array" aca="1" ref="M128" ca="1">_FV(Table3[[#This Row],[Currency Pair]],"52 week low",TRUE)</f>
        <v>598.4502</v>
      </c>
      <c r="N128" s="46" cm="1">
        <f t="array" aca="1" ref="N128" ca="1">_FV(Table3[[#This Row],[Currency Pair]],"Price")</f>
        <v>598.4502</v>
      </c>
      <c r="O128" s="5" t="str" cm="1">
        <f t="array" aca="1" ref="O128" ca="1">_FV(Table3[[#This Row],[Currency Pair]],"Instrument type",TRUE)</f>
        <v>Currency Pair</v>
      </c>
      <c r="P128" s="5" t="str" cm="1">
        <f t="array" aca="1" ref="P128" ca="1">_FV(Table3[[#This Row],[Currency Pair]],"Ticker symbol",TRUE)</f>
        <v>USDSDG</v>
      </c>
      <c r="Q128" s="5" cm="1">
        <f t="array" aca="1" ref="Q128" ca="1">_FV(Table3[[#This Row],[Currency Pair]],"Change (%)",TRUE)</f>
        <v>0</v>
      </c>
      <c r="R128" s="5" cm="1">
        <f t="array" aca="1" ref="R128" ca="1">_FV(Table3[[#This Row],[Currency Pair]],"Last trade time",TRUE)</f>
        <v>45957.145636574074</v>
      </c>
    </row>
    <row r="129" spans="11:18" x14ac:dyDescent="0.4">
      <c r="K129" s="3" t="e" vm="785">
        <v>#VALUE!</v>
      </c>
      <c r="L129" s="6" cm="1">
        <f t="array" aca="1" ref="L129" ca="1">_FV(Table3[[#This Row],[Currency Pair]],"52 week high",TRUE)</f>
        <v>1.66E-3</v>
      </c>
      <c r="M129" s="6" cm="1">
        <f t="array" aca="1" ref="M129" ca="1">_FV(Table3[[#This Row],[Currency Pair]],"52 week low",TRUE)</f>
        <v>1.66E-3</v>
      </c>
      <c r="N129" s="6" cm="1">
        <f t="array" aca="1" ref="N129" ca="1">_FV(Table3[[#This Row],[Currency Pair]],"Price")</f>
        <v>1.66E-3</v>
      </c>
      <c r="O129" s="5" t="str" cm="1">
        <f t="array" aca="1" ref="O129" ca="1">_FV(Table3[[#This Row],[Currency Pair]],"Instrument type",TRUE)</f>
        <v>Currency Pair</v>
      </c>
      <c r="P129" s="5" t="str" cm="1">
        <f t="array" aca="1" ref="P129" ca="1">_FV(Table3[[#This Row],[Currency Pair]],"Ticker symbol",TRUE)</f>
        <v>SDGUSD</v>
      </c>
      <c r="Q129" s="5" cm="1">
        <f t="array" aca="1" ref="Q129" ca="1">_FV(Table3[[#This Row],[Currency Pair]],"Change (%)",TRUE)</f>
        <v>0</v>
      </c>
      <c r="R129" s="5" cm="1">
        <f t="array" aca="1" ref="R129" ca="1">_FV(Table3[[#This Row],[Currency Pair]],"Last trade time",TRUE)</f>
        <v>45957.145636574074</v>
      </c>
    </row>
  </sheetData>
  <phoneticPr fontId="2" type="noConversion"/>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Types in Excel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Namrata Khanolkar</cp:lastModifiedBy>
  <cp:revision/>
  <dcterms:created xsi:type="dcterms:W3CDTF">2015-06-05T18:17:20Z</dcterms:created>
  <dcterms:modified xsi:type="dcterms:W3CDTF">2025-10-27T05:14:36Z</dcterms:modified>
  <cp:category/>
  <cp:contentStatus/>
</cp:coreProperties>
</file>