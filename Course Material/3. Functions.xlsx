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09"/>
  <workbookPr/>
  <mc:AlternateContent xmlns:mc="http://schemas.openxmlformats.org/markup-compatibility/2006">
    <mc:Choice Requires="x15">
      <x15ac:absPath xmlns:x15ac="http://schemas.microsoft.com/office/spreadsheetml/2010/11/ac" url="https://technoedgels-my.sharepoint.com/personal/pavan_lalwani_technoedgels_com/Documents/Excel 2024 Course English/Excel Course Material/"/>
    </mc:Choice>
  </mc:AlternateContent>
  <xr:revisionPtr revIDLastSave="219" documentId="13_ncr:1_{EB3781F9-7C16-4074-8BE6-08E630D8E876}" xr6:coauthVersionLast="47" xr6:coauthVersionMax="47" xr10:uidLastSave="{180C3CD2-6EB0-4FB5-84B9-3BAC3CD86EAB}"/>
  <bookViews>
    <workbookView xWindow="-108" yWindow="-108" windowWidth="23256" windowHeight="12456" firstSheet="1" activeTab="1" xr2:uid="{00000000-000D-0000-FFFF-FFFF00000000}"/>
  </bookViews>
  <sheets>
    <sheet name="Text Functions" sheetId="1" r:id="rId1"/>
    <sheet name="Date Functions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C2" i="2" l="1"/>
  <c r="CD3" i="2"/>
  <c r="CD4" i="2"/>
  <c r="CD5" i="2"/>
  <c r="CD6" i="2"/>
  <c r="CD7" i="2"/>
  <c r="CD8" i="2"/>
  <c r="CD9" i="2"/>
  <c r="CD10" i="2"/>
  <c r="CD11" i="2"/>
  <c r="CD2" i="2"/>
  <c r="CC3" i="2"/>
  <c r="CC4" i="2"/>
  <c r="CC5" i="2"/>
  <c r="CC6" i="2"/>
  <c r="CC7" i="2"/>
  <c r="CC8" i="2"/>
  <c r="CC9" i="2"/>
  <c r="CC10" i="2"/>
  <c r="CC11" i="2"/>
  <c r="BV9" i="2"/>
  <c r="BV7" i="2"/>
  <c r="BV6" i="2"/>
  <c r="BV5" i="2"/>
  <c r="BH23" i="2"/>
  <c r="BI23" i="2"/>
  <c r="BJ23" i="2"/>
  <c r="BJ4" i="2"/>
  <c r="BJ5" i="2"/>
  <c r="BJ6" i="2"/>
  <c r="BJ7" i="2"/>
  <c r="BJ8" i="2"/>
  <c r="BJ9" i="2"/>
  <c r="BJ10" i="2"/>
  <c r="BJ11" i="2"/>
  <c r="BJ12" i="2"/>
  <c r="BJ13" i="2"/>
  <c r="BJ14" i="2"/>
  <c r="BJ15" i="2"/>
  <c r="BJ16" i="2"/>
  <c r="BJ17" i="2"/>
  <c r="BJ18" i="2"/>
  <c r="BJ19" i="2"/>
  <c r="BJ20" i="2"/>
  <c r="BJ21" i="2"/>
  <c r="BJ22" i="2"/>
  <c r="BJ3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3" i="2"/>
  <c r="BH4" i="2"/>
  <c r="BH5" i="2"/>
  <c r="BH6" i="2"/>
  <c r="BH7" i="2"/>
  <c r="BH8" i="2"/>
  <c r="BH9" i="2"/>
  <c r="BH10" i="2"/>
  <c r="BH11" i="2"/>
  <c r="BH12" i="2"/>
  <c r="BH13" i="2"/>
  <c r="BH14" i="2"/>
  <c r="BH15" i="2"/>
  <c r="BH16" i="2"/>
  <c r="BH17" i="2"/>
  <c r="BH18" i="2"/>
  <c r="BH19" i="2"/>
  <c r="BH20" i="2"/>
  <c r="BH21" i="2"/>
  <c r="BH22" i="2"/>
  <c r="BH3" i="2"/>
  <c r="AY2" i="2"/>
  <c r="AY1" i="2"/>
  <c r="AT3" i="2"/>
  <c r="AT4" i="2"/>
  <c r="AT5" i="2"/>
  <c r="AT6" i="2"/>
  <c r="AT7" i="2"/>
  <c r="AT8" i="2"/>
  <c r="AT9" i="2"/>
  <c r="AT10" i="2"/>
  <c r="AT11" i="2"/>
  <c r="AT2" i="2"/>
  <c r="AS2" i="2"/>
  <c r="AS3" i="2"/>
  <c r="AS4" i="2"/>
  <c r="AS5" i="2"/>
  <c r="AS6" i="2"/>
  <c r="AS7" i="2"/>
  <c r="AS8" i="2"/>
  <c r="AS9" i="2"/>
  <c r="AS10" i="2"/>
  <c r="AS11" i="2"/>
  <c r="AN3" i="2"/>
  <c r="AN4" i="2"/>
  <c r="AN5" i="2"/>
  <c r="AN6" i="2"/>
  <c r="AN7" i="2"/>
  <c r="AN8" i="2"/>
  <c r="AN9" i="2"/>
  <c r="AN10" i="2"/>
  <c r="AN11" i="2"/>
  <c r="AN2" i="2"/>
  <c r="AD3" i="2"/>
  <c r="AD4" i="2"/>
  <c r="AD5" i="2"/>
  <c r="AD6" i="2"/>
  <c r="AD7" i="2"/>
  <c r="AD8" i="2"/>
  <c r="AD9" i="2"/>
  <c r="AD10" i="2"/>
  <c r="AD11" i="2"/>
  <c r="AD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" i="2"/>
  <c r="BP3" i="1"/>
  <c r="BP4" i="1"/>
  <c r="BP5" i="1"/>
  <c r="BP6" i="1"/>
  <c r="BP7" i="1"/>
  <c r="BP8" i="1"/>
  <c r="BP9" i="1"/>
  <c r="BP10" i="1"/>
  <c r="BP11" i="1"/>
  <c r="BP12" i="1"/>
  <c r="BP13" i="1"/>
  <c r="BP14" i="1"/>
  <c r="BP15" i="1"/>
  <c r="BP16" i="1"/>
  <c r="BP2" i="1"/>
  <c r="BZ3" i="1"/>
  <c r="BZ4" i="1"/>
  <c r="BZ5" i="1"/>
  <c r="BZ6" i="1"/>
  <c r="BZ7" i="1"/>
  <c r="BZ8" i="1"/>
  <c r="BZ9" i="1"/>
  <c r="BZ10" i="1"/>
  <c r="BZ11" i="1"/>
  <c r="BZ12" i="1"/>
  <c r="BZ13" i="1"/>
  <c r="BZ14" i="1"/>
  <c r="BZ15" i="1"/>
  <c r="BZ16" i="1"/>
  <c r="BZ2" i="1"/>
  <c r="BY3" i="1"/>
  <c r="BY4" i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" i="1"/>
  <c r="BO2" i="1"/>
  <c r="BO12" i="1"/>
  <c r="BO13" i="1"/>
  <c r="BO14" i="1"/>
  <c r="BO15" i="1"/>
  <c r="BO16" i="1"/>
  <c r="BO17" i="1"/>
  <c r="BO18" i="1"/>
  <c r="BO19" i="1"/>
  <c r="BO20" i="1"/>
  <c r="BO21" i="1"/>
  <c r="BO3" i="1"/>
  <c r="BO4" i="1"/>
  <c r="BO5" i="1"/>
  <c r="BO6" i="1"/>
  <c r="BO7" i="1"/>
  <c r="BO8" i="1"/>
  <c r="BO9" i="1"/>
  <c r="BO10" i="1"/>
  <c r="BO11" i="1"/>
  <c r="BG3" i="1"/>
  <c r="BG4" i="1"/>
  <c r="BG5" i="1"/>
  <c r="BG6" i="1"/>
  <c r="BG7" i="1"/>
  <c r="BG8" i="1"/>
  <c r="BG9" i="1"/>
  <c r="BG10" i="1"/>
  <c r="BG11" i="1"/>
  <c r="BG12" i="1"/>
  <c r="BG13" i="1"/>
  <c r="BG14" i="1"/>
  <c r="BG2" i="1"/>
  <c r="BF5" i="1"/>
  <c r="BF3" i="1"/>
  <c r="BF4" i="1"/>
  <c r="BF6" i="1"/>
  <c r="BF7" i="1"/>
  <c r="BF8" i="1"/>
  <c r="BF9" i="1"/>
  <c r="BF10" i="1"/>
  <c r="BF11" i="1"/>
  <c r="BF12" i="1"/>
  <c r="BF13" i="1"/>
  <c r="BF14" i="1"/>
  <c r="BF2" i="1"/>
  <c r="AV3" i="1"/>
  <c r="AV4" i="1"/>
  <c r="AV5" i="1"/>
  <c r="AV6" i="1"/>
  <c r="AV7" i="1"/>
  <c r="AV8" i="1"/>
  <c r="AV9" i="1"/>
  <c r="AV10" i="1"/>
  <c r="AV11" i="1"/>
  <c r="AV12" i="1"/>
  <c r="AV13" i="1"/>
  <c r="AV14" i="1"/>
  <c r="AV2" i="1"/>
  <c r="AU3" i="1"/>
  <c r="AU4" i="1"/>
  <c r="AU5" i="1"/>
  <c r="AU6" i="1"/>
  <c r="AU7" i="1"/>
  <c r="AU8" i="1"/>
  <c r="AU9" i="1"/>
  <c r="AU10" i="1"/>
  <c r="AU11" i="1"/>
  <c r="AU12" i="1"/>
  <c r="AU13" i="1"/>
  <c r="AU14" i="1"/>
  <c r="AU2" i="1"/>
  <c r="AT2" i="1"/>
  <c r="AT3" i="1"/>
  <c r="AT4" i="1"/>
  <c r="AT5" i="1"/>
  <c r="AT6" i="1"/>
  <c r="AT7" i="1"/>
  <c r="AT8" i="1"/>
  <c r="AT9" i="1"/>
  <c r="AT10" i="1"/>
  <c r="AT11" i="1"/>
  <c r="AT12" i="1"/>
  <c r="AT13" i="1"/>
  <c r="AT14" i="1"/>
  <c r="AJ3" i="1" a="1"/>
  <c r="AJ3" i="1" s="1"/>
  <c r="AJ4" i="1" a="1"/>
  <c r="AJ4" i="1" s="1"/>
  <c r="AJ5" i="1" a="1"/>
  <c r="AJ5" i="1" s="1"/>
  <c r="AJ6" i="1" a="1"/>
  <c r="AJ6" i="1" s="1"/>
  <c r="AJ7" i="1" a="1"/>
  <c r="AJ7" i="1" s="1"/>
  <c r="AJ8" i="1" a="1"/>
  <c r="AJ8" i="1" s="1"/>
  <c r="AJ9" i="1" a="1"/>
  <c r="AJ9" i="1" s="1"/>
  <c r="AJ10" i="1" a="1"/>
  <c r="AJ10" i="1" s="1"/>
  <c r="AJ11" i="1" a="1"/>
  <c r="AJ11" i="1" s="1"/>
  <c r="AJ12" i="1" a="1"/>
  <c r="AJ12" i="1" s="1"/>
  <c r="AJ13" i="1" a="1"/>
  <c r="AJ13" i="1" s="1"/>
  <c r="AJ14" i="1" a="1"/>
  <c r="AJ14" i="1" s="1"/>
  <c r="AJ15" i="1" a="1"/>
  <c r="AJ15" i="1" s="1"/>
  <c r="AJ16" i="1" a="1"/>
  <c r="AJ16" i="1" s="1"/>
  <c r="AJ2" i="1" a="1"/>
  <c r="AJ2" i="1" s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<sst xmlns="http://schemas.openxmlformats.org/spreadsheetml/2006/main" count="330" uniqueCount="142">
  <si>
    <t>ID</t>
  </si>
  <si>
    <t>Name of YouTube Channel</t>
  </si>
  <si>
    <t>Name of the Owner</t>
  </si>
  <si>
    <t>Subscribers in Millions</t>
  </si>
  <si>
    <t>Trim</t>
  </si>
  <si>
    <t>Upper</t>
  </si>
  <si>
    <t>Lower</t>
  </si>
  <si>
    <t>Proper</t>
  </si>
  <si>
    <t>Len</t>
  </si>
  <si>
    <t>First Name</t>
  </si>
  <si>
    <t>Last Name</t>
  </si>
  <si>
    <t>Character Name</t>
  </si>
  <si>
    <t>Text Split</t>
  </si>
  <si>
    <t>Month</t>
  </si>
  <si>
    <t>Left</t>
  </si>
  <si>
    <t>Right</t>
  </si>
  <si>
    <t>Mid</t>
  </si>
  <si>
    <t>Find</t>
  </si>
  <si>
    <t>Search</t>
  </si>
  <si>
    <t>Substitute</t>
  </si>
  <si>
    <t>Replace</t>
  </si>
  <si>
    <t>T-serIES</t>
  </si>
  <si>
    <t>Bhushan Kumar</t>
  </si>
  <si>
    <t>A B D E</t>
  </si>
  <si>
    <t>January</t>
  </si>
  <si>
    <t>SET          India</t>
  </si>
  <si>
    <t>Sony Pictures Network</t>
  </si>
  <si>
    <t>Tony Stark</t>
  </si>
  <si>
    <t>February</t>
  </si>
  <si>
    <t>Zee Music company</t>
  </si>
  <si>
    <t>Subhash Chandra</t>
  </si>
  <si>
    <t>Bruce Wayne</t>
  </si>
  <si>
    <t>March</t>
  </si>
  <si>
    <t>Sony Music INDIA</t>
  </si>
  <si>
    <t>Sony Entertainment</t>
  </si>
  <si>
    <t>Peter Parker</t>
  </si>
  <si>
    <t>April</t>
  </si>
  <si>
    <t>Aaj Tak</t>
  </si>
  <si>
    <t>India Today Group</t>
  </si>
  <si>
    <t>Hermione Granger</t>
  </si>
  <si>
    <t>May</t>
  </si>
  <si>
    <t>YRF</t>
  </si>
  <si>
    <t>Yash Raj Films</t>
  </si>
  <si>
    <t>Chhota Bheem</t>
  </si>
  <si>
    <t>June</t>
  </si>
  <si>
    <t>CarryMINATI</t>
  </si>
  <si>
    <t>Ajey Nagar</t>
  </si>
  <si>
    <t>Virat Kohli</t>
  </si>
  <si>
    <t>July</t>
  </si>
  <si>
    <t>Ashish     Chanchlani Vines</t>
  </si>
  <si>
    <t>Ashish Chanchlani</t>
  </si>
  <si>
    <t>Shah Rukh Khan</t>
  </si>
  <si>
    <t>August</t>
  </si>
  <si>
    <t>BB Ki Vines</t>
  </si>
  <si>
    <t>Bhuvan Bam</t>
  </si>
  <si>
    <t>Sachin Tendulkar</t>
  </si>
  <si>
    <t>September</t>
  </si>
  <si>
    <t>Technical           Guruji</t>
  </si>
  <si>
    <t>Gaurav Chaudhary</t>
  </si>
  <si>
    <t>Amitabh Bachchan</t>
  </si>
  <si>
    <t>October</t>
  </si>
  <si>
    <t>MrBeast</t>
  </si>
  <si>
    <t>Jimmy Donaldson</t>
  </si>
  <si>
    <t>MS Dhoni</t>
  </si>
  <si>
    <t>November</t>
  </si>
  <si>
    <t>PEwdiePie</t>
  </si>
  <si>
    <t>Felix Kjellberg</t>
  </si>
  <si>
    <t>Mickey Mouse</t>
  </si>
  <si>
    <t>December</t>
  </si>
  <si>
    <t>5-minute CRAFTS</t>
  </si>
  <si>
    <t>THE soul publishing</t>
  </si>
  <si>
    <t>Donald Duck</t>
  </si>
  <si>
    <t>likeNastia</t>
  </si>
  <si>
    <t>anastasia radzinskaya</t>
  </si>
  <si>
    <t>Dora Explorer</t>
  </si>
  <si>
    <t>coComelon - Nursery rhymes</t>
  </si>
  <si>
    <t>Jay Jeon</t>
  </si>
  <si>
    <t>SpongeBob SquarePants</t>
  </si>
  <si>
    <t>Canal             Kondzilla</t>
  </si>
  <si>
    <t>Konrad Dantas</t>
  </si>
  <si>
    <t>kids D Iana Show</t>
  </si>
  <si>
    <t>Diana</t>
  </si>
  <si>
    <t xml:space="preserve">Diana </t>
  </si>
  <si>
    <t>Badabun</t>
  </si>
  <si>
    <t>Various Contributors</t>
  </si>
  <si>
    <t>VanossGaming</t>
  </si>
  <si>
    <t>Evan Fong</t>
  </si>
  <si>
    <t>Markiplier</t>
  </si>
  <si>
    <t>Mark Fischbach</t>
  </si>
  <si>
    <t>Name</t>
  </si>
  <si>
    <t>Date of Birth</t>
  </si>
  <si>
    <t>Day</t>
  </si>
  <si>
    <t>Year</t>
  </si>
  <si>
    <t>Day of Week</t>
  </si>
  <si>
    <t>Weekday</t>
  </si>
  <si>
    <t>Weeknum</t>
  </si>
  <si>
    <t>Item Name</t>
  </si>
  <si>
    <t>Order Date</t>
  </si>
  <si>
    <t>Days to Deliver</t>
  </si>
  <si>
    <t>Expected Delivery Date?</t>
  </si>
  <si>
    <t>Months to deliver</t>
  </si>
  <si>
    <t>Years to Deliver</t>
  </si>
  <si>
    <t>Today</t>
  </si>
  <si>
    <t>Find Age of Person in Years, Months and Days</t>
  </si>
  <si>
    <t>Start Date</t>
  </si>
  <si>
    <t>Order Date and Time</t>
  </si>
  <si>
    <t>Date</t>
  </si>
  <si>
    <t>Time</t>
  </si>
  <si>
    <t>Laptop</t>
  </si>
  <si>
    <t>Now</t>
  </si>
  <si>
    <t>Years</t>
  </si>
  <si>
    <t>Months</t>
  </si>
  <si>
    <t>Days</t>
  </si>
  <si>
    <t>End Date</t>
  </si>
  <si>
    <t>Office Chair</t>
  </si>
  <si>
    <t>Mobile Phone</t>
  </si>
  <si>
    <t>Priyanka Chopra</t>
  </si>
  <si>
    <t>Printer</t>
  </si>
  <si>
    <t>Difference between Dates</t>
  </si>
  <si>
    <t>Deepika Padukone</t>
  </si>
  <si>
    <t>Desk Lamp</t>
  </si>
  <si>
    <t>Net Working Days</t>
  </si>
  <si>
    <t>Monitor</t>
  </si>
  <si>
    <t>Networkdays in UAE</t>
  </si>
  <si>
    <t>Keyboard</t>
  </si>
  <si>
    <t>Saina Nehwal</t>
  </si>
  <si>
    <t>Air Conditioner</t>
  </si>
  <si>
    <t>Rohit Sharma</t>
  </si>
  <si>
    <t>Coffee Machine</t>
  </si>
  <si>
    <t>Aishwarya Rai</t>
  </si>
  <si>
    <t>Bookshelf</t>
  </si>
  <si>
    <t>Lionel Messi</t>
  </si>
  <si>
    <t>Cristiano Ronaldo</t>
  </si>
  <si>
    <t>Serena Williams</t>
  </si>
  <si>
    <t>Roger Federer</t>
  </si>
  <si>
    <t>Tom Cruise</t>
  </si>
  <si>
    <t>Leonardo DiCaprio</t>
  </si>
  <si>
    <t>Usain Bolt</t>
  </si>
  <si>
    <t>Michael Jordan</t>
  </si>
  <si>
    <t>Novak Djokovic</t>
  </si>
  <si>
    <t>Rafael Nadal</t>
  </si>
  <si>
    <t>Pavan Lalwani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</si>
</sst>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$-409]d/mmm/yy;@"/>
    <numFmt numFmtId="165" formatCode="[$-409]d/mmm/yy\ h:mm\ AM/PM;@"/>
    <numFmt numFmtId="166" formatCode="hh:mm:ss;@"/>
    <numFmt numFmtId="167" formatCode="dddd"/>
  </numFmts>
  <fonts count="7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/>
    <xf numFmtId="0" fontId="2" fillId="3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3" borderId="1" xfId="0" applyFont="1" applyFill="1" applyBorder="1"/>
    <xf numFmtId="0" fontId="5" fillId="3" borderId="1" xfId="0" applyFont="1" applyFill="1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14" fontId="0" fillId="0" borderId="1" xfId="0" applyNumberFormat="1" applyBorder="1"/>
    <xf numFmtId="22" fontId="0" fillId="0" borderId="1" xfId="0" applyNumberFormat="1" applyBorder="1"/>
    <xf numFmtId="1" fontId="0" fillId="0" borderId="1" xfId="0" applyNumberFormat="1" applyBorder="1"/>
    <xf numFmtId="0" fontId="0" fillId="0" borderId="4" xfId="0" applyBorder="1"/>
    <xf numFmtId="14" fontId="0" fillId="0" borderId="0" xfId="0" applyNumberFormat="1"/>
    <xf numFmtId="1" fontId="0" fillId="0" borderId="4" xfId="0" applyNumberFormat="1" applyBorder="1"/>
    <xf numFmtId="0" fontId="5" fillId="3" borderId="0" xfId="0" applyFont="1" applyFill="1"/>
    <xf numFmtId="15" fontId="0" fillId="0" borderId="0" xfId="0" applyNumberFormat="1"/>
    <xf numFmtId="0" fontId="5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4DF14EE-3C05-439F-B60B-00DE6A378A9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21"/>
  <sheetViews>
    <sheetView showGridLines="0" topLeftCell="BH1" zoomScale="160" zoomScaleNormal="160" workbookViewId="0">
      <selection activeCell="BP2" sqref="BP2:BP16"/>
    </sheetView>
  </sheetViews>
  <sheetFormatPr defaultRowHeight="14.45"/>
  <cols>
    <col min="1" max="1" width="3.28515625" bestFit="1" customWidth="1"/>
    <col min="2" max="2" width="28.140625" bestFit="1" customWidth="1"/>
    <col min="3" max="3" width="25.5703125" customWidth="1"/>
    <col min="4" max="4" width="21.7109375" style="9" bestFit="1" customWidth="1"/>
    <col min="5" max="8" width="21.7109375" style="2" customWidth="1"/>
    <col min="10" max="10" width="3.28515625" bestFit="1" customWidth="1"/>
    <col min="11" max="11" width="34.140625" customWidth="1"/>
    <col min="12" max="16" width="25.42578125" customWidth="1"/>
    <col min="23" max="23" width="24.7109375" customWidth="1"/>
    <col min="24" max="25" width="22.7109375" customWidth="1"/>
    <col min="35" max="35" width="22.7109375" customWidth="1"/>
    <col min="36" max="36" width="24.7109375" customWidth="1"/>
    <col min="37" max="37" width="22" customWidth="1"/>
    <col min="38" max="38" width="17" customWidth="1"/>
    <col min="45" max="48" width="15" customWidth="1"/>
    <col min="57" max="57" width="12.140625" customWidth="1"/>
    <col min="58" max="59" width="12.85546875" customWidth="1"/>
    <col min="66" max="68" width="20.85546875" customWidth="1"/>
    <col min="76" max="76" width="25.7109375" customWidth="1"/>
    <col min="77" max="77" width="26.5703125" customWidth="1"/>
    <col min="78" max="78" width="24.5703125" customWidth="1"/>
  </cols>
  <sheetData>
    <row r="1" spans="1:78" s="2" customFormat="1">
      <c r="A1" s="6" t="s">
        <v>0</v>
      </c>
      <c r="B1" s="6" t="s">
        <v>1</v>
      </c>
      <c r="C1" s="6" t="s">
        <v>2</v>
      </c>
      <c r="D1" s="8" t="s">
        <v>3</v>
      </c>
      <c r="E1" s="1"/>
      <c r="F1" s="1"/>
      <c r="G1" s="1"/>
      <c r="H1" s="1"/>
      <c r="J1" s="6" t="s">
        <v>0</v>
      </c>
      <c r="K1" s="6" t="s">
        <v>1</v>
      </c>
      <c r="L1" s="6" t="s">
        <v>4</v>
      </c>
      <c r="M1" s="7" t="s">
        <v>5</v>
      </c>
      <c r="N1" s="6" t="s">
        <v>6</v>
      </c>
      <c r="O1" s="6" t="s">
        <v>7</v>
      </c>
      <c r="P1" s="6" t="s">
        <v>8</v>
      </c>
      <c r="W1" s="6" t="s">
        <v>2</v>
      </c>
      <c r="X1" s="6" t="s">
        <v>9</v>
      </c>
      <c r="Y1" s="6" t="s">
        <v>10</v>
      </c>
      <c r="AI1" s="6" t="s">
        <v>11</v>
      </c>
      <c r="AJ1" s="6" t="s">
        <v>12</v>
      </c>
      <c r="AK1" s="6"/>
      <c r="AS1" s="6" t="s">
        <v>13</v>
      </c>
      <c r="AT1" s="6" t="s">
        <v>14</v>
      </c>
      <c r="AU1" s="6" t="s">
        <v>15</v>
      </c>
      <c r="AV1" s="6" t="s">
        <v>16</v>
      </c>
      <c r="BE1" s="6" t="s">
        <v>13</v>
      </c>
      <c r="BF1" s="6" t="s">
        <v>17</v>
      </c>
      <c r="BG1" s="6" t="s">
        <v>18</v>
      </c>
      <c r="BN1" s="6" t="s">
        <v>2</v>
      </c>
      <c r="BO1" s="6" t="s">
        <v>9</v>
      </c>
      <c r="BP1" s="6" t="s">
        <v>10</v>
      </c>
      <c r="BX1" s="6" t="s">
        <v>2</v>
      </c>
      <c r="BY1" s="6" t="s">
        <v>19</v>
      </c>
      <c r="BZ1" s="2" t="s">
        <v>20</v>
      </c>
    </row>
    <row r="2" spans="1:78">
      <c r="A2" s="3">
        <v>1</v>
      </c>
      <c r="B2" s="4" t="s">
        <v>21</v>
      </c>
      <c r="C2" s="5" t="s">
        <v>22</v>
      </c>
      <c r="D2" s="10">
        <v>250</v>
      </c>
      <c r="E2" s="1"/>
      <c r="F2" s="1"/>
      <c r="G2" s="1"/>
      <c r="H2" s="1"/>
      <c r="J2" s="3">
        <v>1</v>
      </c>
      <c r="K2" s="4" t="s">
        <v>21</v>
      </c>
      <c r="L2" s="5" t="str">
        <f>TRIM(K2)</f>
        <v>T-serIES</v>
      </c>
      <c r="M2" s="5" t="str">
        <f>UPPER(TRIM(K2))</f>
        <v>T-SERIES</v>
      </c>
      <c r="N2" s="5" t="str">
        <f>LOWER(TRIM(K2))</f>
        <v>t-series</v>
      </c>
      <c r="O2" s="5" t="str">
        <f>PROPER(TRIM(K2))</f>
        <v>T-Series</v>
      </c>
      <c r="P2" s="5">
        <f>LEN(TRIM(K2))</f>
        <v>8</v>
      </c>
      <c r="W2" s="5" t="s">
        <v>22</v>
      </c>
      <c r="X2" t="str">
        <f>_xlfn.TEXTBEFORE(W2," ")</f>
        <v>Bhushan</v>
      </c>
      <c r="Y2" s="5" t="e">
        <f>_xlfn.TEXTAFTER(W2," ",2)</f>
        <v>#N/A</v>
      </c>
      <c r="AI2" s="5" t="s">
        <v>23</v>
      </c>
      <c r="AJ2" s="5" t="str" cm="1">
        <f t="array" ref="AJ2:AM2">_xlfn.TEXTSPLIT(AI2," ")</f>
        <v>A</v>
      </c>
      <c r="AK2" s="5" t="str">
        <v>B</v>
      </c>
      <c r="AL2" t="str">
        <v>D</v>
      </c>
      <c r="AM2" t="str">
        <v>E</v>
      </c>
      <c r="AS2" s="5" t="s">
        <v>24</v>
      </c>
      <c r="AT2" s="5" t="str">
        <f>LEFT(AS2,3)</f>
        <v>Jan</v>
      </c>
      <c r="AU2" s="5" t="str">
        <f>RIGHT(AS2,3)</f>
        <v>ary</v>
      </c>
      <c r="AV2" s="5" t="str">
        <f>MID(AS2,2,3)</f>
        <v>anu</v>
      </c>
      <c r="BE2" s="5" t="s">
        <v>24</v>
      </c>
      <c r="BF2" s="5">
        <f>FIND("a",BE2)</f>
        <v>2</v>
      </c>
      <c r="BG2" s="5">
        <f>SEARCH("a",BE2)</f>
        <v>2</v>
      </c>
      <c r="BN2" s="5" t="s">
        <v>22</v>
      </c>
      <c r="BO2" t="str">
        <f>LEFT(BN2,FIND(" ",BN2))</f>
        <v xml:space="preserve">Bhushan </v>
      </c>
      <c r="BP2" s="5" t="str">
        <f>REPLACE(BN2,1,FIND(" ",BN2)," ")</f>
        <v xml:space="preserve"> Kumar</v>
      </c>
      <c r="BX2" s="5" t="s">
        <v>22</v>
      </c>
      <c r="BY2" s="5" t="str">
        <f>SUBSTITUTE(BX2,"a","z")</f>
        <v>Bhushzn Kumzr</v>
      </c>
      <c r="BZ2" t="str">
        <f>REPLACE(BX2,8,20,"zzzzz")</f>
        <v>Bhushanzzzzz</v>
      </c>
    </row>
    <row r="3" spans="1:78">
      <c r="A3" s="3">
        <v>2</v>
      </c>
      <c r="B3" s="4" t="s">
        <v>25</v>
      </c>
      <c r="C3" s="5" t="s">
        <v>26</v>
      </c>
      <c r="D3" s="10">
        <v>157</v>
      </c>
      <c r="E3" s="1"/>
      <c r="F3" s="1"/>
      <c r="G3" s="1"/>
      <c r="H3" s="1"/>
      <c r="J3" s="3">
        <v>2</v>
      </c>
      <c r="K3" s="4" t="s">
        <v>25</v>
      </c>
      <c r="L3" s="5" t="str">
        <f t="shared" ref="L3:L21" si="0">TRIM(K3)</f>
        <v>SET India</v>
      </c>
      <c r="M3" s="5" t="str">
        <f t="shared" ref="M3:M21" si="1">UPPER(TRIM(K3))</f>
        <v>SET INDIA</v>
      </c>
      <c r="N3" s="5" t="str">
        <f t="shared" ref="N3:N21" si="2">LOWER(TRIM(K3))</f>
        <v>set india</v>
      </c>
      <c r="O3" s="5" t="str">
        <f t="shared" ref="O3:O21" si="3">PROPER(TRIM(K3))</f>
        <v>Set India</v>
      </c>
      <c r="P3" s="5">
        <f t="shared" ref="P3:P21" si="4">LEN(TRIM(K3))</f>
        <v>9</v>
      </c>
      <c r="W3" s="5" t="s">
        <v>26</v>
      </c>
      <c r="X3" t="str">
        <f t="shared" ref="X3:X21" si="5">_xlfn.TEXTBEFORE(W3," ")</f>
        <v>Sony</v>
      </c>
      <c r="Y3" s="5"/>
      <c r="AI3" s="5" t="s">
        <v>27</v>
      </c>
      <c r="AJ3" s="5" t="str" cm="1">
        <f t="array" ref="AJ3:AK3">_xlfn.TEXTSPLIT(AI3," ")</f>
        <v>Tony</v>
      </c>
      <c r="AK3" s="5" t="str">
        <v>Stark</v>
      </c>
      <c r="AS3" s="5" t="s">
        <v>28</v>
      </c>
      <c r="AT3" s="5" t="str">
        <f t="shared" ref="AT3:AT14" si="6">LEFT(AS3,3)</f>
        <v>Feb</v>
      </c>
      <c r="AU3" s="5" t="str">
        <f t="shared" ref="AU3:AU14" si="7">RIGHT(AS3,3)</f>
        <v>ary</v>
      </c>
      <c r="AV3" s="5" t="str">
        <f t="shared" ref="AV3:AV14" si="8">MID(AS3,2,3)</f>
        <v>ebr</v>
      </c>
      <c r="BE3" s="5" t="s">
        <v>28</v>
      </c>
      <c r="BF3" s="5">
        <f t="shared" ref="BF3:BF14" si="9">FIND("a",BE3)</f>
        <v>6</v>
      </c>
      <c r="BG3" s="5">
        <f t="shared" ref="BG3:BG14" si="10">SEARCH("a",BE3)</f>
        <v>6</v>
      </c>
      <c r="BN3" s="5" t="s">
        <v>26</v>
      </c>
      <c r="BO3" t="str">
        <f t="shared" ref="BO3:BO21" si="11">LEFT(BN3,FIND(" ",BN3))</f>
        <v xml:space="preserve">Sony </v>
      </c>
      <c r="BP3" s="5" t="str">
        <f t="shared" ref="BP3:BP21" si="12">REPLACE(BN3,1,FIND(" ",BN3)," ")</f>
        <v xml:space="preserve"> Pictures Network</v>
      </c>
      <c r="BX3" s="5" t="s">
        <v>26</v>
      </c>
      <c r="BY3" s="5" t="str">
        <f t="shared" ref="BY3:BY21" si="13">SUBSTITUTE(BX3,"a","z")</f>
        <v>Sony Pictures Network</v>
      </c>
      <c r="BZ3" t="str">
        <f t="shared" ref="BZ3:BZ16" si="14">REPLACE(BX3,8,20,"zzzzz")</f>
        <v>Sony Pizzzzz</v>
      </c>
    </row>
    <row r="4" spans="1:78">
      <c r="A4" s="3">
        <v>3</v>
      </c>
      <c r="B4" s="3" t="s">
        <v>29</v>
      </c>
      <c r="C4" s="5" t="s">
        <v>30</v>
      </c>
      <c r="D4" s="10">
        <v>94</v>
      </c>
      <c r="E4" s="1"/>
      <c r="F4" s="1"/>
      <c r="G4" s="1"/>
      <c r="H4" s="1"/>
      <c r="J4" s="3">
        <v>3</v>
      </c>
      <c r="K4" s="3" t="s">
        <v>29</v>
      </c>
      <c r="L4" s="5" t="str">
        <f t="shared" si="0"/>
        <v>Zee Music company</v>
      </c>
      <c r="M4" s="5" t="str">
        <f t="shared" si="1"/>
        <v>ZEE MUSIC COMPANY</v>
      </c>
      <c r="N4" s="5" t="str">
        <f t="shared" si="2"/>
        <v>zee music company</v>
      </c>
      <c r="O4" s="5" t="str">
        <f t="shared" si="3"/>
        <v>Zee Music Company</v>
      </c>
      <c r="P4" s="5">
        <f t="shared" si="4"/>
        <v>17</v>
      </c>
      <c r="W4" s="5" t="s">
        <v>30</v>
      </c>
      <c r="X4" t="str">
        <f t="shared" si="5"/>
        <v>Subhash</v>
      </c>
      <c r="Y4" s="5"/>
      <c r="AI4" s="5" t="s">
        <v>31</v>
      </c>
      <c r="AJ4" s="5" t="str" cm="1">
        <f t="array" ref="AJ4:AK4">_xlfn.TEXTSPLIT(AI4," ")</f>
        <v>Bruce</v>
      </c>
      <c r="AK4" s="5" t="str">
        <v>Wayne</v>
      </c>
      <c r="AS4" s="5" t="s">
        <v>32</v>
      </c>
      <c r="AT4" s="5" t="str">
        <f t="shared" si="6"/>
        <v>Mar</v>
      </c>
      <c r="AU4" s="5" t="str">
        <f t="shared" si="7"/>
        <v>rch</v>
      </c>
      <c r="AV4" s="5" t="str">
        <f t="shared" si="8"/>
        <v>arc</v>
      </c>
      <c r="BE4" s="5" t="s">
        <v>32</v>
      </c>
      <c r="BF4" s="5">
        <f t="shared" si="9"/>
        <v>2</v>
      </c>
      <c r="BG4" s="5">
        <f t="shared" si="10"/>
        <v>2</v>
      </c>
      <c r="BN4" s="5" t="s">
        <v>30</v>
      </c>
      <c r="BO4" t="str">
        <f t="shared" si="11"/>
        <v xml:space="preserve">Subhash </v>
      </c>
      <c r="BP4" s="5" t="str">
        <f t="shared" si="12"/>
        <v xml:space="preserve"> Chandra</v>
      </c>
      <c r="BX4" s="5" t="s">
        <v>30</v>
      </c>
      <c r="BY4" s="5" t="str">
        <f t="shared" si="13"/>
        <v>Subhzsh Chzndrz</v>
      </c>
      <c r="BZ4" t="str">
        <f t="shared" si="14"/>
        <v>Subhashzzzzz</v>
      </c>
    </row>
    <row r="5" spans="1:78">
      <c r="A5" s="3">
        <v>4</v>
      </c>
      <c r="B5" s="3" t="s">
        <v>33</v>
      </c>
      <c r="C5" s="5" t="s">
        <v>34</v>
      </c>
      <c r="D5" s="10">
        <v>52</v>
      </c>
      <c r="E5" s="1"/>
      <c r="F5" s="1"/>
      <c r="G5" s="1"/>
      <c r="H5" s="1"/>
      <c r="J5" s="3">
        <v>4</v>
      </c>
      <c r="K5" s="3" t="s">
        <v>33</v>
      </c>
      <c r="L5" s="5" t="str">
        <f t="shared" si="0"/>
        <v>Sony Music INDIA</v>
      </c>
      <c r="M5" s="5" t="str">
        <f t="shared" si="1"/>
        <v>SONY MUSIC INDIA</v>
      </c>
      <c r="N5" s="5" t="str">
        <f t="shared" si="2"/>
        <v>sony music india</v>
      </c>
      <c r="O5" s="5" t="str">
        <f t="shared" si="3"/>
        <v>Sony Music India</v>
      </c>
      <c r="P5" s="5">
        <f t="shared" si="4"/>
        <v>16</v>
      </c>
      <c r="W5" s="5" t="s">
        <v>34</v>
      </c>
      <c r="X5" t="str">
        <f t="shared" si="5"/>
        <v>Sony</v>
      </c>
      <c r="Y5" s="5"/>
      <c r="AI5" s="5" t="s">
        <v>35</v>
      </c>
      <c r="AJ5" s="5" t="str" cm="1">
        <f t="array" ref="AJ5:AK5">_xlfn.TEXTSPLIT(AI5," ")</f>
        <v>Peter</v>
      </c>
      <c r="AK5" s="5" t="str">
        <v>Parker</v>
      </c>
      <c r="AS5" s="5" t="s">
        <v>36</v>
      </c>
      <c r="AT5" s="5" t="str">
        <f t="shared" si="6"/>
        <v>Apr</v>
      </c>
      <c r="AU5" s="5" t="str">
        <f t="shared" si="7"/>
        <v>ril</v>
      </c>
      <c r="AV5" s="5" t="str">
        <f t="shared" si="8"/>
        <v>pri</v>
      </c>
      <c r="BE5" s="5" t="s">
        <v>36</v>
      </c>
      <c r="BF5" s="5" t="e">
        <f>FIND("a",BE5)</f>
        <v>#VALUE!</v>
      </c>
      <c r="BG5" s="5">
        <f t="shared" si="10"/>
        <v>1</v>
      </c>
      <c r="BN5" s="5" t="s">
        <v>34</v>
      </c>
      <c r="BO5" t="str">
        <f t="shared" si="11"/>
        <v xml:space="preserve">Sony </v>
      </c>
      <c r="BP5" s="5" t="str">
        <f t="shared" si="12"/>
        <v xml:space="preserve"> Entertainment</v>
      </c>
      <c r="BX5" s="5" t="s">
        <v>34</v>
      </c>
      <c r="BY5" s="5" t="str">
        <f t="shared" si="13"/>
        <v>Sony Entertzinment</v>
      </c>
      <c r="BZ5" t="str">
        <f t="shared" si="14"/>
        <v>Sony Enzzzzz</v>
      </c>
    </row>
    <row r="6" spans="1:78">
      <c r="A6" s="3">
        <v>5</v>
      </c>
      <c r="B6" s="3" t="s">
        <v>37</v>
      </c>
      <c r="C6" s="5" t="s">
        <v>38</v>
      </c>
      <c r="D6" s="10">
        <v>50</v>
      </c>
      <c r="E6" s="1"/>
      <c r="F6" s="1"/>
      <c r="G6" s="1"/>
      <c r="H6" s="1"/>
      <c r="J6" s="3">
        <v>5</v>
      </c>
      <c r="K6" s="3" t="s">
        <v>37</v>
      </c>
      <c r="L6" s="5" t="str">
        <f t="shared" si="0"/>
        <v>Aaj Tak</v>
      </c>
      <c r="M6" s="5" t="str">
        <f t="shared" si="1"/>
        <v>AAJ TAK</v>
      </c>
      <c r="N6" s="5" t="str">
        <f t="shared" si="2"/>
        <v>aaj tak</v>
      </c>
      <c r="O6" s="5" t="str">
        <f t="shared" si="3"/>
        <v>Aaj Tak</v>
      </c>
      <c r="P6" s="5">
        <f t="shared" si="4"/>
        <v>7</v>
      </c>
      <c r="W6" s="5" t="s">
        <v>38</v>
      </c>
      <c r="X6" t="str">
        <f t="shared" si="5"/>
        <v>India</v>
      </c>
      <c r="Y6" s="5"/>
      <c r="AI6" s="5" t="s">
        <v>39</v>
      </c>
      <c r="AJ6" s="5" t="str" cm="1">
        <f t="array" ref="AJ6:AK6">_xlfn.TEXTSPLIT(AI6," ")</f>
        <v>Hermione</v>
      </c>
      <c r="AK6" s="5" t="str">
        <v>Granger</v>
      </c>
      <c r="AS6" s="5" t="s">
        <v>40</v>
      </c>
      <c r="AT6" s="5" t="str">
        <f t="shared" si="6"/>
        <v>May</v>
      </c>
      <c r="AU6" s="5" t="str">
        <f t="shared" si="7"/>
        <v>May</v>
      </c>
      <c r="AV6" s="5" t="str">
        <f t="shared" si="8"/>
        <v>ay</v>
      </c>
      <c r="BE6" s="5" t="s">
        <v>40</v>
      </c>
      <c r="BF6" s="5">
        <f t="shared" si="9"/>
        <v>2</v>
      </c>
      <c r="BG6" s="5">
        <f t="shared" si="10"/>
        <v>2</v>
      </c>
      <c r="BN6" s="5" t="s">
        <v>38</v>
      </c>
      <c r="BO6" t="str">
        <f t="shared" si="11"/>
        <v xml:space="preserve">India </v>
      </c>
      <c r="BP6" s="5" t="str">
        <f t="shared" si="12"/>
        <v xml:space="preserve"> Today Group</v>
      </c>
      <c r="BX6" s="5" t="s">
        <v>38</v>
      </c>
      <c r="BY6" s="5" t="str">
        <f t="shared" si="13"/>
        <v>Indiz Todzy Group</v>
      </c>
      <c r="BZ6" t="str">
        <f t="shared" si="14"/>
        <v>India Tzzzzz</v>
      </c>
    </row>
    <row r="7" spans="1:78">
      <c r="A7" s="3">
        <v>6</v>
      </c>
      <c r="B7" s="3" t="s">
        <v>41</v>
      </c>
      <c r="C7" s="5" t="s">
        <v>42</v>
      </c>
      <c r="D7" s="10">
        <v>45</v>
      </c>
      <c r="E7" s="1"/>
      <c r="F7" s="1"/>
      <c r="G7" s="1"/>
      <c r="H7" s="1"/>
      <c r="J7" s="3">
        <v>6</v>
      </c>
      <c r="K7" s="3" t="s">
        <v>41</v>
      </c>
      <c r="L7" s="5" t="str">
        <f t="shared" si="0"/>
        <v>YRF</v>
      </c>
      <c r="M7" s="5" t="str">
        <f t="shared" si="1"/>
        <v>YRF</v>
      </c>
      <c r="N7" s="5" t="str">
        <f t="shared" si="2"/>
        <v>yrf</v>
      </c>
      <c r="O7" s="5" t="str">
        <f t="shared" si="3"/>
        <v>Yrf</v>
      </c>
      <c r="P7" s="5">
        <f t="shared" si="4"/>
        <v>3</v>
      </c>
      <c r="W7" s="5" t="s">
        <v>42</v>
      </c>
      <c r="X7" t="str">
        <f t="shared" si="5"/>
        <v>Yash</v>
      </c>
      <c r="Y7" s="5"/>
      <c r="AI7" s="5" t="s">
        <v>43</v>
      </c>
      <c r="AJ7" s="5" t="str" cm="1">
        <f t="array" ref="AJ7:AK7">_xlfn.TEXTSPLIT(AI7," ")</f>
        <v>Chhota</v>
      </c>
      <c r="AK7" s="5" t="str">
        <v>Bheem</v>
      </c>
      <c r="AS7" s="5" t="s">
        <v>44</v>
      </c>
      <c r="AT7" s="5" t="str">
        <f t="shared" si="6"/>
        <v>Jun</v>
      </c>
      <c r="AU7" s="5" t="str">
        <f t="shared" si="7"/>
        <v>une</v>
      </c>
      <c r="AV7" s="5" t="str">
        <f t="shared" si="8"/>
        <v>une</v>
      </c>
      <c r="BE7" s="5" t="s">
        <v>44</v>
      </c>
      <c r="BF7" s="5" t="e">
        <f t="shared" si="9"/>
        <v>#VALUE!</v>
      </c>
      <c r="BG7" s="5" t="e">
        <f t="shared" si="10"/>
        <v>#VALUE!</v>
      </c>
      <c r="BN7" s="5" t="s">
        <v>42</v>
      </c>
      <c r="BO7" t="str">
        <f t="shared" si="11"/>
        <v xml:space="preserve">Yash </v>
      </c>
      <c r="BP7" s="5" t="str">
        <f t="shared" si="12"/>
        <v xml:space="preserve"> Raj Films</v>
      </c>
      <c r="BX7" s="5" t="s">
        <v>42</v>
      </c>
      <c r="BY7" s="5" t="str">
        <f t="shared" si="13"/>
        <v>Yzsh Rzj Films</v>
      </c>
      <c r="BZ7" t="str">
        <f t="shared" si="14"/>
        <v>Yash Razzzzz</v>
      </c>
    </row>
    <row r="8" spans="1:78">
      <c r="A8" s="3">
        <v>7</v>
      </c>
      <c r="B8" s="4" t="s">
        <v>45</v>
      </c>
      <c r="C8" s="5" t="s">
        <v>46</v>
      </c>
      <c r="D8" s="10">
        <v>40</v>
      </c>
      <c r="E8" s="1"/>
      <c r="F8" s="1"/>
      <c r="G8" s="1"/>
      <c r="H8" s="1"/>
      <c r="J8" s="3">
        <v>7</v>
      </c>
      <c r="K8" s="4" t="s">
        <v>45</v>
      </c>
      <c r="L8" s="5" t="str">
        <f t="shared" si="0"/>
        <v>CarryMINATI</v>
      </c>
      <c r="M8" s="5" t="str">
        <f t="shared" si="1"/>
        <v>CARRYMINATI</v>
      </c>
      <c r="N8" s="5" t="str">
        <f t="shared" si="2"/>
        <v>carryminati</v>
      </c>
      <c r="O8" s="5" t="str">
        <f t="shared" si="3"/>
        <v>Carryminati</v>
      </c>
      <c r="P8" s="5">
        <f t="shared" si="4"/>
        <v>11</v>
      </c>
      <c r="W8" s="5" t="s">
        <v>46</v>
      </c>
      <c r="X8" t="str">
        <f t="shared" si="5"/>
        <v>Ajey</v>
      </c>
      <c r="Y8" s="5"/>
      <c r="AI8" s="5" t="s">
        <v>47</v>
      </c>
      <c r="AJ8" s="5" t="str" cm="1">
        <f t="array" ref="AJ8:AK8">_xlfn.TEXTSPLIT(AI8," ")</f>
        <v>Virat</v>
      </c>
      <c r="AK8" s="5" t="str">
        <v>Kohli</v>
      </c>
      <c r="AS8" s="5" t="s">
        <v>48</v>
      </c>
      <c r="AT8" s="5" t="str">
        <f t="shared" si="6"/>
        <v>Jul</v>
      </c>
      <c r="AU8" s="5" t="str">
        <f t="shared" si="7"/>
        <v>uly</v>
      </c>
      <c r="AV8" s="5" t="str">
        <f t="shared" si="8"/>
        <v>uly</v>
      </c>
      <c r="BE8" s="5" t="s">
        <v>48</v>
      </c>
      <c r="BF8" s="5" t="e">
        <f t="shared" si="9"/>
        <v>#VALUE!</v>
      </c>
      <c r="BG8" s="5" t="e">
        <f t="shared" si="10"/>
        <v>#VALUE!</v>
      </c>
      <c r="BN8" s="5" t="s">
        <v>46</v>
      </c>
      <c r="BO8" t="str">
        <f t="shared" si="11"/>
        <v xml:space="preserve">Ajey </v>
      </c>
      <c r="BP8" s="5" t="str">
        <f t="shared" si="12"/>
        <v xml:space="preserve"> Nagar</v>
      </c>
      <c r="BX8" s="5" t="s">
        <v>46</v>
      </c>
      <c r="BY8" s="5" t="str">
        <f t="shared" si="13"/>
        <v>Ajey Nzgzr</v>
      </c>
      <c r="BZ8" t="str">
        <f t="shared" si="14"/>
        <v>Ajey Nazzzzz</v>
      </c>
    </row>
    <row r="9" spans="1:78">
      <c r="A9" s="3">
        <v>8</v>
      </c>
      <c r="B9" s="4" t="s">
        <v>49</v>
      </c>
      <c r="C9" s="5" t="s">
        <v>50</v>
      </c>
      <c r="D9" s="10">
        <v>32</v>
      </c>
      <c r="E9" s="1"/>
      <c r="F9" s="1"/>
      <c r="G9" s="1"/>
      <c r="H9" s="1"/>
      <c r="J9" s="3">
        <v>8</v>
      </c>
      <c r="K9" s="4" t="s">
        <v>49</v>
      </c>
      <c r="L9" s="5" t="str">
        <f t="shared" si="0"/>
        <v>Ashish Chanchlani Vines</v>
      </c>
      <c r="M9" s="5" t="str">
        <f t="shared" si="1"/>
        <v>ASHISH CHANCHLANI VINES</v>
      </c>
      <c r="N9" s="5" t="str">
        <f t="shared" si="2"/>
        <v>ashish chanchlani vines</v>
      </c>
      <c r="O9" s="5" t="str">
        <f t="shared" si="3"/>
        <v>Ashish Chanchlani Vines</v>
      </c>
      <c r="P9" s="5">
        <f t="shared" si="4"/>
        <v>23</v>
      </c>
      <c r="W9" s="5" t="s">
        <v>50</v>
      </c>
      <c r="X9" t="str">
        <f t="shared" si="5"/>
        <v>Ashish</v>
      </c>
      <c r="Y9" s="5"/>
      <c r="AI9" s="5" t="s">
        <v>51</v>
      </c>
      <c r="AJ9" s="5" t="str" cm="1">
        <f t="array" ref="AJ9:AL9">_xlfn.TEXTSPLIT(AI9," ")</f>
        <v>Shah</v>
      </c>
      <c r="AK9" s="5" t="str">
        <v>Rukh</v>
      </c>
      <c r="AL9" t="str">
        <v>Khan</v>
      </c>
      <c r="AS9" s="5" t="s">
        <v>52</v>
      </c>
      <c r="AT9" s="5" t="str">
        <f t="shared" si="6"/>
        <v>Aug</v>
      </c>
      <c r="AU9" s="5" t="str">
        <f t="shared" si="7"/>
        <v>ust</v>
      </c>
      <c r="AV9" s="5" t="str">
        <f t="shared" si="8"/>
        <v>ugu</v>
      </c>
      <c r="BE9" s="5" t="s">
        <v>52</v>
      </c>
      <c r="BF9" s="5" t="e">
        <f t="shared" si="9"/>
        <v>#VALUE!</v>
      </c>
      <c r="BG9" s="5">
        <f t="shared" si="10"/>
        <v>1</v>
      </c>
      <c r="BN9" s="5" t="s">
        <v>50</v>
      </c>
      <c r="BO9" t="str">
        <f t="shared" si="11"/>
        <v xml:space="preserve">Ashish </v>
      </c>
      <c r="BP9" s="5" t="str">
        <f t="shared" si="12"/>
        <v xml:space="preserve"> Chanchlani</v>
      </c>
      <c r="BX9" s="5" t="s">
        <v>50</v>
      </c>
      <c r="BY9" s="5" t="str">
        <f t="shared" si="13"/>
        <v>Ashish Chznchlzni</v>
      </c>
      <c r="BZ9" t="str">
        <f t="shared" si="14"/>
        <v>Ashish zzzzz</v>
      </c>
    </row>
    <row r="10" spans="1:78">
      <c r="A10" s="3">
        <v>9</v>
      </c>
      <c r="B10" s="3" t="s">
        <v>53</v>
      </c>
      <c r="C10" s="5" t="s">
        <v>54</v>
      </c>
      <c r="D10" s="10">
        <v>26</v>
      </c>
      <c r="E10" s="1"/>
      <c r="F10" s="1"/>
      <c r="G10" s="1"/>
      <c r="H10" s="1"/>
      <c r="J10" s="3">
        <v>9</v>
      </c>
      <c r="K10" s="3" t="s">
        <v>53</v>
      </c>
      <c r="L10" s="5" t="str">
        <f t="shared" si="0"/>
        <v>BB Ki Vines</v>
      </c>
      <c r="M10" s="5" t="str">
        <f t="shared" si="1"/>
        <v>BB KI VINES</v>
      </c>
      <c r="N10" s="5" t="str">
        <f t="shared" si="2"/>
        <v>bb ki vines</v>
      </c>
      <c r="O10" s="5" t="str">
        <f t="shared" si="3"/>
        <v>Bb Ki Vines</v>
      </c>
      <c r="P10" s="5">
        <f t="shared" si="4"/>
        <v>11</v>
      </c>
      <c r="W10" s="5" t="s">
        <v>54</v>
      </c>
      <c r="X10" t="str">
        <f t="shared" si="5"/>
        <v>Bhuvan</v>
      </c>
      <c r="Y10" s="5"/>
      <c r="AI10" s="5" t="s">
        <v>55</v>
      </c>
      <c r="AJ10" s="5" t="str" cm="1">
        <f t="array" ref="AJ10:AK10">_xlfn.TEXTSPLIT(AI10," ")</f>
        <v>Sachin</v>
      </c>
      <c r="AK10" s="5" t="str">
        <v>Tendulkar</v>
      </c>
      <c r="AS10" s="5" t="s">
        <v>56</v>
      </c>
      <c r="AT10" s="5" t="str">
        <f t="shared" si="6"/>
        <v>Sep</v>
      </c>
      <c r="AU10" s="5" t="str">
        <f t="shared" si="7"/>
        <v>ber</v>
      </c>
      <c r="AV10" s="5" t="str">
        <f t="shared" si="8"/>
        <v>ept</v>
      </c>
      <c r="BE10" s="5" t="s">
        <v>56</v>
      </c>
      <c r="BF10" s="5" t="e">
        <f t="shared" si="9"/>
        <v>#VALUE!</v>
      </c>
      <c r="BG10" s="5" t="e">
        <f t="shared" si="10"/>
        <v>#VALUE!</v>
      </c>
      <c r="BN10" s="5" t="s">
        <v>54</v>
      </c>
      <c r="BO10" t="str">
        <f t="shared" si="11"/>
        <v xml:space="preserve">Bhuvan </v>
      </c>
      <c r="BP10" s="5" t="str">
        <f t="shared" si="12"/>
        <v xml:space="preserve"> Bam</v>
      </c>
      <c r="BX10" s="5" t="s">
        <v>54</v>
      </c>
      <c r="BY10" s="5" t="str">
        <f t="shared" si="13"/>
        <v>Bhuvzn Bzm</v>
      </c>
      <c r="BZ10" t="str">
        <f t="shared" si="14"/>
        <v>Bhuvan zzzzz</v>
      </c>
    </row>
    <row r="11" spans="1:78">
      <c r="A11" s="3">
        <v>10</v>
      </c>
      <c r="B11" s="4" t="s">
        <v>57</v>
      </c>
      <c r="C11" s="5" t="s">
        <v>58</v>
      </c>
      <c r="D11" s="10">
        <v>22</v>
      </c>
      <c r="E11" s="1"/>
      <c r="F11" s="1"/>
      <c r="G11" s="1"/>
      <c r="H11" s="1"/>
      <c r="J11" s="3">
        <v>10</v>
      </c>
      <c r="K11" s="4" t="s">
        <v>57</v>
      </c>
      <c r="L11" s="5" t="str">
        <f t="shared" si="0"/>
        <v>Technical Guruji</v>
      </c>
      <c r="M11" s="5" t="str">
        <f t="shared" si="1"/>
        <v>TECHNICAL GURUJI</v>
      </c>
      <c r="N11" s="5" t="str">
        <f t="shared" si="2"/>
        <v>technical guruji</v>
      </c>
      <c r="O11" s="5" t="str">
        <f t="shared" si="3"/>
        <v>Technical Guruji</v>
      </c>
      <c r="P11" s="5">
        <f t="shared" si="4"/>
        <v>16</v>
      </c>
      <c r="W11" s="5" t="s">
        <v>58</v>
      </c>
      <c r="X11" t="str">
        <f t="shared" si="5"/>
        <v>Gaurav</v>
      </c>
      <c r="Y11" s="5"/>
      <c r="AI11" s="5" t="s">
        <v>59</v>
      </c>
      <c r="AJ11" s="5" t="str" cm="1">
        <f t="array" ref="AJ11:AK11">_xlfn.TEXTSPLIT(AI11," ")</f>
        <v>Amitabh</v>
      </c>
      <c r="AK11" s="5" t="str">
        <v>Bachchan</v>
      </c>
      <c r="AS11" s="5" t="s">
        <v>60</v>
      </c>
      <c r="AT11" s="5" t="str">
        <f t="shared" si="6"/>
        <v>Oct</v>
      </c>
      <c r="AU11" s="5" t="str">
        <f t="shared" si="7"/>
        <v>ber</v>
      </c>
      <c r="AV11" s="5" t="str">
        <f t="shared" si="8"/>
        <v>cto</v>
      </c>
      <c r="BE11" s="5" t="s">
        <v>60</v>
      </c>
      <c r="BF11" s="5" t="e">
        <f t="shared" si="9"/>
        <v>#VALUE!</v>
      </c>
      <c r="BG11" s="5" t="e">
        <f t="shared" si="10"/>
        <v>#VALUE!</v>
      </c>
      <c r="BN11" s="5" t="s">
        <v>58</v>
      </c>
      <c r="BO11" t="str">
        <f t="shared" si="11"/>
        <v xml:space="preserve">Gaurav </v>
      </c>
      <c r="BP11" s="5" t="str">
        <f t="shared" si="12"/>
        <v xml:space="preserve"> Chaudhary</v>
      </c>
      <c r="BX11" s="5" t="s">
        <v>58</v>
      </c>
      <c r="BY11" s="5" t="str">
        <f t="shared" si="13"/>
        <v>Gzurzv Chzudhzry</v>
      </c>
      <c r="BZ11" t="str">
        <f t="shared" si="14"/>
        <v>Gaurav zzzzz</v>
      </c>
    </row>
    <row r="12" spans="1:78">
      <c r="A12" s="3">
        <v>11</v>
      </c>
      <c r="B12" s="3" t="s">
        <v>61</v>
      </c>
      <c r="C12" s="5" t="s">
        <v>62</v>
      </c>
      <c r="D12" s="10">
        <v>176</v>
      </c>
      <c r="E12" s="1"/>
      <c r="F12" s="1"/>
      <c r="G12" s="1"/>
      <c r="H12" s="1"/>
      <c r="J12" s="3">
        <v>11</v>
      </c>
      <c r="K12" s="3" t="s">
        <v>61</v>
      </c>
      <c r="L12" s="5" t="str">
        <f t="shared" si="0"/>
        <v>MrBeast</v>
      </c>
      <c r="M12" s="5" t="str">
        <f t="shared" si="1"/>
        <v>MRBEAST</v>
      </c>
      <c r="N12" s="5" t="str">
        <f t="shared" si="2"/>
        <v>mrbeast</v>
      </c>
      <c r="O12" s="5" t="str">
        <f t="shared" si="3"/>
        <v>Mrbeast</v>
      </c>
      <c r="P12" s="5">
        <f t="shared" si="4"/>
        <v>7</v>
      </c>
      <c r="W12" s="5" t="s">
        <v>62</v>
      </c>
      <c r="X12" t="str">
        <f t="shared" si="5"/>
        <v>Jimmy</v>
      </c>
      <c r="Y12" s="5"/>
      <c r="AI12" s="5" t="s">
        <v>63</v>
      </c>
      <c r="AJ12" s="5" t="str" cm="1">
        <f t="array" ref="AJ12:AK12">_xlfn.TEXTSPLIT(AI12," ")</f>
        <v>MS</v>
      </c>
      <c r="AK12" s="5" t="str">
        <v>Dhoni</v>
      </c>
      <c r="AS12" s="5" t="s">
        <v>64</v>
      </c>
      <c r="AT12" s="5" t="str">
        <f t="shared" si="6"/>
        <v>Nov</v>
      </c>
      <c r="AU12" s="5" t="str">
        <f t="shared" si="7"/>
        <v>ber</v>
      </c>
      <c r="AV12" s="5" t="str">
        <f t="shared" si="8"/>
        <v>ove</v>
      </c>
      <c r="BE12" s="5" t="s">
        <v>64</v>
      </c>
      <c r="BF12" s="5" t="e">
        <f t="shared" si="9"/>
        <v>#VALUE!</v>
      </c>
      <c r="BG12" s="5" t="e">
        <f t="shared" si="10"/>
        <v>#VALUE!</v>
      </c>
      <c r="BN12" s="5" t="s">
        <v>62</v>
      </c>
      <c r="BO12" t="str">
        <f>LEFT(BN12,FIND(" ",BN12))</f>
        <v xml:space="preserve">Jimmy </v>
      </c>
      <c r="BP12" s="5" t="str">
        <f t="shared" si="12"/>
        <v xml:space="preserve"> Donaldson</v>
      </c>
      <c r="BX12" s="5" t="s">
        <v>62</v>
      </c>
      <c r="BY12" s="5" t="str">
        <f t="shared" si="13"/>
        <v>Jimmy Donzldson</v>
      </c>
      <c r="BZ12" t="str">
        <f t="shared" si="14"/>
        <v>Jimmy Dzzzzz</v>
      </c>
    </row>
    <row r="13" spans="1:78">
      <c r="A13" s="3">
        <v>12</v>
      </c>
      <c r="B13" s="4" t="s">
        <v>65</v>
      </c>
      <c r="C13" s="5" t="s">
        <v>66</v>
      </c>
      <c r="D13" s="10">
        <v>111</v>
      </c>
      <c r="E13" s="1"/>
      <c r="F13" s="1"/>
      <c r="G13" s="1"/>
      <c r="H13" s="1"/>
      <c r="J13" s="3">
        <v>12</v>
      </c>
      <c r="K13" s="4" t="s">
        <v>65</v>
      </c>
      <c r="L13" s="5" t="str">
        <f t="shared" si="0"/>
        <v>PEwdiePie</v>
      </c>
      <c r="M13" s="5" t="str">
        <f t="shared" si="1"/>
        <v>PEWDIEPIE</v>
      </c>
      <c r="N13" s="5" t="str">
        <f t="shared" si="2"/>
        <v>pewdiepie</v>
      </c>
      <c r="O13" s="5" t="str">
        <f t="shared" si="3"/>
        <v>Pewdiepie</v>
      </c>
      <c r="P13" s="5">
        <f t="shared" si="4"/>
        <v>9</v>
      </c>
      <c r="W13" s="5" t="s">
        <v>66</v>
      </c>
      <c r="X13" t="str">
        <f t="shared" si="5"/>
        <v>Felix</v>
      </c>
      <c r="Y13" s="5"/>
      <c r="AI13" s="5" t="s">
        <v>67</v>
      </c>
      <c r="AJ13" s="5" t="str" cm="1">
        <f t="array" ref="AJ13:AK13">_xlfn.TEXTSPLIT(AI13," ")</f>
        <v>Mickey</v>
      </c>
      <c r="AK13" s="5" t="str">
        <v>Mouse</v>
      </c>
      <c r="AS13" s="5" t="s">
        <v>68</v>
      </c>
      <c r="AT13" s="5" t="str">
        <f t="shared" si="6"/>
        <v>Dec</v>
      </c>
      <c r="AU13" s="5" t="str">
        <f t="shared" si="7"/>
        <v>ber</v>
      </c>
      <c r="AV13" s="5" t="str">
        <f t="shared" si="8"/>
        <v>ece</v>
      </c>
      <c r="BE13" s="5" t="s">
        <v>68</v>
      </c>
      <c r="BF13" s="5" t="e">
        <f t="shared" si="9"/>
        <v>#VALUE!</v>
      </c>
      <c r="BG13" s="5" t="e">
        <f t="shared" si="10"/>
        <v>#VALUE!</v>
      </c>
      <c r="BN13" s="5" t="s">
        <v>66</v>
      </c>
      <c r="BO13" t="str">
        <f t="shared" si="11"/>
        <v xml:space="preserve">Felix </v>
      </c>
      <c r="BP13" s="5" t="str">
        <f t="shared" si="12"/>
        <v xml:space="preserve"> Kjellberg</v>
      </c>
      <c r="BX13" s="5" t="s">
        <v>66</v>
      </c>
      <c r="BY13" s="5" t="str">
        <f t="shared" si="13"/>
        <v>Felix Kjellberg</v>
      </c>
      <c r="BZ13" t="str">
        <f t="shared" si="14"/>
        <v>Felix Kzzzzz</v>
      </c>
    </row>
    <row r="14" spans="1:78">
      <c r="A14" s="3">
        <v>13</v>
      </c>
      <c r="B14" s="4" t="s">
        <v>69</v>
      </c>
      <c r="C14" s="5" t="s">
        <v>70</v>
      </c>
      <c r="D14" s="10">
        <v>78</v>
      </c>
      <c r="E14" s="1"/>
      <c r="F14" s="1"/>
      <c r="G14" s="1"/>
      <c r="H14" s="1"/>
      <c r="J14" s="3">
        <v>13</v>
      </c>
      <c r="K14" s="4" t="s">
        <v>69</v>
      </c>
      <c r="L14" s="5" t="str">
        <f t="shared" si="0"/>
        <v>5-minute CRAFTS</v>
      </c>
      <c r="M14" s="5" t="str">
        <f t="shared" si="1"/>
        <v>5-MINUTE CRAFTS</v>
      </c>
      <c r="N14" s="5" t="str">
        <f t="shared" si="2"/>
        <v>5-minute crafts</v>
      </c>
      <c r="O14" s="5" t="str">
        <f t="shared" si="3"/>
        <v>5-Minute Crafts</v>
      </c>
      <c r="P14" s="5">
        <f t="shared" si="4"/>
        <v>15</v>
      </c>
      <c r="W14" s="5" t="s">
        <v>70</v>
      </c>
      <c r="X14" t="str">
        <f t="shared" si="5"/>
        <v>THE</v>
      </c>
      <c r="Y14" s="5"/>
      <c r="AI14" s="5" t="s">
        <v>71</v>
      </c>
      <c r="AJ14" s="5" t="str" cm="1">
        <f t="array" ref="AJ14:AK14">_xlfn.TEXTSPLIT(AI14," ")</f>
        <v>Donald</v>
      </c>
      <c r="AK14" s="5" t="str">
        <v>Duck</v>
      </c>
      <c r="AS14" s="5" t="s">
        <v>24</v>
      </c>
      <c r="AT14" s="5" t="str">
        <f t="shared" si="6"/>
        <v>Jan</v>
      </c>
      <c r="AU14" s="5" t="str">
        <f t="shared" si="7"/>
        <v>ary</v>
      </c>
      <c r="AV14" s="5" t="str">
        <f t="shared" si="8"/>
        <v>anu</v>
      </c>
      <c r="BE14" s="5" t="s">
        <v>24</v>
      </c>
      <c r="BF14" s="5">
        <f t="shared" si="9"/>
        <v>2</v>
      </c>
      <c r="BG14" s="5">
        <f t="shared" si="10"/>
        <v>2</v>
      </c>
      <c r="BN14" s="5" t="s">
        <v>70</v>
      </c>
      <c r="BO14" t="str">
        <f t="shared" si="11"/>
        <v xml:space="preserve">THE </v>
      </c>
      <c r="BP14" s="5" t="str">
        <f t="shared" si="12"/>
        <v xml:space="preserve"> soul publishing</v>
      </c>
      <c r="BX14" s="5" t="s">
        <v>70</v>
      </c>
      <c r="BY14" s="5" t="str">
        <f t="shared" si="13"/>
        <v>THE soul publishing</v>
      </c>
      <c r="BZ14" t="str">
        <f t="shared" si="14"/>
        <v>THE souzzzzz</v>
      </c>
    </row>
    <row r="15" spans="1:78">
      <c r="A15" s="3">
        <v>14</v>
      </c>
      <c r="B15" s="3" t="s">
        <v>72</v>
      </c>
      <c r="C15" s="5" t="s">
        <v>73</v>
      </c>
      <c r="D15" s="10">
        <v>106</v>
      </c>
      <c r="E15" s="1"/>
      <c r="F15" s="1"/>
      <c r="G15" s="1"/>
      <c r="H15" s="1"/>
      <c r="J15" s="3">
        <v>14</v>
      </c>
      <c r="K15" s="3" t="s">
        <v>72</v>
      </c>
      <c r="L15" s="5" t="str">
        <f t="shared" si="0"/>
        <v>likeNastia</v>
      </c>
      <c r="M15" s="5" t="str">
        <f t="shared" si="1"/>
        <v>LIKENASTIA</v>
      </c>
      <c r="N15" s="5" t="str">
        <f t="shared" si="2"/>
        <v>likenastia</v>
      </c>
      <c r="O15" s="5" t="str">
        <f t="shared" si="3"/>
        <v>Likenastia</v>
      </c>
      <c r="P15" s="5">
        <f t="shared" si="4"/>
        <v>10</v>
      </c>
      <c r="W15" s="5" t="s">
        <v>73</v>
      </c>
      <c r="X15" t="str">
        <f t="shared" si="5"/>
        <v>anastasia</v>
      </c>
      <c r="Y15" s="5"/>
      <c r="AI15" s="5" t="s">
        <v>74</v>
      </c>
      <c r="AJ15" s="5" t="str" cm="1">
        <f t="array" ref="AJ15:AK15">_xlfn.TEXTSPLIT(AI15," ")</f>
        <v>Dora</v>
      </c>
      <c r="AK15" s="5" t="str">
        <v>Explorer</v>
      </c>
      <c r="AS15" s="5"/>
      <c r="AT15" s="5"/>
      <c r="AU15" s="5"/>
      <c r="AV15" s="5"/>
      <c r="BN15" s="5" t="s">
        <v>73</v>
      </c>
      <c r="BO15" t="str">
        <f t="shared" si="11"/>
        <v xml:space="preserve">anastasia </v>
      </c>
      <c r="BP15" s="5" t="str">
        <f t="shared" si="12"/>
        <v xml:space="preserve"> radzinskaya</v>
      </c>
      <c r="BX15" s="5" t="s">
        <v>73</v>
      </c>
      <c r="BY15" s="5" t="str">
        <f t="shared" si="13"/>
        <v>znzstzsiz rzdzinskzyz</v>
      </c>
      <c r="BZ15" t="str">
        <f t="shared" si="14"/>
        <v>anastaszzzzz</v>
      </c>
    </row>
    <row r="16" spans="1:78">
      <c r="A16" s="3">
        <v>15</v>
      </c>
      <c r="B16" s="3" t="s">
        <v>75</v>
      </c>
      <c r="C16" s="5" t="s">
        <v>76</v>
      </c>
      <c r="D16" s="10">
        <v>163</v>
      </c>
      <c r="E16" s="1"/>
      <c r="F16" s="1"/>
      <c r="G16" s="1"/>
      <c r="H16" s="1"/>
      <c r="J16" s="3">
        <v>15</v>
      </c>
      <c r="K16" s="3" t="s">
        <v>75</v>
      </c>
      <c r="L16" s="5" t="str">
        <f t="shared" si="0"/>
        <v>coComelon - Nursery rhymes</v>
      </c>
      <c r="M16" s="5" t="str">
        <f t="shared" si="1"/>
        <v>COCOMELON - NURSERY RHYMES</v>
      </c>
      <c r="N16" s="5" t="str">
        <f t="shared" si="2"/>
        <v>cocomelon - nursery rhymes</v>
      </c>
      <c r="O16" s="5" t="str">
        <f t="shared" si="3"/>
        <v>Cocomelon - Nursery Rhymes</v>
      </c>
      <c r="P16" s="5">
        <f t="shared" si="4"/>
        <v>26</v>
      </c>
      <c r="W16" s="5" t="s">
        <v>76</v>
      </c>
      <c r="X16" t="str">
        <f t="shared" si="5"/>
        <v>Jay</v>
      </c>
      <c r="Y16" s="5"/>
      <c r="AI16" s="5" t="s">
        <v>77</v>
      </c>
      <c r="AJ16" s="5" t="str" cm="1">
        <f t="array" ref="AJ16:AK16">_xlfn.TEXTSPLIT(AI16," ")</f>
        <v>SpongeBob</v>
      </c>
      <c r="AK16" s="5" t="str">
        <v>SquarePants</v>
      </c>
      <c r="BN16" s="5" t="s">
        <v>76</v>
      </c>
      <c r="BO16" t="str">
        <f t="shared" si="11"/>
        <v xml:space="preserve">Jay </v>
      </c>
      <c r="BP16" s="5" t="str">
        <f t="shared" si="12"/>
        <v xml:space="preserve"> Jeon</v>
      </c>
      <c r="BX16" s="5" t="s">
        <v>76</v>
      </c>
      <c r="BY16" s="5" t="str">
        <f t="shared" si="13"/>
        <v>Jzy Jeon</v>
      </c>
      <c r="BZ16" t="str">
        <f t="shared" si="14"/>
        <v>Jay Jeozzzzz</v>
      </c>
    </row>
    <row r="17" spans="1:77">
      <c r="A17" s="3">
        <v>16</v>
      </c>
      <c r="B17" s="4" t="s">
        <v>78</v>
      </c>
      <c r="C17" s="5" t="s">
        <v>79</v>
      </c>
      <c r="D17" s="10">
        <v>66</v>
      </c>
      <c r="E17" s="1"/>
      <c r="F17" s="1"/>
      <c r="G17" s="1"/>
      <c r="H17" s="1"/>
      <c r="J17" s="3">
        <v>16</v>
      </c>
      <c r="K17" s="4" t="s">
        <v>78</v>
      </c>
      <c r="L17" s="5" t="str">
        <f t="shared" si="0"/>
        <v>Canal Kondzilla</v>
      </c>
      <c r="M17" s="5" t="str">
        <f t="shared" si="1"/>
        <v>CANAL KONDZILLA</v>
      </c>
      <c r="N17" s="5" t="str">
        <f t="shared" si="2"/>
        <v>canal kondzilla</v>
      </c>
      <c r="O17" s="5" t="str">
        <f t="shared" si="3"/>
        <v>Canal Kondzilla</v>
      </c>
      <c r="P17" s="5">
        <f t="shared" si="4"/>
        <v>15</v>
      </c>
      <c r="W17" s="5" t="s">
        <v>79</v>
      </c>
      <c r="X17" t="str">
        <f t="shared" si="5"/>
        <v>Konrad</v>
      </c>
      <c r="Y17" s="5"/>
      <c r="BN17" s="5" t="s">
        <v>79</v>
      </c>
      <c r="BO17" t="str">
        <f t="shared" si="11"/>
        <v xml:space="preserve">Konrad </v>
      </c>
      <c r="BP17" s="5"/>
      <c r="BX17" s="5" t="s">
        <v>79</v>
      </c>
      <c r="BY17" s="5" t="str">
        <f t="shared" si="13"/>
        <v>Konrzd Dzntzs</v>
      </c>
    </row>
    <row r="18" spans="1:77">
      <c r="A18" s="3">
        <v>17</v>
      </c>
      <c r="B18" s="3" t="s">
        <v>80</v>
      </c>
      <c r="C18" s="5" t="s">
        <v>81</v>
      </c>
      <c r="D18" s="10">
        <v>115</v>
      </c>
      <c r="E18" s="1"/>
      <c r="F18" s="1"/>
      <c r="G18" s="1"/>
      <c r="H18" s="1"/>
      <c r="J18" s="3">
        <v>17</v>
      </c>
      <c r="K18" s="3" t="s">
        <v>80</v>
      </c>
      <c r="L18" s="5" t="str">
        <f t="shared" si="0"/>
        <v>kids D Iana Show</v>
      </c>
      <c r="M18" s="5" t="str">
        <f t="shared" si="1"/>
        <v>KIDS D IANA SHOW</v>
      </c>
      <c r="N18" s="5" t="str">
        <f t="shared" si="2"/>
        <v>kids d iana show</v>
      </c>
      <c r="O18" s="5" t="str">
        <f t="shared" si="3"/>
        <v>Kids D Iana Show</v>
      </c>
      <c r="P18" s="5">
        <f t="shared" si="4"/>
        <v>16</v>
      </c>
      <c r="W18" s="5" t="s">
        <v>82</v>
      </c>
      <c r="X18" t="str">
        <f t="shared" si="5"/>
        <v>Diana</v>
      </c>
      <c r="Y18" s="5"/>
      <c r="BN18" s="5" t="s">
        <v>82</v>
      </c>
      <c r="BO18" t="str">
        <f t="shared" si="11"/>
        <v xml:space="preserve">Diana </v>
      </c>
      <c r="BP18" s="5"/>
      <c r="BX18" s="5" t="s">
        <v>82</v>
      </c>
      <c r="BY18" s="5" t="str">
        <f t="shared" si="13"/>
        <v xml:space="preserve">Diznz </v>
      </c>
    </row>
    <row r="19" spans="1:77">
      <c r="A19" s="3">
        <v>18</v>
      </c>
      <c r="B19" s="3" t="s">
        <v>83</v>
      </c>
      <c r="C19" s="5" t="s">
        <v>84</v>
      </c>
      <c r="D19" s="10">
        <v>44</v>
      </c>
      <c r="E19" s="1"/>
      <c r="F19" s="1"/>
      <c r="G19" s="1"/>
      <c r="H19" s="1"/>
      <c r="J19" s="3">
        <v>18</v>
      </c>
      <c r="K19" s="3" t="s">
        <v>83</v>
      </c>
      <c r="L19" s="5" t="str">
        <f t="shared" si="0"/>
        <v>Badabun</v>
      </c>
      <c r="M19" s="5" t="str">
        <f t="shared" si="1"/>
        <v>BADABUN</v>
      </c>
      <c r="N19" s="5" t="str">
        <f t="shared" si="2"/>
        <v>badabun</v>
      </c>
      <c r="O19" s="5" t="str">
        <f t="shared" si="3"/>
        <v>Badabun</v>
      </c>
      <c r="P19" s="5">
        <f t="shared" si="4"/>
        <v>7</v>
      </c>
      <c r="W19" s="5" t="s">
        <v>84</v>
      </c>
      <c r="X19" t="str">
        <f t="shared" si="5"/>
        <v>Various</v>
      </c>
      <c r="Y19" s="5"/>
      <c r="BN19" s="5" t="s">
        <v>84</v>
      </c>
      <c r="BO19" t="str">
        <f t="shared" si="11"/>
        <v xml:space="preserve">Various </v>
      </c>
      <c r="BP19" s="5"/>
      <c r="BX19" s="5" t="s">
        <v>84</v>
      </c>
      <c r="BY19" s="5" t="str">
        <f t="shared" si="13"/>
        <v>Vzrious Contributors</v>
      </c>
    </row>
    <row r="20" spans="1:77">
      <c r="A20" s="3">
        <v>19</v>
      </c>
      <c r="B20" s="3" t="s">
        <v>85</v>
      </c>
      <c r="C20" s="5" t="s">
        <v>86</v>
      </c>
      <c r="D20" s="10">
        <v>25</v>
      </c>
      <c r="E20" s="1"/>
      <c r="F20" s="1"/>
      <c r="G20" s="1"/>
      <c r="H20" s="1"/>
      <c r="J20" s="3">
        <v>19</v>
      </c>
      <c r="K20" s="3" t="s">
        <v>85</v>
      </c>
      <c r="L20" s="5" t="str">
        <f t="shared" si="0"/>
        <v>VanossGaming</v>
      </c>
      <c r="M20" s="5" t="str">
        <f t="shared" si="1"/>
        <v>VANOSSGAMING</v>
      </c>
      <c r="N20" s="5" t="str">
        <f t="shared" si="2"/>
        <v>vanossgaming</v>
      </c>
      <c r="O20" s="5" t="str">
        <f t="shared" si="3"/>
        <v>Vanossgaming</v>
      </c>
      <c r="P20" s="5">
        <f t="shared" si="4"/>
        <v>12</v>
      </c>
      <c r="W20" s="5" t="s">
        <v>86</v>
      </c>
      <c r="X20" t="str">
        <f t="shared" si="5"/>
        <v>Evan</v>
      </c>
      <c r="Y20" s="5"/>
      <c r="BN20" s="5" t="s">
        <v>86</v>
      </c>
      <c r="BO20" t="str">
        <f t="shared" si="11"/>
        <v xml:space="preserve">Evan </v>
      </c>
      <c r="BP20" s="5"/>
      <c r="BX20" s="5" t="s">
        <v>86</v>
      </c>
      <c r="BY20" s="5" t="str">
        <f t="shared" si="13"/>
        <v>Evzn Fong</v>
      </c>
    </row>
    <row r="21" spans="1:77">
      <c r="A21" s="3">
        <v>20</v>
      </c>
      <c r="B21" s="3" t="s">
        <v>87</v>
      </c>
      <c r="C21" s="5" t="s">
        <v>88</v>
      </c>
      <c r="D21" s="10">
        <v>35</v>
      </c>
      <c r="E21" s="1"/>
      <c r="F21" s="1"/>
      <c r="G21" s="1"/>
      <c r="H21" s="1"/>
      <c r="J21" s="3">
        <v>20</v>
      </c>
      <c r="K21" s="3" t="s">
        <v>87</v>
      </c>
      <c r="L21" s="5" t="str">
        <f t="shared" si="0"/>
        <v>Markiplier</v>
      </c>
      <c r="M21" s="5" t="str">
        <f t="shared" si="1"/>
        <v>MARKIPLIER</v>
      </c>
      <c r="N21" s="5" t="str">
        <f t="shared" si="2"/>
        <v>markiplier</v>
      </c>
      <c r="O21" s="5" t="str">
        <f t="shared" si="3"/>
        <v>Markiplier</v>
      </c>
      <c r="P21" s="5">
        <f t="shared" si="4"/>
        <v>10</v>
      </c>
      <c r="W21" s="5" t="s">
        <v>88</v>
      </c>
      <c r="X21" t="str">
        <f t="shared" si="5"/>
        <v>Mark</v>
      </c>
      <c r="Y21" s="5"/>
      <c r="BN21" s="5" t="s">
        <v>88</v>
      </c>
      <c r="BO21" t="str">
        <f t="shared" si="11"/>
        <v xml:space="preserve">Mark </v>
      </c>
      <c r="BP21" s="5"/>
      <c r="BX21" s="5" t="s">
        <v>88</v>
      </c>
      <c r="BY21" s="5" t="str">
        <f t="shared" si="13"/>
        <v>Mzrk Fischbzch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894A7-E993-463A-8157-B2BD59C05004}">
  <dimension ref="A1:CD23"/>
  <sheetViews>
    <sheetView showGridLines="0" tabSelected="1" topLeftCell="BD1" zoomScale="145" zoomScaleNormal="145" workbookViewId="0">
      <selection activeCell="CD3" sqref="CD3"/>
    </sheetView>
  </sheetViews>
  <sheetFormatPr defaultRowHeight="14.45"/>
  <cols>
    <col min="1" max="1" width="16.28515625" bestFit="1" customWidth="1"/>
    <col min="2" max="2" width="13.28515625" bestFit="1" customWidth="1"/>
    <col min="3" max="5" width="13.28515625" customWidth="1"/>
    <col min="13" max="16" width="17.140625" customWidth="1"/>
    <col min="17" max="17" width="19.28515625" customWidth="1"/>
    <col min="27" max="28" width="18.5703125" customWidth="1"/>
    <col min="29" max="29" width="18.7109375" customWidth="1"/>
    <col min="30" max="30" width="26.28515625" customWidth="1"/>
    <col min="37" max="38" width="15.7109375" customWidth="1"/>
    <col min="39" max="39" width="24.28515625" customWidth="1"/>
    <col min="40" max="40" width="29" customWidth="1"/>
    <col min="41" max="41" width="30.140625" customWidth="1"/>
    <col min="42" max="42" width="14.28515625" bestFit="1" customWidth="1"/>
    <col min="43" max="43" width="11.5703125" bestFit="1" customWidth="1"/>
    <col min="44" max="44" width="16.7109375" bestFit="1" customWidth="1"/>
    <col min="45" max="45" width="25.7109375" bestFit="1" customWidth="1"/>
    <col min="46" max="46" width="26.28515625" customWidth="1"/>
    <col min="50" max="50" width="16.140625" customWidth="1"/>
    <col min="51" max="51" width="24.5703125" customWidth="1"/>
    <col min="58" max="58" width="16.7109375" bestFit="1" customWidth="1"/>
    <col min="59" max="59" width="23.7109375" customWidth="1"/>
    <col min="60" max="60" width="11.42578125" customWidth="1"/>
    <col min="61" max="62" width="17.28515625" customWidth="1"/>
    <col min="73" max="73" width="25.85546875" customWidth="1"/>
    <col min="74" max="74" width="13.28515625" customWidth="1"/>
    <col min="75" max="75" width="18.28515625" customWidth="1"/>
    <col min="76" max="76" width="23.28515625" customWidth="1"/>
    <col min="79" max="79" width="14.42578125" bestFit="1" customWidth="1"/>
    <col min="80" max="80" width="27.140625" customWidth="1"/>
    <col min="81" max="81" width="19.28515625" customWidth="1"/>
    <col min="82" max="82" width="18" customWidth="1"/>
  </cols>
  <sheetData>
    <row r="1" spans="1:82" ht="15.6">
      <c r="A1" s="6" t="s">
        <v>89</v>
      </c>
      <c r="B1" s="6" t="s">
        <v>90</v>
      </c>
      <c r="C1" s="6" t="s">
        <v>91</v>
      </c>
      <c r="D1" s="6" t="s">
        <v>13</v>
      </c>
      <c r="E1" s="6" t="s">
        <v>92</v>
      </c>
      <c r="M1" s="6" t="s">
        <v>89</v>
      </c>
      <c r="N1" s="6" t="s">
        <v>90</v>
      </c>
      <c r="O1" s="6" t="s">
        <v>93</v>
      </c>
      <c r="P1" s="6" t="s">
        <v>94</v>
      </c>
      <c r="Q1" s="6" t="s">
        <v>95</v>
      </c>
      <c r="AA1" s="6" t="s">
        <v>96</v>
      </c>
      <c r="AB1" s="6" t="s">
        <v>97</v>
      </c>
      <c r="AC1" s="13" t="s">
        <v>98</v>
      </c>
      <c r="AD1" s="12" t="s">
        <v>99</v>
      </c>
      <c r="AK1" s="6" t="s">
        <v>96</v>
      </c>
      <c r="AL1" s="6" t="s">
        <v>97</v>
      </c>
      <c r="AM1" s="13" t="s">
        <v>100</v>
      </c>
      <c r="AN1" s="12" t="s">
        <v>99</v>
      </c>
      <c r="AP1" s="6" t="s">
        <v>96</v>
      </c>
      <c r="AQ1" s="6" t="s">
        <v>97</v>
      </c>
      <c r="AR1" s="13" t="s">
        <v>101</v>
      </c>
      <c r="AS1" s="12" t="s">
        <v>99</v>
      </c>
      <c r="AX1" s="15" t="s">
        <v>102</v>
      </c>
      <c r="AY1" s="20">
        <f ca="1">TODAY()</f>
        <v>45708</v>
      </c>
      <c r="BF1" s="28" t="s">
        <v>103</v>
      </c>
      <c r="BG1" s="28"/>
      <c r="BH1" s="28"/>
      <c r="BI1" s="28"/>
      <c r="BJ1" s="28"/>
      <c r="BU1" s="16" t="s">
        <v>104</v>
      </c>
      <c r="BV1" s="20">
        <v>45292</v>
      </c>
      <c r="BX1" s="27">
        <v>45317</v>
      </c>
      <c r="CA1" s="6" t="s">
        <v>96</v>
      </c>
      <c r="CB1" s="6" t="s">
        <v>105</v>
      </c>
      <c r="CC1" s="13" t="s">
        <v>106</v>
      </c>
      <c r="CD1" s="12" t="s">
        <v>107</v>
      </c>
    </row>
    <row r="2" spans="1:82" ht="15.6">
      <c r="A2" s="5" t="s">
        <v>55</v>
      </c>
      <c r="B2" s="11">
        <v>26778</v>
      </c>
      <c r="C2" s="5">
        <f>DAY(B2)</f>
        <v>24</v>
      </c>
      <c r="D2" s="5">
        <f>MONTH(B2)</f>
        <v>4</v>
      </c>
      <c r="E2" s="5">
        <f>YEAR(B2)</f>
        <v>1973</v>
      </c>
      <c r="M2" s="5" t="s">
        <v>55</v>
      </c>
      <c r="N2" s="11">
        <v>26778</v>
      </c>
      <c r="O2" s="19">
        <f>N2</f>
        <v>26778</v>
      </c>
      <c r="P2" s="5">
        <f>WEEKDAY(N2)</f>
        <v>3</v>
      </c>
      <c r="Q2" s="5">
        <f>WEEKNUM(N2)</f>
        <v>17</v>
      </c>
      <c r="AA2" s="5" t="s">
        <v>108</v>
      </c>
      <c r="AB2" s="11">
        <v>45717</v>
      </c>
      <c r="AC2" s="5">
        <v>10</v>
      </c>
      <c r="AD2" s="11">
        <f>AB2+AC2</f>
        <v>45727</v>
      </c>
      <c r="AK2" s="5" t="s">
        <v>108</v>
      </c>
      <c r="AL2" s="11">
        <v>45717</v>
      </c>
      <c r="AM2" s="14">
        <v>7</v>
      </c>
      <c r="AN2" s="11">
        <f>EDATE(AL2,AM2)</f>
        <v>45931</v>
      </c>
      <c r="AP2" s="5" t="s">
        <v>108</v>
      </c>
      <c r="AQ2" s="11">
        <v>45717</v>
      </c>
      <c r="AR2" s="14">
        <v>7</v>
      </c>
      <c r="AS2" s="11">
        <f>EDATE(AQ2,AR2*12)</f>
        <v>48274</v>
      </c>
      <c r="AT2" s="11">
        <f>EDATE(AQ2,-AR2*12)</f>
        <v>43160</v>
      </c>
      <c r="AX2" s="15" t="s">
        <v>109</v>
      </c>
      <c r="AY2" s="21">
        <f ca="1">NOW()</f>
        <v>45708.724463078703</v>
      </c>
      <c r="BF2" s="6" t="s">
        <v>89</v>
      </c>
      <c r="BG2" s="6" t="s">
        <v>90</v>
      </c>
      <c r="BH2" s="6" t="s">
        <v>110</v>
      </c>
      <c r="BI2" s="6" t="s">
        <v>111</v>
      </c>
      <c r="BJ2" s="6" t="s">
        <v>112</v>
      </c>
      <c r="BU2" s="16" t="s">
        <v>113</v>
      </c>
      <c r="BV2" s="20">
        <v>45657</v>
      </c>
      <c r="BX2" s="27">
        <v>45519</v>
      </c>
      <c r="CA2" s="5" t="s">
        <v>108</v>
      </c>
      <c r="CB2" s="17">
        <v>45717.354166666664</v>
      </c>
      <c r="CC2" s="20">
        <f>INT(CB2)</f>
        <v>45717</v>
      </c>
      <c r="CD2" s="18">
        <f>CB2-INT(CB2)</f>
        <v>0.35416666666424135</v>
      </c>
    </row>
    <row r="3" spans="1:82">
      <c r="A3" s="5" t="s">
        <v>47</v>
      </c>
      <c r="B3" s="11">
        <v>32452</v>
      </c>
      <c r="C3" s="5">
        <f t="shared" ref="C3:C21" si="0">DAY(B3)</f>
        <v>5</v>
      </c>
      <c r="D3" s="5">
        <f t="shared" ref="D3:D21" si="1">MONTH(B3)</f>
        <v>11</v>
      </c>
      <c r="E3" s="5">
        <f t="shared" ref="E3:E21" si="2">YEAR(B3)</f>
        <v>1988</v>
      </c>
      <c r="M3" s="5" t="s">
        <v>47</v>
      </c>
      <c r="N3" s="11">
        <v>32452</v>
      </c>
      <c r="O3" s="19">
        <f t="shared" ref="O3:O21" si="3">N3</f>
        <v>32452</v>
      </c>
      <c r="P3" s="5">
        <f t="shared" ref="P3:P21" si="4">WEEKDAY(N3)</f>
        <v>7</v>
      </c>
      <c r="Q3" s="5">
        <f t="shared" ref="Q3:Q21" si="5">WEEKNUM(N3)</f>
        <v>45</v>
      </c>
      <c r="AA3" s="5" t="s">
        <v>114</v>
      </c>
      <c r="AB3" s="11">
        <v>45719</v>
      </c>
      <c r="AC3" s="5">
        <v>20</v>
      </c>
      <c r="AD3" s="11">
        <f t="shared" ref="AD3:AD11" si="6">AB3+AC3</f>
        <v>45739</v>
      </c>
      <c r="AK3" s="5" t="s">
        <v>114</v>
      </c>
      <c r="AL3" s="11">
        <v>45719</v>
      </c>
      <c r="AM3" s="14">
        <v>4</v>
      </c>
      <c r="AN3" s="11">
        <f t="shared" ref="AN3:AN11" si="7">EDATE(AL3,AM3)</f>
        <v>45841</v>
      </c>
      <c r="AP3" s="5" t="s">
        <v>114</v>
      </c>
      <c r="AQ3" s="11">
        <v>45719</v>
      </c>
      <c r="AR3" s="14">
        <v>4</v>
      </c>
      <c r="AS3" s="11">
        <f t="shared" ref="AS3:AS11" si="8">EDATE(AQ3,AR3*12)</f>
        <v>47180</v>
      </c>
      <c r="AT3" s="11">
        <f t="shared" ref="AT3:AT11" si="9">EDATE(AQ3,-AR3*12)</f>
        <v>44258</v>
      </c>
      <c r="BF3" s="5" t="s">
        <v>55</v>
      </c>
      <c r="BG3" s="11">
        <v>26778</v>
      </c>
      <c r="BH3" s="22">
        <f ca="1">DATEDIF(BG3,TODAY(),"Y")</f>
        <v>51</v>
      </c>
      <c r="BI3" s="22">
        <f ca="1">DATEDIF(BG3,TODAY(),"YM")</f>
        <v>9</v>
      </c>
      <c r="BJ3" s="22">
        <f ca="1">DATEDIF(BG3,TODAY(), "MD")</f>
        <v>27</v>
      </c>
      <c r="BX3" s="27">
        <v>45657</v>
      </c>
      <c r="CA3" s="5" t="s">
        <v>114</v>
      </c>
      <c r="CB3" s="17">
        <v>45719.614583333336</v>
      </c>
      <c r="CC3" s="20">
        <f t="shared" ref="CC3:CC11" si="10">INT(CB3)</f>
        <v>45719</v>
      </c>
      <c r="CD3" s="18">
        <f t="shared" ref="CD3:CD11" si="11">CB3-INT(CB3)</f>
        <v>0.61458333333575865</v>
      </c>
    </row>
    <row r="4" spans="1:82">
      <c r="A4" s="5" t="s">
        <v>51</v>
      </c>
      <c r="B4" s="11">
        <v>24048</v>
      </c>
      <c r="C4" s="5">
        <f t="shared" si="0"/>
        <v>2</v>
      </c>
      <c r="D4" s="5">
        <f t="shared" si="1"/>
        <v>11</v>
      </c>
      <c r="E4" s="5">
        <f t="shared" si="2"/>
        <v>1965</v>
      </c>
      <c r="M4" s="5" t="s">
        <v>51</v>
      </c>
      <c r="N4" s="11">
        <v>24048</v>
      </c>
      <c r="O4" s="19">
        <f t="shared" si="3"/>
        <v>24048</v>
      </c>
      <c r="P4" s="5">
        <f t="shared" si="4"/>
        <v>3</v>
      </c>
      <c r="Q4" s="5">
        <f t="shared" si="5"/>
        <v>45</v>
      </c>
      <c r="AA4" s="5" t="s">
        <v>115</v>
      </c>
      <c r="AB4" s="11">
        <v>45721</v>
      </c>
      <c r="AC4" s="5">
        <v>15</v>
      </c>
      <c r="AD4" s="11">
        <f t="shared" si="6"/>
        <v>45736</v>
      </c>
      <c r="AK4" s="5" t="s">
        <v>115</v>
      </c>
      <c r="AL4" s="11">
        <v>45721</v>
      </c>
      <c r="AM4" s="14">
        <v>2</v>
      </c>
      <c r="AN4" s="11">
        <f t="shared" si="7"/>
        <v>45782</v>
      </c>
      <c r="AP4" s="5" t="s">
        <v>115</v>
      </c>
      <c r="AQ4" s="11">
        <v>45721</v>
      </c>
      <c r="AR4" s="14">
        <v>2</v>
      </c>
      <c r="AS4" s="11">
        <f t="shared" si="8"/>
        <v>46451</v>
      </c>
      <c r="AT4" s="11">
        <f t="shared" si="9"/>
        <v>44990</v>
      </c>
      <c r="BF4" s="5" t="s">
        <v>47</v>
      </c>
      <c r="BG4" s="11">
        <v>32452</v>
      </c>
      <c r="BH4" s="22">
        <f t="shared" ref="BH4:BH23" ca="1" si="12">DATEDIF(BG4,TODAY(),"Y")</f>
        <v>36</v>
      </c>
      <c r="BI4" s="22">
        <f t="shared" ref="BI4:BI23" ca="1" si="13">DATEDIF(BG4,TODAY(),"YM")</f>
        <v>3</v>
      </c>
      <c r="BJ4" s="22">
        <f t="shared" ref="BJ4:BJ23" ca="1" si="14">DATEDIF(BG4,TODAY(), "MD")</f>
        <v>15</v>
      </c>
      <c r="BX4" s="27">
        <v>36249</v>
      </c>
      <c r="CA4" s="5" t="s">
        <v>115</v>
      </c>
      <c r="CB4" s="17">
        <v>45721.385416666664</v>
      </c>
      <c r="CC4" s="20">
        <f t="shared" si="10"/>
        <v>45721</v>
      </c>
      <c r="CD4" s="18">
        <f t="shared" si="11"/>
        <v>0.38541666666424135</v>
      </c>
    </row>
    <row r="5" spans="1:82" ht="15.6">
      <c r="A5" s="5" t="s">
        <v>116</v>
      </c>
      <c r="B5" s="11">
        <v>30150</v>
      </c>
      <c r="C5" s="5">
        <f t="shared" si="0"/>
        <v>18</v>
      </c>
      <c r="D5" s="5">
        <f t="shared" si="1"/>
        <v>7</v>
      </c>
      <c r="E5" s="5">
        <f t="shared" si="2"/>
        <v>1982</v>
      </c>
      <c r="M5" s="5" t="s">
        <v>116</v>
      </c>
      <c r="N5" s="11">
        <v>30150</v>
      </c>
      <c r="O5" s="19">
        <f t="shared" si="3"/>
        <v>30150</v>
      </c>
      <c r="P5" s="5">
        <f t="shared" si="4"/>
        <v>1</v>
      </c>
      <c r="Q5" s="5">
        <f t="shared" si="5"/>
        <v>30</v>
      </c>
      <c r="AA5" s="5" t="s">
        <v>117</v>
      </c>
      <c r="AB5" s="11">
        <v>45723</v>
      </c>
      <c r="AC5" s="5">
        <v>25</v>
      </c>
      <c r="AD5" s="11">
        <f t="shared" si="6"/>
        <v>45748</v>
      </c>
      <c r="AK5" s="5" t="s">
        <v>117</v>
      </c>
      <c r="AL5" s="11">
        <v>45723</v>
      </c>
      <c r="AM5" s="14">
        <v>10</v>
      </c>
      <c r="AN5" s="11">
        <f t="shared" si="7"/>
        <v>46029</v>
      </c>
      <c r="AP5" s="5" t="s">
        <v>117</v>
      </c>
      <c r="AQ5" s="11">
        <v>45723</v>
      </c>
      <c r="AR5" s="14">
        <v>10</v>
      </c>
      <c r="AS5" s="11">
        <f t="shared" si="8"/>
        <v>49375</v>
      </c>
      <c r="AT5" s="11">
        <f t="shared" si="9"/>
        <v>42070</v>
      </c>
      <c r="BF5" s="5" t="s">
        <v>51</v>
      </c>
      <c r="BG5" s="11">
        <v>24048</v>
      </c>
      <c r="BH5" s="22">
        <f t="shared" ca="1" si="12"/>
        <v>59</v>
      </c>
      <c r="BI5" s="22">
        <f t="shared" ca="1" si="13"/>
        <v>3</v>
      </c>
      <c r="BJ5" s="22">
        <f t="shared" ca="1" si="14"/>
        <v>18</v>
      </c>
      <c r="BU5" s="16" t="s">
        <v>118</v>
      </c>
      <c r="BV5" s="5">
        <f>BV2-BV1</f>
        <v>365</v>
      </c>
      <c r="CA5" s="5" t="s">
        <v>117</v>
      </c>
      <c r="CB5" s="17">
        <v>45723.666666666664</v>
      </c>
      <c r="CC5" s="20">
        <f t="shared" si="10"/>
        <v>45723</v>
      </c>
      <c r="CD5" s="18">
        <f t="shared" si="11"/>
        <v>0.66666666666424135</v>
      </c>
    </row>
    <row r="6" spans="1:82" ht="15.6">
      <c r="A6" s="5" t="s">
        <v>119</v>
      </c>
      <c r="B6" s="11">
        <v>31417</v>
      </c>
      <c r="C6" s="5">
        <f t="shared" si="0"/>
        <v>5</v>
      </c>
      <c r="D6" s="5">
        <f t="shared" si="1"/>
        <v>1</v>
      </c>
      <c r="E6" s="5">
        <f t="shared" si="2"/>
        <v>1986</v>
      </c>
      <c r="M6" s="5" t="s">
        <v>119</v>
      </c>
      <c r="N6" s="11">
        <v>31417</v>
      </c>
      <c r="O6" s="19">
        <f t="shared" si="3"/>
        <v>31417</v>
      </c>
      <c r="P6" s="5">
        <f t="shared" si="4"/>
        <v>1</v>
      </c>
      <c r="Q6" s="5">
        <f t="shared" si="5"/>
        <v>2</v>
      </c>
      <c r="AA6" s="5" t="s">
        <v>120</v>
      </c>
      <c r="AB6" s="11">
        <v>45726</v>
      </c>
      <c r="AC6" s="5">
        <v>30</v>
      </c>
      <c r="AD6" s="11">
        <f t="shared" si="6"/>
        <v>45756</v>
      </c>
      <c r="AK6" s="5" t="s">
        <v>120</v>
      </c>
      <c r="AL6" s="11">
        <v>45726</v>
      </c>
      <c r="AM6" s="14">
        <v>9</v>
      </c>
      <c r="AN6" s="11">
        <f t="shared" si="7"/>
        <v>46001</v>
      </c>
      <c r="AP6" s="5" t="s">
        <v>120</v>
      </c>
      <c r="AQ6" s="11">
        <v>45726</v>
      </c>
      <c r="AR6" s="14">
        <v>9</v>
      </c>
      <c r="AS6" s="11">
        <f t="shared" si="8"/>
        <v>49013</v>
      </c>
      <c r="AT6" s="11">
        <f t="shared" si="9"/>
        <v>42439</v>
      </c>
      <c r="BF6" s="5" t="s">
        <v>116</v>
      </c>
      <c r="BG6" s="11">
        <v>30150</v>
      </c>
      <c r="BH6" s="22">
        <f t="shared" ca="1" si="12"/>
        <v>42</v>
      </c>
      <c r="BI6" s="22">
        <f t="shared" ca="1" si="13"/>
        <v>7</v>
      </c>
      <c r="BJ6" s="22">
        <f t="shared" ca="1" si="14"/>
        <v>2</v>
      </c>
      <c r="BU6" s="16" t="s">
        <v>121</v>
      </c>
      <c r="BV6" s="5">
        <f>NETWORKDAYS(BV1,BV2)</f>
        <v>262</v>
      </c>
      <c r="CA6" s="5" t="s">
        <v>120</v>
      </c>
      <c r="CB6" s="17">
        <v>45726.458333333336</v>
      </c>
      <c r="CC6" s="20">
        <f t="shared" si="10"/>
        <v>45726</v>
      </c>
      <c r="CD6" s="18">
        <f t="shared" si="11"/>
        <v>0.45833333333575865</v>
      </c>
    </row>
    <row r="7" spans="1:82" ht="15.6">
      <c r="A7" s="5" t="s">
        <v>63</v>
      </c>
      <c r="B7" s="11">
        <v>29774</v>
      </c>
      <c r="C7" s="5">
        <f t="shared" si="0"/>
        <v>7</v>
      </c>
      <c r="D7" s="5">
        <f t="shared" si="1"/>
        <v>7</v>
      </c>
      <c r="E7" s="5">
        <f t="shared" si="2"/>
        <v>1981</v>
      </c>
      <c r="M7" s="5" t="s">
        <v>63</v>
      </c>
      <c r="N7" s="11">
        <v>29774</v>
      </c>
      <c r="O7" s="19">
        <f t="shared" si="3"/>
        <v>29774</v>
      </c>
      <c r="P7" s="5">
        <f t="shared" si="4"/>
        <v>3</v>
      </c>
      <c r="Q7" s="5">
        <f t="shared" si="5"/>
        <v>28</v>
      </c>
      <c r="AA7" s="5" t="s">
        <v>122</v>
      </c>
      <c r="AB7" s="11">
        <v>45728</v>
      </c>
      <c r="AC7" s="5">
        <v>45</v>
      </c>
      <c r="AD7" s="11">
        <f t="shared" si="6"/>
        <v>45773</v>
      </c>
      <c r="AK7" s="5" t="s">
        <v>122</v>
      </c>
      <c r="AL7" s="11">
        <v>45728</v>
      </c>
      <c r="AM7" s="14">
        <v>2</v>
      </c>
      <c r="AN7" s="11">
        <f t="shared" si="7"/>
        <v>45789</v>
      </c>
      <c r="AP7" s="5" t="s">
        <v>122</v>
      </c>
      <c r="AQ7" s="11">
        <v>45728</v>
      </c>
      <c r="AR7" s="14">
        <v>2</v>
      </c>
      <c r="AS7" s="11">
        <f t="shared" si="8"/>
        <v>46458</v>
      </c>
      <c r="AT7" s="11">
        <f t="shared" si="9"/>
        <v>44997</v>
      </c>
      <c r="BF7" s="5" t="s">
        <v>119</v>
      </c>
      <c r="BG7" s="11">
        <v>31417</v>
      </c>
      <c r="BH7" s="22">
        <f t="shared" ca="1" si="12"/>
        <v>39</v>
      </c>
      <c r="BI7" s="22">
        <f t="shared" ca="1" si="13"/>
        <v>1</v>
      </c>
      <c r="BJ7" s="22">
        <f t="shared" ca="1" si="14"/>
        <v>15</v>
      </c>
      <c r="BU7" s="26" t="s">
        <v>123</v>
      </c>
      <c r="BV7">
        <f>NETWORKDAYS.INTL(BV1,BV2,3)</f>
        <v>260</v>
      </c>
      <c r="CA7" s="5" t="s">
        <v>122</v>
      </c>
      <c r="CB7" s="17">
        <v>45728.5625</v>
      </c>
      <c r="CC7" s="20">
        <f t="shared" si="10"/>
        <v>45728</v>
      </c>
      <c r="CD7" s="18">
        <f t="shared" si="11"/>
        <v>0.5625</v>
      </c>
    </row>
    <row r="8" spans="1:82">
      <c r="A8" s="5" t="s">
        <v>59</v>
      </c>
      <c r="B8" s="11">
        <v>15625</v>
      </c>
      <c r="C8" s="5">
        <f t="shared" si="0"/>
        <v>11</v>
      </c>
      <c r="D8" s="5">
        <f t="shared" si="1"/>
        <v>10</v>
      </c>
      <c r="E8" s="5">
        <f t="shared" si="2"/>
        <v>1942</v>
      </c>
      <c r="M8" s="5" t="s">
        <v>59</v>
      </c>
      <c r="N8" s="11">
        <v>15625</v>
      </c>
      <c r="O8" s="19">
        <f t="shared" si="3"/>
        <v>15625</v>
      </c>
      <c r="P8" s="5">
        <f t="shared" si="4"/>
        <v>1</v>
      </c>
      <c r="Q8" s="5">
        <f t="shared" si="5"/>
        <v>42</v>
      </c>
      <c r="AA8" s="5" t="s">
        <v>124</v>
      </c>
      <c r="AB8" s="11">
        <v>45731</v>
      </c>
      <c r="AC8" s="5">
        <v>5</v>
      </c>
      <c r="AD8" s="11">
        <f t="shared" si="6"/>
        <v>45736</v>
      </c>
      <c r="AK8" s="5" t="s">
        <v>124</v>
      </c>
      <c r="AL8" s="11">
        <v>45731</v>
      </c>
      <c r="AM8" s="14">
        <v>1</v>
      </c>
      <c r="AN8" s="11">
        <f t="shared" si="7"/>
        <v>45762</v>
      </c>
      <c r="AP8" s="5" t="s">
        <v>124</v>
      </c>
      <c r="AQ8" s="11">
        <v>45731</v>
      </c>
      <c r="AR8" s="14">
        <v>1</v>
      </c>
      <c r="AS8" s="11">
        <f t="shared" si="8"/>
        <v>46096</v>
      </c>
      <c r="AT8" s="11">
        <f t="shared" si="9"/>
        <v>45366</v>
      </c>
      <c r="BF8" s="5" t="s">
        <v>63</v>
      </c>
      <c r="BG8" s="11">
        <v>29774</v>
      </c>
      <c r="BH8" s="22">
        <f t="shared" ca="1" si="12"/>
        <v>43</v>
      </c>
      <c r="BI8" s="22">
        <f t="shared" ca="1" si="13"/>
        <v>7</v>
      </c>
      <c r="BJ8" s="22">
        <f t="shared" ca="1" si="14"/>
        <v>13</v>
      </c>
      <c r="CA8" s="5" t="s">
        <v>124</v>
      </c>
      <c r="CB8" s="17">
        <v>45731.291666666664</v>
      </c>
      <c r="CC8" s="20">
        <f t="shared" si="10"/>
        <v>45731</v>
      </c>
      <c r="CD8" s="18">
        <f t="shared" si="11"/>
        <v>0.29166666666424135</v>
      </c>
    </row>
    <row r="9" spans="1:82">
      <c r="A9" s="5" t="s">
        <v>125</v>
      </c>
      <c r="B9" s="11">
        <v>32949</v>
      </c>
      <c r="C9" s="5">
        <f t="shared" si="0"/>
        <v>17</v>
      </c>
      <c r="D9" s="5">
        <f t="shared" si="1"/>
        <v>3</v>
      </c>
      <c r="E9" s="5">
        <f t="shared" si="2"/>
        <v>1990</v>
      </c>
      <c r="M9" s="5" t="s">
        <v>125</v>
      </c>
      <c r="N9" s="11">
        <v>32949</v>
      </c>
      <c r="O9" s="19">
        <f t="shared" si="3"/>
        <v>32949</v>
      </c>
      <c r="P9" s="5">
        <f t="shared" si="4"/>
        <v>7</v>
      </c>
      <c r="Q9" s="5">
        <f t="shared" si="5"/>
        <v>11</v>
      </c>
      <c r="AA9" s="5" t="s">
        <v>126</v>
      </c>
      <c r="AB9" s="11">
        <v>45734</v>
      </c>
      <c r="AC9" s="5">
        <v>60</v>
      </c>
      <c r="AD9" s="11">
        <f t="shared" si="6"/>
        <v>45794</v>
      </c>
      <c r="AK9" s="5" t="s">
        <v>126</v>
      </c>
      <c r="AL9" s="11">
        <v>45734</v>
      </c>
      <c r="AM9" s="14">
        <v>6</v>
      </c>
      <c r="AN9" s="11">
        <f t="shared" si="7"/>
        <v>45918</v>
      </c>
      <c r="AP9" s="5" t="s">
        <v>126</v>
      </c>
      <c r="AQ9" s="11">
        <v>45734</v>
      </c>
      <c r="AR9" s="14">
        <v>6</v>
      </c>
      <c r="AS9" s="11">
        <f t="shared" si="8"/>
        <v>47925</v>
      </c>
      <c r="AT9" s="11">
        <f t="shared" si="9"/>
        <v>43542</v>
      </c>
      <c r="BF9" s="5" t="s">
        <v>59</v>
      </c>
      <c r="BG9" s="11">
        <v>15625</v>
      </c>
      <c r="BH9" s="22">
        <f t="shared" ca="1" si="12"/>
        <v>82</v>
      </c>
      <c r="BI9" s="22">
        <f t="shared" ca="1" si="13"/>
        <v>4</v>
      </c>
      <c r="BJ9" s="22">
        <f t="shared" ca="1" si="14"/>
        <v>9</v>
      </c>
      <c r="BV9">
        <f>NETWORKDAYS(BV1,BV2,BX1:BX4)</f>
        <v>259</v>
      </c>
      <c r="CA9" s="5" t="s">
        <v>126</v>
      </c>
      <c r="CB9" s="17">
        <v>45734.760416666664</v>
      </c>
      <c r="CC9" s="20">
        <f t="shared" si="10"/>
        <v>45734</v>
      </c>
      <c r="CD9" s="18">
        <f t="shared" si="11"/>
        <v>0.76041666666424135</v>
      </c>
    </row>
    <row r="10" spans="1:82">
      <c r="A10" s="5" t="s">
        <v>127</v>
      </c>
      <c r="B10" s="11">
        <v>31897</v>
      </c>
      <c r="C10" s="5">
        <f t="shared" si="0"/>
        <v>30</v>
      </c>
      <c r="D10" s="5">
        <f t="shared" si="1"/>
        <v>4</v>
      </c>
      <c r="E10" s="5">
        <f t="shared" si="2"/>
        <v>1987</v>
      </c>
      <c r="M10" s="5" t="s">
        <v>127</v>
      </c>
      <c r="N10" s="11">
        <v>31897</v>
      </c>
      <c r="O10" s="19">
        <f t="shared" si="3"/>
        <v>31897</v>
      </c>
      <c r="P10" s="5">
        <f t="shared" si="4"/>
        <v>5</v>
      </c>
      <c r="Q10" s="5">
        <f t="shared" si="5"/>
        <v>18</v>
      </c>
      <c r="AA10" s="5" t="s">
        <v>128</v>
      </c>
      <c r="AB10" s="11">
        <v>45736</v>
      </c>
      <c r="AC10" s="5">
        <v>40</v>
      </c>
      <c r="AD10" s="11">
        <f t="shared" si="6"/>
        <v>45776</v>
      </c>
      <c r="AK10" s="5" t="s">
        <v>128</v>
      </c>
      <c r="AL10" s="11">
        <v>45736</v>
      </c>
      <c r="AM10" s="14">
        <v>7</v>
      </c>
      <c r="AN10" s="11">
        <f t="shared" si="7"/>
        <v>45950</v>
      </c>
      <c r="AP10" s="5" t="s">
        <v>128</v>
      </c>
      <c r="AQ10" s="11">
        <v>45736</v>
      </c>
      <c r="AR10" s="14">
        <v>7</v>
      </c>
      <c r="AS10" s="11">
        <f t="shared" si="8"/>
        <v>48293</v>
      </c>
      <c r="AT10" s="11">
        <f t="shared" si="9"/>
        <v>43179</v>
      </c>
      <c r="BF10" s="5" t="s">
        <v>125</v>
      </c>
      <c r="BG10" s="11">
        <v>32949</v>
      </c>
      <c r="BH10" s="22">
        <f t="shared" ca="1" si="12"/>
        <v>34</v>
      </c>
      <c r="BI10" s="22">
        <f t="shared" ca="1" si="13"/>
        <v>11</v>
      </c>
      <c r="BJ10" s="22">
        <f t="shared" ca="1" si="14"/>
        <v>3</v>
      </c>
      <c r="CA10" s="5" t="s">
        <v>128</v>
      </c>
      <c r="CB10" s="17">
        <v>45736.447916666664</v>
      </c>
      <c r="CC10" s="20">
        <f t="shared" si="10"/>
        <v>45736</v>
      </c>
      <c r="CD10" s="18">
        <f t="shared" si="11"/>
        <v>0.44791666666424135</v>
      </c>
    </row>
    <row r="11" spans="1:82">
      <c r="A11" s="5" t="s">
        <v>129</v>
      </c>
      <c r="B11" s="11">
        <v>26969</v>
      </c>
      <c r="C11" s="5">
        <f t="shared" si="0"/>
        <v>1</v>
      </c>
      <c r="D11" s="5">
        <f t="shared" si="1"/>
        <v>11</v>
      </c>
      <c r="E11" s="5">
        <f t="shared" si="2"/>
        <v>1973</v>
      </c>
      <c r="M11" s="5" t="s">
        <v>129</v>
      </c>
      <c r="N11" s="11">
        <v>26969</v>
      </c>
      <c r="O11" s="19">
        <f t="shared" si="3"/>
        <v>26969</v>
      </c>
      <c r="P11" s="5">
        <f t="shared" si="4"/>
        <v>5</v>
      </c>
      <c r="Q11" s="5">
        <f t="shared" si="5"/>
        <v>44</v>
      </c>
      <c r="AA11" s="5" t="s">
        <v>130</v>
      </c>
      <c r="AB11" s="11">
        <v>45741</v>
      </c>
      <c r="AC11" s="5">
        <v>35</v>
      </c>
      <c r="AD11" s="11">
        <f t="shared" si="6"/>
        <v>45776</v>
      </c>
      <c r="AK11" s="5" t="s">
        <v>130</v>
      </c>
      <c r="AL11" s="11">
        <v>45741</v>
      </c>
      <c r="AM11" s="14">
        <v>6</v>
      </c>
      <c r="AN11" s="11">
        <f t="shared" si="7"/>
        <v>45925</v>
      </c>
      <c r="AP11" s="5" t="s">
        <v>130</v>
      </c>
      <c r="AQ11" s="11">
        <v>45741</v>
      </c>
      <c r="AR11" s="14">
        <v>6</v>
      </c>
      <c r="AS11" s="11">
        <f t="shared" si="8"/>
        <v>47932</v>
      </c>
      <c r="AT11" s="11">
        <f t="shared" si="9"/>
        <v>43549</v>
      </c>
      <c r="BF11" s="5" t="s">
        <v>127</v>
      </c>
      <c r="BG11" s="11">
        <v>31897</v>
      </c>
      <c r="BH11" s="22">
        <f t="shared" ca="1" si="12"/>
        <v>37</v>
      </c>
      <c r="BI11" s="22">
        <f t="shared" ca="1" si="13"/>
        <v>9</v>
      </c>
      <c r="BJ11" s="22">
        <f t="shared" ca="1" si="14"/>
        <v>21</v>
      </c>
      <c r="CA11" s="5" t="s">
        <v>130</v>
      </c>
      <c r="CB11" s="17">
        <v>45741.645833333336</v>
      </c>
      <c r="CC11" s="20">
        <f t="shared" si="10"/>
        <v>45741</v>
      </c>
      <c r="CD11" s="18">
        <f t="shared" si="11"/>
        <v>0.64583333333575865</v>
      </c>
    </row>
    <row r="12" spans="1:82">
      <c r="A12" s="5" t="s">
        <v>131</v>
      </c>
      <c r="B12" s="11">
        <v>31952</v>
      </c>
      <c r="C12" s="5">
        <f t="shared" si="0"/>
        <v>24</v>
      </c>
      <c r="D12" s="5">
        <f t="shared" si="1"/>
        <v>6</v>
      </c>
      <c r="E12" s="5">
        <f t="shared" si="2"/>
        <v>1987</v>
      </c>
      <c r="M12" s="5" t="s">
        <v>131</v>
      </c>
      <c r="N12" s="11">
        <v>31952</v>
      </c>
      <c r="O12" s="19">
        <f t="shared" si="3"/>
        <v>31952</v>
      </c>
      <c r="P12" s="5">
        <f t="shared" si="4"/>
        <v>4</v>
      </c>
      <c r="Q12" s="5">
        <f t="shared" si="5"/>
        <v>26</v>
      </c>
      <c r="BF12" s="5" t="s">
        <v>129</v>
      </c>
      <c r="BG12" s="11">
        <v>26969</v>
      </c>
      <c r="BH12" s="22">
        <f t="shared" ca="1" si="12"/>
        <v>51</v>
      </c>
      <c r="BI12" s="22">
        <f t="shared" ca="1" si="13"/>
        <v>3</v>
      </c>
      <c r="BJ12" s="22">
        <f t="shared" ca="1" si="14"/>
        <v>19</v>
      </c>
    </row>
    <row r="13" spans="1:82">
      <c r="A13" s="5" t="s">
        <v>132</v>
      </c>
      <c r="B13" s="11">
        <v>31083</v>
      </c>
      <c r="C13" s="5">
        <f t="shared" si="0"/>
        <v>5</v>
      </c>
      <c r="D13" s="5">
        <f t="shared" si="1"/>
        <v>2</v>
      </c>
      <c r="E13" s="5">
        <f t="shared" si="2"/>
        <v>1985</v>
      </c>
      <c r="M13" s="5" t="s">
        <v>132</v>
      </c>
      <c r="N13" s="11">
        <v>31083</v>
      </c>
      <c r="O13" s="19">
        <f t="shared" si="3"/>
        <v>31083</v>
      </c>
      <c r="P13" s="5">
        <f t="shared" si="4"/>
        <v>3</v>
      </c>
      <c r="Q13" s="5">
        <f t="shared" si="5"/>
        <v>6</v>
      </c>
      <c r="BF13" s="5" t="s">
        <v>131</v>
      </c>
      <c r="BG13" s="11">
        <v>31952</v>
      </c>
      <c r="BH13" s="22">
        <f t="shared" ca="1" si="12"/>
        <v>37</v>
      </c>
      <c r="BI13" s="22">
        <f t="shared" ca="1" si="13"/>
        <v>7</v>
      </c>
      <c r="BJ13" s="22">
        <f t="shared" ca="1" si="14"/>
        <v>27</v>
      </c>
    </row>
    <row r="14" spans="1:82">
      <c r="A14" s="5" t="s">
        <v>133</v>
      </c>
      <c r="B14" s="11">
        <v>29855</v>
      </c>
      <c r="C14" s="5">
        <f t="shared" si="0"/>
        <v>26</v>
      </c>
      <c r="D14" s="5">
        <f t="shared" si="1"/>
        <v>9</v>
      </c>
      <c r="E14" s="5">
        <f t="shared" si="2"/>
        <v>1981</v>
      </c>
      <c r="M14" s="5" t="s">
        <v>133</v>
      </c>
      <c r="N14" s="11">
        <v>29855</v>
      </c>
      <c r="O14" s="19">
        <f t="shared" si="3"/>
        <v>29855</v>
      </c>
      <c r="P14" s="5">
        <f t="shared" si="4"/>
        <v>7</v>
      </c>
      <c r="Q14" s="5">
        <f t="shared" si="5"/>
        <v>39</v>
      </c>
      <c r="BF14" s="5" t="s">
        <v>132</v>
      </c>
      <c r="BG14" s="11">
        <v>31083</v>
      </c>
      <c r="BH14" s="22">
        <f t="shared" ca="1" si="12"/>
        <v>40</v>
      </c>
      <c r="BI14" s="22">
        <f t="shared" ca="1" si="13"/>
        <v>0</v>
      </c>
      <c r="BJ14" s="22">
        <f t="shared" ca="1" si="14"/>
        <v>15</v>
      </c>
    </row>
    <row r="15" spans="1:82">
      <c r="A15" s="5" t="s">
        <v>134</v>
      </c>
      <c r="B15" s="11">
        <v>29806</v>
      </c>
      <c r="C15" s="5">
        <f t="shared" si="0"/>
        <v>8</v>
      </c>
      <c r="D15" s="5">
        <f t="shared" si="1"/>
        <v>8</v>
      </c>
      <c r="E15" s="5">
        <f t="shared" si="2"/>
        <v>1981</v>
      </c>
      <c r="M15" s="5" t="s">
        <v>134</v>
      </c>
      <c r="N15" s="11">
        <v>29806</v>
      </c>
      <c r="O15" s="19">
        <f t="shared" si="3"/>
        <v>29806</v>
      </c>
      <c r="P15" s="5">
        <f t="shared" si="4"/>
        <v>7</v>
      </c>
      <c r="Q15" s="5">
        <f t="shared" si="5"/>
        <v>32</v>
      </c>
      <c r="BF15" s="5" t="s">
        <v>133</v>
      </c>
      <c r="BG15" s="11">
        <v>29855</v>
      </c>
      <c r="BH15" s="22">
        <f t="shared" ca="1" si="12"/>
        <v>43</v>
      </c>
      <c r="BI15" s="22">
        <f t="shared" ca="1" si="13"/>
        <v>4</v>
      </c>
      <c r="BJ15" s="22">
        <f t="shared" ca="1" si="14"/>
        <v>25</v>
      </c>
    </row>
    <row r="16" spans="1:82">
      <c r="A16" s="5" t="s">
        <v>135</v>
      </c>
      <c r="B16" s="11">
        <v>22830</v>
      </c>
      <c r="C16" s="5">
        <f t="shared" si="0"/>
        <v>3</v>
      </c>
      <c r="D16" s="5">
        <f t="shared" si="1"/>
        <v>7</v>
      </c>
      <c r="E16" s="5">
        <f t="shared" si="2"/>
        <v>1962</v>
      </c>
      <c r="M16" s="5" t="s">
        <v>135</v>
      </c>
      <c r="N16" s="11">
        <v>22830</v>
      </c>
      <c r="O16" s="19">
        <f t="shared" si="3"/>
        <v>22830</v>
      </c>
      <c r="P16" s="5">
        <f t="shared" si="4"/>
        <v>3</v>
      </c>
      <c r="Q16" s="5">
        <f t="shared" si="5"/>
        <v>27</v>
      </c>
      <c r="BF16" s="5" t="s">
        <v>134</v>
      </c>
      <c r="BG16" s="11">
        <v>29806</v>
      </c>
      <c r="BH16" s="22">
        <f t="shared" ca="1" si="12"/>
        <v>43</v>
      </c>
      <c r="BI16" s="22">
        <f t="shared" ca="1" si="13"/>
        <v>6</v>
      </c>
      <c r="BJ16" s="22">
        <f t="shared" ca="1" si="14"/>
        <v>12</v>
      </c>
    </row>
    <row r="17" spans="1:62">
      <c r="A17" s="5" t="s">
        <v>136</v>
      </c>
      <c r="B17" s="11">
        <v>27344</v>
      </c>
      <c r="C17" s="5">
        <f t="shared" si="0"/>
        <v>11</v>
      </c>
      <c r="D17" s="5">
        <f t="shared" si="1"/>
        <v>11</v>
      </c>
      <c r="E17" s="5">
        <f t="shared" si="2"/>
        <v>1974</v>
      </c>
      <c r="M17" s="5" t="s">
        <v>136</v>
      </c>
      <c r="N17" s="11">
        <v>27344</v>
      </c>
      <c r="O17" s="19">
        <f t="shared" si="3"/>
        <v>27344</v>
      </c>
      <c r="P17" s="5">
        <f t="shared" si="4"/>
        <v>2</v>
      </c>
      <c r="Q17" s="5">
        <f t="shared" si="5"/>
        <v>46</v>
      </c>
      <c r="BF17" s="5" t="s">
        <v>135</v>
      </c>
      <c r="BG17" s="11">
        <v>22830</v>
      </c>
      <c r="BH17" s="22">
        <f t="shared" ca="1" si="12"/>
        <v>62</v>
      </c>
      <c r="BI17" s="22">
        <f t="shared" ca="1" si="13"/>
        <v>7</v>
      </c>
      <c r="BJ17" s="22">
        <f t="shared" ca="1" si="14"/>
        <v>17</v>
      </c>
    </row>
    <row r="18" spans="1:62">
      <c r="A18" s="5" t="s">
        <v>137</v>
      </c>
      <c r="B18" s="11">
        <v>31645</v>
      </c>
      <c r="C18" s="5">
        <f t="shared" si="0"/>
        <v>21</v>
      </c>
      <c r="D18" s="5">
        <f t="shared" si="1"/>
        <v>8</v>
      </c>
      <c r="E18" s="5">
        <f t="shared" si="2"/>
        <v>1986</v>
      </c>
      <c r="M18" s="5" t="s">
        <v>137</v>
      </c>
      <c r="N18" s="11">
        <v>31645</v>
      </c>
      <c r="O18" s="19">
        <f t="shared" si="3"/>
        <v>31645</v>
      </c>
      <c r="P18" s="5">
        <f t="shared" si="4"/>
        <v>5</v>
      </c>
      <c r="Q18" s="5">
        <f t="shared" si="5"/>
        <v>34</v>
      </c>
      <c r="BF18" s="5" t="s">
        <v>136</v>
      </c>
      <c r="BG18" s="11">
        <v>27344</v>
      </c>
      <c r="BH18" s="22">
        <f t="shared" ca="1" si="12"/>
        <v>50</v>
      </c>
      <c r="BI18" s="22">
        <f t="shared" ca="1" si="13"/>
        <v>3</v>
      </c>
      <c r="BJ18" s="22">
        <f t="shared" ca="1" si="14"/>
        <v>9</v>
      </c>
    </row>
    <row r="19" spans="1:62">
      <c r="A19" s="5" t="s">
        <v>138</v>
      </c>
      <c r="B19" s="11">
        <v>23059</v>
      </c>
      <c r="C19" s="5">
        <f t="shared" si="0"/>
        <v>17</v>
      </c>
      <c r="D19" s="5">
        <f t="shared" si="1"/>
        <v>2</v>
      </c>
      <c r="E19" s="5">
        <f t="shared" si="2"/>
        <v>1963</v>
      </c>
      <c r="M19" s="5" t="s">
        <v>138</v>
      </c>
      <c r="N19" s="11">
        <v>23059</v>
      </c>
      <c r="O19" s="19">
        <f t="shared" si="3"/>
        <v>23059</v>
      </c>
      <c r="P19" s="5">
        <f t="shared" si="4"/>
        <v>1</v>
      </c>
      <c r="Q19" s="5">
        <f t="shared" si="5"/>
        <v>8</v>
      </c>
      <c r="BF19" s="5" t="s">
        <v>137</v>
      </c>
      <c r="BG19" s="11">
        <v>31645</v>
      </c>
      <c r="BH19" s="22">
        <f t="shared" ca="1" si="12"/>
        <v>38</v>
      </c>
      <c r="BI19" s="22">
        <f t="shared" ca="1" si="13"/>
        <v>5</v>
      </c>
      <c r="BJ19" s="22">
        <f t="shared" ca="1" si="14"/>
        <v>30</v>
      </c>
    </row>
    <row r="20" spans="1:62">
      <c r="A20" s="5" t="s">
        <v>139</v>
      </c>
      <c r="B20" s="11">
        <v>31919</v>
      </c>
      <c r="C20" s="5">
        <f t="shared" si="0"/>
        <v>22</v>
      </c>
      <c r="D20" s="5">
        <f t="shared" si="1"/>
        <v>5</v>
      </c>
      <c r="E20" s="5">
        <f t="shared" si="2"/>
        <v>1987</v>
      </c>
      <c r="M20" s="5" t="s">
        <v>139</v>
      </c>
      <c r="N20" s="11">
        <v>31919</v>
      </c>
      <c r="O20" s="19">
        <f t="shared" si="3"/>
        <v>31919</v>
      </c>
      <c r="P20" s="5">
        <f t="shared" si="4"/>
        <v>6</v>
      </c>
      <c r="Q20" s="5">
        <f t="shared" si="5"/>
        <v>21</v>
      </c>
      <c r="BF20" s="5" t="s">
        <v>138</v>
      </c>
      <c r="BG20" s="11">
        <v>23059</v>
      </c>
      <c r="BH20" s="22">
        <f t="shared" ca="1" si="12"/>
        <v>62</v>
      </c>
      <c r="BI20" s="22">
        <f t="shared" ca="1" si="13"/>
        <v>0</v>
      </c>
      <c r="BJ20" s="22">
        <f t="shared" ca="1" si="14"/>
        <v>3</v>
      </c>
    </row>
    <row r="21" spans="1:62">
      <c r="A21" s="5" t="s">
        <v>140</v>
      </c>
      <c r="B21" s="11">
        <v>31566</v>
      </c>
      <c r="C21" s="5">
        <f t="shared" si="0"/>
        <v>3</v>
      </c>
      <c r="D21" s="5">
        <f t="shared" si="1"/>
        <v>6</v>
      </c>
      <c r="E21" s="5">
        <f t="shared" si="2"/>
        <v>1986</v>
      </c>
      <c r="M21" s="5" t="s">
        <v>140</v>
      </c>
      <c r="N21" s="11">
        <v>31566</v>
      </c>
      <c r="O21" s="19">
        <f t="shared" si="3"/>
        <v>31566</v>
      </c>
      <c r="P21" s="5">
        <f t="shared" si="4"/>
        <v>3</v>
      </c>
      <c r="Q21" s="5">
        <f t="shared" si="5"/>
        <v>23</v>
      </c>
      <c r="BF21" s="5" t="s">
        <v>139</v>
      </c>
      <c r="BG21" s="11">
        <v>31919</v>
      </c>
      <c r="BH21" s="22">
        <f t="shared" ca="1" si="12"/>
        <v>37</v>
      </c>
      <c r="BI21" s="22">
        <f t="shared" ca="1" si="13"/>
        <v>8</v>
      </c>
      <c r="BJ21" s="22">
        <f t="shared" ca="1" si="14"/>
        <v>29</v>
      </c>
    </row>
    <row r="22" spans="1:62">
      <c r="BF22" s="5" t="s">
        <v>140</v>
      </c>
      <c r="BG22" s="11">
        <v>31566</v>
      </c>
      <c r="BH22" s="22">
        <f t="shared" ca="1" si="12"/>
        <v>38</v>
      </c>
      <c r="BI22" s="22">
        <f t="shared" ca="1" si="13"/>
        <v>8</v>
      </c>
      <c r="BJ22" s="22">
        <f t="shared" ca="1" si="14"/>
        <v>17</v>
      </c>
    </row>
    <row r="23" spans="1:62">
      <c r="BF23" s="23" t="s">
        <v>141</v>
      </c>
      <c r="BG23" s="24">
        <v>36249</v>
      </c>
      <c r="BH23" s="25">
        <f t="shared" ca="1" si="12"/>
        <v>25</v>
      </c>
      <c r="BI23" s="25">
        <f t="shared" ca="1" si="13"/>
        <v>10</v>
      </c>
      <c r="BJ23" s="25">
        <f t="shared" ca="1" si="14"/>
        <v>21</v>
      </c>
    </row>
  </sheetData>
  <mergeCells count="1">
    <mergeCell ref="BF1:B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8C4C-D4FB-4D1C-AEBF-C6494C3E6CD2}">
  <dimension ref="A1"/>
  <sheetViews>
    <sheetView zoomScale="145" zoomScaleNormal="145" workbookViewId="0">
      <selection activeCell="A2" sqref="A2"/>
    </sheetView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Vikas Khavatode</cp:lastModifiedBy>
  <cp:revision/>
  <dcterms:created xsi:type="dcterms:W3CDTF">2015-06-05T18:17:20Z</dcterms:created>
  <dcterms:modified xsi:type="dcterms:W3CDTF">2025-02-20T11:53:17Z</dcterms:modified>
  <cp:category/>
  <cp:contentStatus/>
</cp:coreProperties>
</file>