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o\Downloads\"/>
    </mc:Choice>
  </mc:AlternateContent>
  <xr:revisionPtr revIDLastSave="0" documentId="13_ncr:1_{29A228D5-CC09-4444-93FC-0597948F54FA}" xr6:coauthVersionLast="47" xr6:coauthVersionMax="47" xr10:uidLastSave="{00000000-0000-0000-0000-000000000000}"/>
  <bookViews>
    <workbookView xWindow="-113" yWindow="-113" windowWidth="24267" windowHeight="13023" activeTab="1" xr2:uid="{E3274910-9AE3-41AF-B0E9-F3F1BD49F422}"/>
  </bookViews>
  <sheets>
    <sheet name="Real Time Finance data" sheetId="1" r:id="rId1"/>
    <sheet name="Tex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I4" i="2" s="1"/>
  <c r="H2" i="2"/>
  <c r="I2" i="2" s="1"/>
  <c r="H3" i="2"/>
  <c r="I3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</calcChain>
</file>

<file path=xl/sharedStrings.xml><?xml version="1.0" encoding="utf-8"?>
<sst xmlns="http://schemas.openxmlformats.org/spreadsheetml/2006/main" count="283" uniqueCount="136">
  <si>
    <t>Transaction ID</t>
  </si>
  <si>
    <t>Department</t>
  </si>
  <si>
    <t>Region</t>
  </si>
  <si>
    <t>Product</t>
  </si>
  <si>
    <t>Quantity</t>
  </si>
  <si>
    <t>Unit Price</t>
  </si>
  <si>
    <t>Discount %</t>
  </si>
  <si>
    <t>Total 
Sale</t>
  </si>
  <si>
    <t>Target</t>
  </si>
  <si>
    <t>Payment
 Mode</t>
  </si>
  <si>
    <t>TXN001</t>
  </si>
  <si>
    <t>John Smith</t>
  </si>
  <si>
    <t>Sales</t>
  </si>
  <si>
    <t>East</t>
  </si>
  <si>
    <t>05-Jan-2024</t>
  </si>
  <si>
    <t>Laptop</t>
  </si>
  <si>
    <t>Credit Card</t>
  </si>
  <si>
    <t>TXN002</t>
  </si>
  <si>
    <t>Sarah Johnson</t>
  </si>
  <si>
    <t>Marketing</t>
  </si>
  <si>
    <t>West</t>
  </si>
  <si>
    <t>12-Jan-2024</t>
  </si>
  <si>
    <t>Printer</t>
  </si>
  <si>
    <t>Cash</t>
  </si>
  <si>
    <t>TXN003</t>
  </si>
  <si>
    <t>David Lee</t>
  </si>
  <si>
    <t>Finance</t>
  </si>
  <si>
    <t>North</t>
  </si>
  <si>
    <t>18-Jan-2024</t>
  </si>
  <si>
    <t>Monitor</t>
  </si>
  <si>
    <t>UPI</t>
  </si>
  <si>
    <t>TXN004</t>
  </si>
  <si>
    <t>Emma Brown</t>
  </si>
  <si>
    <t>HR</t>
  </si>
  <si>
    <t>South</t>
  </si>
  <si>
    <t>22-Jan-2024</t>
  </si>
  <si>
    <t>TXN005</t>
  </si>
  <si>
    <t>Michael Davis</t>
  </si>
  <si>
    <t>25-Jan-2024</t>
  </si>
  <si>
    <t>Tablet</t>
  </si>
  <si>
    <t>TXN006</t>
  </si>
  <si>
    <t>Olivia Wilson</t>
  </si>
  <si>
    <t>29-Jan-2024</t>
  </si>
  <si>
    <t>Projector</t>
  </si>
  <si>
    <t>TXN007</t>
  </si>
  <si>
    <t>Daniel Miller</t>
  </si>
  <si>
    <t>IT</t>
  </si>
  <si>
    <t>03-Feb-2024</t>
  </si>
  <si>
    <t>Keyboard</t>
  </si>
  <si>
    <t>TXN008</t>
  </si>
  <si>
    <t>Ava Taylor</t>
  </si>
  <si>
    <t>06-Feb-2024</t>
  </si>
  <si>
    <t>Mouse</t>
  </si>
  <si>
    <t>TXN009</t>
  </si>
  <si>
    <t>Sophia White</t>
  </si>
  <si>
    <t>10-Feb-2024</t>
  </si>
  <si>
    <t>TXN010</t>
  </si>
  <si>
    <t>James Hall</t>
  </si>
  <si>
    <t>15-Feb-2024</t>
  </si>
  <si>
    <t>TXN011</t>
  </si>
  <si>
    <t>Mia Green</t>
  </si>
  <si>
    <t>20-Feb-2024</t>
  </si>
  <si>
    <t>TXN012</t>
  </si>
  <si>
    <t>Ethan Clark</t>
  </si>
  <si>
    <t>24-Feb-2024</t>
  </si>
  <si>
    <t>TXN013</t>
  </si>
  <si>
    <t>Lily Adams</t>
  </si>
  <si>
    <t>28-Feb-2024</t>
  </si>
  <si>
    <t>TXN014</t>
  </si>
  <si>
    <t>Noah Scott</t>
  </si>
  <si>
    <t>03-Mar-2024</t>
  </si>
  <si>
    <t>TXN015</t>
  </si>
  <si>
    <t>Grace Lewis</t>
  </si>
  <si>
    <t>08-Mar-2024</t>
  </si>
  <si>
    <t>TXN016</t>
  </si>
  <si>
    <t>Lucas Young</t>
  </si>
  <si>
    <t>12-Mar-2024</t>
  </si>
  <si>
    <t>TXN017</t>
  </si>
  <si>
    <t>Harper King</t>
  </si>
  <si>
    <t>17-Mar-2024</t>
  </si>
  <si>
    <t>TXN018</t>
  </si>
  <si>
    <t>Henry Baker</t>
  </si>
  <si>
    <t>21-Mar-2024</t>
  </si>
  <si>
    <t>TXN019</t>
  </si>
  <si>
    <t>Ella Turner</t>
  </si>
  <si>
    <t>25-Mar-2024</t>
  </si>
  <si>
    <t>TXN020</t>
  </si>
  <si>
    <t>Jack Hill</t>
  </si>
  <si>
    <t>29-Mar-2024</t>
  </si>
  <si>
    <t>Employee
 Name</t>
  </si>
  <si>
    <t>Transaction Date</t>
  </si>
  <si>
    <t>Employee
Length</t>
  </si>
  <si>
    <t>Last 3 Charcters</t>
  </si>
  <si>
    <t>ast</t>
  </si>
  <si>
    <t>est</t>
  </si>
  <si>
    <t>rth</t>
  </si>
  <si>
    <t>uth</t>
  </si>
  <si>
    <t>Last 3 charcters 
using Flash Fill</t>
  </si>
  <si>
    <t>Sales-East</t>
  </si>
  <si>
    <t>Marketing-West</t>
  </si>
  <si>
    <t>Finance-North</t>
  </si>
  <si>
    <t>HR-South</t>
  </si>
  <si>
    <t>IT-West</t>
  </si>
  <si>
    <t>Marketing-South</t>
  </si>
  <si>
    <t>HR-East</t>
  </si>
  <si>
    <t>Sales-West</t>
  </si>
  <si>
    <t>Finance-South</t>
  </si>
  <si>
    <t>Marketing-East</t>
  </si>
  <si>
    <t>HR-North</t>
  </si>
  <si>
    <t>Sales-South</t>
  </si>
  <si>
    <t>Finance-West</t>
  </si>
  <si>
    <t>IT-North</t>
  </si>
  <si>
    <t>Concat</t>
  </si>
  <si>
    <t>Flash Fill</t>
  </si>
  <si>
    <t>MID</t>
  </si>
  <si>
    <t>John Smith - East - Sales</t>
  </si>
  <si>
    <t>Sarah Johnson - West - Marketing</t>
  </si>
  <si>
    <t>David Lee - North - Finance</t>
  </si>
  <si>
    <t>Emma Brown - South - HR</t>
  </si>
  <si>
    <t>Michael Davis - East - Sales</t>
  </si>
  <si>
    <t>Olivia Wilson - North - Finance</t>
  </si>
  <si>
    <t>Daniel Miller - West - IT</t>
  </si>
  <si>
    <t>Ava Taylor - East - Sales</t>
  </si>
  <si>
    <t>Sophia White - South - Marketing</t>
  </si>
  <si>
    <t>James Hall - North - Finance</t>
  </si>
  <si>
    <t>Mia Green - East - HR</t>
  </si>
  <si>
    <t>Ethan Clark - West - Sales</t>
  </si>
  <si>
    <t>Lily Adams - South - Finance</t>
  </si>
  <si>
    <t>Noah Scott - East - Marketing</t>
  </si>
  <si>
    <t>Grace Lewis - North - HR</t>
  </si>
  <si>
    <t>Lucas Young - South - Sales</t>
  </si>
  <si>
    <t>Harper King - West - Finance</t>
  </si>
  <si>
    <t>Henry Baker - North - IT</t>
  </si>
  <si>
    <t>Ella Turner - East - Sales</t>
  </si>
  <si>
    <t>Jack Hill - South - Marketing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</si>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</sst>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mm/yyyy"/>
    <numFmt numFmtId="175" formatCode="[$-F800]dddd\,\ mmmm\ dd\,\ yyyy"/>
    <numFmt numFmtId="176" formatCode="mmm/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172" fontId="0" fillId="0" borderId="0" xfId="0" applyNumberFormat="1"/>
    <xf numFmtId="175" fontId="0" fillId="0" borderId="0" xfId="0" applyNumberFormat="1"/>
    <xf numFmtId="175" fontId="1" fillId="0" borderId="1" xfId="0" applyNumberFormat="1" applyFont="1" applyBorder="1" applyAlignment="1">
      <alignment horizontal="center" vertical="top" wrapText="1"/>
    </xf>
    <xf numFmtId="172" fontId="1" fillId="0" borderId="2" xfId="0" applyNumberFormat="1" applyFont="1" applyBorder="1" applyAlignment="1">
      <alignment horizontal="center" vertical="center" wrapText="1"/>
    </xf>
    <xf numFmtId="176" fontId="0" fillId="0" borderId="0" xfId="0" applyNumberFormat="1" applyAlignment="1">
      <alignment vertical="center"/>
    </xf>
  </cellXfs>
  <cellStyles count="1">
    <cellStyle name="Normal" xfId="0" builtinId="0"/>
  </cellStyles>
  <dxfs count="17">
    <dxf>
      <numFmt numFmtId="172" formatCode="mm/yyyy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border outline="0">
        <bottom style="thin">
          <color auto="1"/>
        </bottom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75" formatCode="[$-F800]dddd\,\ mmmm\ dd\,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FA261-010C-4C26-A6C9-7AB2EAEF293D}" name="Table1" displayName="Table1" ref="A1:L21" totalsRowShown="0" headerRowDxfId="14" headerRowBorderDxfId="15" tableBorderDxfId="16">
  <autoFilter ref="A1:L21" xr:uid="{48EFA261-010C-4C26-A6C9-7AB2EAEF293D}"/>
  <tableColumns count="12">
    <tableColumn id="1" xr3:uid="{0D6DE8C9-A2AE-45C2-8FCD-9D4A5FE175EF}" name="Transaction ID"/>
    <tableColumn id="2" xr3:uid="{BF9BDEC9-E412-4E4A-B12C-5B3AE7A47EB6}" name="Employee_x000a_ Name"/>
    <tableColumn id="3" xr3:uid="{447F8DA3-48A7-4126-A3EF-49CEA28D4C95}" name="Department"/>
    <tableColumn id="4" xr3:uid="{C705E7FF-0D64-49AB-A690-A52C122F3276}" name="Region"/>
    <tableColumn id="5" xr3:uid="{40482BDC-693D-4362-B679-DD6313C4BCB5}" name="Transaction Date" dataDxfId="13"/>
    <tableColumn id="6" xr3:uid="{8451A926-A76C-4087-A484-F83B7763D863}" name="Product"/>
    <tableColumn id="7" xr3:uid="{1E2ABD07-7DE6-4EFE-9D96-0F862E6D7D2F}" name="Quantity"/>
    <tableColumn id="8" xr3:uid="{FF734D23-CDEC-402B-8DFF-869C037ACA99}" name="Unit Price"/>
    <tableColumn id="9" xr3:uid="{F4352201-94E5-4757-AD6B-70C0869A09F3}" name="Discount %"/>
    <tableColumn id="10" xr3:uid="{B5F88548-EE1F-442C-9D35-62E74028811E}" name="Total _x000a_Sale"/>
    <tableColumn id="11" xr3:uid="{CFB2FD8D-43A5-44FB-ABB2-2F5DB0AC119D}" name="Target"/>
    <tableColumn id="12" xr3:uid="{90A5E00D-2040-4B06-BEBF-9754DDA96216}" name="Payment_x000a_ Mode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D09D91-C1C3-45D3-8F22-F961EEF95DCA}" name="Table3" displayName="Table3" ref="A1:K21" totalsRowShown="0" headerRowDxfId="12" dataDxfId="11" headerRowBorderDxfId="10">
  <autoFilter ref="A1:K21" xr:uid="{F9D09D91-C1C3-45D3-8F22-F961EEF95DCA}"/>
  <tableColumns count="11">
    <tableColumn id="1" xr3:uid="{B226AFED-77F6-472E-8D17-09BD111300F8}" name="Employee_x000a_ Name" dataDxfId="9"/>
    <tableColumn id="2" xr3:uid="{99E2058D-2546-4FBC-B52D-13260F861007}" name="Employee_x000a_Length" dataDxfId="8">
      <calculatedColumnFormula>LEN(Table3[[#This Row],[Employee
 Name]])</calculatedColumnFormula>
    </tableColumn>
    <tableColumn id="3" xr3:uid="{CFE7DBAC-AAE7-412B-8DDB-3A458024DE63}" name="Region"/>
    <tableColumn id="4" xr3:uid="{6FD8565B-2E4F-48E7-A7B8-E76F50398C34}" name="Last 3 Charcters" dataDxfId="7">
      <calculatedColumnFormula>RIGHT(Table3[[#This Row],[Region]],3)</calculatedColumnFormula>
    </tableColumn>
    <tableColumn id="5" xr3:uid="{7A65C10E-F5B0-4436-9AC8-BEB34BE991C9}" name="Last 3 charcters _x000a_using Flash Fill" dataDxfId="6"/>
    <tableColumn id="6" xr3:uid="{3B1010F0-E4CA-44C4-B325-10DE09CE65B7}" name="Department" dataDxfId="5"/>
    <tableColumn id="7" xr3:uid="{767F7D51-F4DF-4EAD-A6A8-EC9BFCC57015}" name="Flash Fill" dataDxfId="4"/>
    <tableColumn id="8" xr3:uid="{B39354D3-D0CF-4B29-BB10-B8C32A437C40}" name="Concat" dataDxfId="3">
      <calculatedColumnFormula>_xlfn.CONCAT(Table3[[#This Row],[Department]],Table3[[#This Row],[Region]])</calculatedColumnFormula>
    </tableColumn>
    <tableColumn id="9" xr3:uid="{D7B89F58-0324-47A2-92B4-694B7EB7E392}" name="MID" dataDxfId="2">
      <calculatedColumnFormula>MID(Table3[[#This Row],[Concat]],1,5)</calculatedColumnFormula>
    </tableColumn>
    <tableColumn id="12" xr3:uid="{7493F65C-691A-450A-A1D4-D200C553EA11}" name="Combined" dataDxfId="1"/>
    <tableColumn id="14" xr3:uid="{76591B50-0AD2-4D60-BDFE-1FBA461E966A}" name="Transaction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18868-3376-4D2F-97F0-484D61B431C7}">
  <dimension ref="A1:L21"/>
  <sheetViews>
    <sheetView workbookViewId="0">
      <selection activeCell="E1" sqref="E1:E21"/>
    </sheetView>
  </sheetViews>
  <sheetFormatPr defaultRowHeight="15.05" x14ac:dyDescent="0.3"/>
  <cols>
    <col min="1" max="1" width="15.77734375" customWidth="1"/>
    <col min="2" max="2" width="15.109375" customWidth="1"/>
    <col min="3" max="3" width="13.44140625" customWidth="1"/>
    <col min="5" max="5" width="16.6640625" style="10" customWidth="1"/>
    <col min="6" max="6" width="13.109375" customWidth="1"/>
    <col min="7" max="7" width="14.33203125" customWidth="1"/>
    <col min="8" max="8" width="13.88671875" customWidth="1"/>
    <col min="9" max="9" width="12.5546875" customWidth="1"/>
    <col min="12" max="12" width="14.44140625" customWidth="1"/>
  </cols>
  <sheetData>
    <row r="1" spans="1:12" ht="30.05" x14ac:dyDescent="0.3">
      <c r="A1" s="1" t="s">
        <v>0</v>
      </c>
      <c r="B1" s="2" t="s">
        <v>89</v>
      </c>
      <c r="C1" s="1" t="s">
        <v>1</v>
      </c>
      <c r="D1" s="1" t="s">
        <v>2</v>
      </c>
      <c r="E1" s="11" t="s">
        <v>90</v>
      </c>
      <c r="F1" s="1" t="s">
        <v>3</v>
      </c>
      <c r="G1" s="1" t="s">
        <v>4</v>
      </c>
      <c r="H1" s="1" t="s">
        <v>5</v>
      </c>
      <c r="I1" s="1" t="s">
        <v>6</v>
      </c>
      <c r="J1" s="2" t="s">
        <v>7</v>
      </c>
      <c r="K1" s="1" t="s">
        <v>8</v>
      </c>
      <c r="L1" s="2" t="s">
        <v>9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s="10" t="s">
        <v>14</v>
      </c>
      <c r="F2" t="s">
        <v>15</v>
      </c>
      <c r="G2">
        <v>3</v>
      </c>
      <c r="H2">
        <v>950</v>
      </c>
      <c r="I2">
        <v>5</v>
      </c>
      <c r="J2">
        <v>2707.5</v>
      </c>
      <c r="K2">
        <v>2500</v>
      </c>
      <c r="L2" t="s">
        <v>16</v>
      </c>
    </row>
    <row r="3" spans="1:12" x14ac:dyDescent="0.3">
      <c r="A3" t="s">
        <v>17</v>
      </c>
      <c r="B3" t="s">
        <v>18</v>
      </c>
      <c r="C3" t="s">
        <v>19</v>
      </c>
      <c r="D3" t="s">
        <v>20</v>
      </c>
      <c r="E3" s="10" t="s">
        <v>21</v>
      </c>
      <c r="F3" t="s">
        <v>22</v>
      </c>
      <c r="G3">
        <v>2</v>
      </c>
      <c r="H3">
        <v>400</v>
      </c>
      <c r="I3">
        <v>0</v>
      </c>
      <c r="J3">
        <v>800</v>
      </c>
      <c r="K3">
        <v>1000</v>
      </c>
      <c r="L3" t="s">
        <v>23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 s="10" t="s">
        <v>28</v>
      </c>
      <c r="F4" t="s">
        <v>29</v>
      </c>
      <c r="G4">
        <v>5</v>
      </c>
      <c r="H4">
        <v>180</v>
      </c>
      <c r="I4">
        <v>10</v>
      </c>
      <c r="J4">
        <v>810</v>
      </c>
      <c r="K4">
        <v>900</v>
      </c>
      <c r="L4" t="s">
        <v>30</v>
      </c>
    </row>
    <row r="5" spans="1:12" x14ac:dyDescent="0.3">
      <c r="A5" t="s">
        <v>31</v>
      </c>
      <c r="B5" t="s">
        <v>32</v>
      </c>
      <c r="C5" t="s">
        <v>33</v>
      </c>
      <c r="D5" t="s">
        <v>34</v>
      </c>
      <c r="E5" s="10" t="s">
        <v>35</v>
      </c>
      <c r="F5" t="s">
        <v>15</v>
      </c>
      <c r="G5">
        <v>2</v>
      </c>
      <c r="H5">
        <v>950</v>
      </c>
      <c r="I5">
        <v>0</v>
      </c>
      <c r="J5">
        <v>1900</v>
      </c>
      <c r="K5">
        <v>2000</v>
      </c>
      <c r="L5" t="s">
        <v>16</v>
      </c>
    </row>
    <row r="6" spans="1:12" x14ac:dyDescent="0.3">
      <c r="A6" t="s">
        <v>36</v>
      </c>
      <c r="B6" t="s">
        <v>37</v>
      </c>
      <c r="C6" t="s">
        <v>12</v>
      </c>
      <c r="D6" t="s">
        <v>13</v>
      </c>
      <c r="E6" s="10" t="s">
        <v>38</v>
      </c>
      <c r="F6" t="s">
        <v>39</v>
      </c>
      <c r="G6">
        <v>4</v>
      </c>
      <c r="H6">
        <v>350</v>
      </c>
      <c r="I6">
        <v>5</v>
      </c>
      <c r="J6">
        <v>1330</v>
      </c>
      <c r="K6">
        <v>1500</v>
      </c>
      <c r="L6" t="s">
        <v>23</v>
      </c>
    </row>
    <row r="7" spans="1:12" x14ac:dyDescent="0.3">
      <c r="A7" t="s">
        <v>40</v>
      </c>
      <c r="B7" t="s">
        <v>41</v>
      </c>
      <c r="C7" t="s">
        <v>26</v>
      </c>
      <c r="D7" t="s">
        <v>27</v>
      </c>
      <c r="E7" s="10" t="s">
        <v>42</v>
      </c>
      <c r="F7" t="s">
        <v>43</v>
      </c>
      <c r="G7">
        <v>1</v>
      </c>
      <c r="H7">
        <v>700</v>
      </c>
      <c r="I7">
        <v>15</v>
      </c>
      <c r="J7">
        <v>595</v>
      </c>
      <c r="K7">
        <v>700</v>
      </c>
      <c r="L7" t="s">
        <v>30</v>
      </c>
    </row>
    <row r="8" spans="1:12" x14ac:dyDescent="0.3">
      <c r="A8" t="s">
        <v>44</v>
      </c>
      <c r="B8" t="s">
        <v>45</v>
      </c>
      <c r="C8" t="s">
        <v>46</v>
      </c>
      <c r="D8" t="s">
        <v>20</v>
      </c>
      <c r="E8" s="10" t="s">
        <v>47</v>
      </c>
      <c r="F8" t="s">
        <v>48</v>
      </c>
      <c r="G8">
        <v>6</v>
      </c>
      <c r="H8">
        <v>60</v>
      </c>
      <c r="I8">
        <v>0</v>
      </c>
      <c r="J8">
        <v>360</v>
      </c>
      <c r="K8">
        <v>500</v>
      </c>
      <c r="L8" t="s">
        <v>23</v>
      </c>
    </row>
    <row r="9" spans="1:12" x14ac:dyDescent="0.3">
      <c r="A9" t="s">
        <v>49</v>
      </c>
      <c r="B9" t="s">
        <v>50</v>
      </c>
      <c r="C9" t="s">
        <v>12</v>
      </c>
      <c r="D9" t="s">
        <v>13</v>
      </c>
      <c r="E9" s="10" t="s">
        <v>51</v>
      </c>
      <c r="F9" t="s">
        <v>52</v>
      </c>
      <c r="G9">
        <v>10</v>
      </c>
      <c r="H9">
        <v>25</v>
      </c>
      <c r="I9">
        <v>0</v>
      </c>
      <c r="J9">
        <v>250</v>
      </c>
      <c r="K9">
        <v>200</v>
      </c>
      <c r="L9" t="s">
        <v>16</v>
      </c>
    </row>
    <row r="10" spans="1:12" x14ac:dyDescent="0.3">
      <c r="A10" t="s">
        <v>53</v>
      </c>
      <c r="B10" t="s">
        <v>54</v>
      </c>
      <c r="C10" t="s">
        <v>19</v>
      </c>
      <c r="D10" t="s">
        <v>34</v>
      </c>
      <c r="E10" s="10" t="s">
        <v>55</v>
      </c>
      <c r="F10" t="s">
        <v>15</v>
      </c>
      <c r="G10">
        <v>1</v>
      </c>
      <c r="H10">
        <v>950</v>
      </c>
      <c r="I10">
        <v>5</v>
      </c>
      <c r="J10">
        <v>902.5</v>
      </c>
      <c r="K10">
        <v>1000</v>
      </c>
      <c r="L10" t="s">
        <v>30</v>
      </c>
    </row>
    <row r="11" spans="1:12" x14ac:dyDescent="0.3">
      <c r="A11" t="s">
        <v>56</v>
      </c>
      <c r="B11" t="s">
        <v>57</v>
      </c>
      <c r="C11" t="s">
        <v>26</v>
      </c>
      <c r="D11" t="s">
        <v>27</v>
      </c>
      <c r="E11" s="10" t="s">
        <v>58</v>
      </c>
      <c r="F11" t="s">
        <v>29</v>
      </c>
      <c r="G11">
        <v>3</v>
      </c>
      <c r="H11">
        <v>180</v>
      </c>
      <c r="I11">
        <v>10</v>
      </c>
      <c r="J11">
        <v>486</v>
      </c>
      <c r="K11">
        <v>600</v>
      </c>
      <c r="L11" t="s">
        <v>16</v>
      </c>
    </row>
    <row r="12" spans="1:12" x14ac:dyDescent="0.3">
      <c r="A12" t="s">
        <v>59</v>
      </c>
      <c r="B12" t="s">
        <v>60</v>
      </c>
      <c r="C12" t="s">
        <v>33</v>
      </c>
      <c r="D12" t="s">
        <v>13</v>
      </c>
      <c r="E12" s="10" t="s">
        <v>61</v>
      </c>
      <c r="F12" t="s">
        <v>39</v>
      </c>
      <c r="G12">
        <v>5</v>
      </c>
      <c r="H12">
        <v>350</v>
      </c>
      <c r="I12">
        <v>5</v>
      </c>
      <c r="J12">
        <v>1662.5</v>
      </c>
      <c r="K12">
        <v>1700</v>
      </c>
      <c r="L12" t="s">
        <v>23</v>
      </c>
    </row>
    <row r="13" spans="1:12" x14ac:dyDescent="0.3">
      <c r="A13" t="s">
        <v>62</v>
      </c>
      <c r="B13" t="s">
        <v>63</v>
      </c>
      <c r="C13" t="s">
        <v>12</v>
      </c>
      <c r="D13" t="s">
        <v>20</v>
      </c>
      <c r="E13" s="10" t="s">
        <v>64</v>
      </c>
      <c r="F13" t="s">
        <v>15</v>
      </c>
      <c r="G13">
        <v>4</v>
      </c>
      <c r="H13">
        <v>950</v>
      </c>
      <c r="I13">
        <v>5</v>
      </c>
      <c r="J13">
        <v>3610</v>
      </c>
      <c r="K13">
        <v>3600</v>
      </c>
      <c r="L13" t="s">
        <v>30</v>
      </c>
    </row>
    <row r="14" spans="1:12" x14ac:dyDescent="0.3">
      <c r="A14" t="s">
        <v>65</v>
      </c>
      <c r="B14" t="s">
        <v>66</v>
      </c>
      <c r="C14" t="s">
        <v>26</v>
      </c>
      <c r="D14" t="s">
        <v>34</v>
      </c>
      <c r="E14" s="10" t="s">
        <v>67</v>
      </c>
      <c r="F14" t="s">
        <v>43</v>
      </c>
      <c r="G14">
        <v>2</v>
      </c>
      <c r="H14">
        <v>700</v>
      </c>
      <c r="I14">
        <v>10</v>
      </c>
      <c r="J14">
        <v>1260</v>
      </c>
      <c r="K14">
        <v>1400</v>
      </c>
      <c r="L14" t="s">
        <v>23</v>
      </c>
    </row>
    <row r="15" spans="1:12" x14ac:dyDescent="0.3">
      <c r="A15" t="s">
        <v>68</v>
      </c>
      <c r="B15" t="s">
        <v>69</v>
      </c>
      <c r="C15" t="s">
        <v>19</v>
      </c>
      <c r="D15" t="s">
        <v>13</v>
      </c>
      <c r="E15" s="10" t="s">
        <v>70</v>
      </c>
      <c r="F15" t="s">
        <v>52</v>
      </c>
      <c r="G15">
        <v>15</v>
      </c>
      <c r="H15">
        <v>25</v>
      </c>
      <c r="I15">
        <v>0</v>
      </c>
      <c r="J15">
        <v>375</v>
      </c>
      <c r="K15">
        <v>350</v>
      </c>
      <c r="L15" t="s">
        <v>16</v>
      </c>
    </row>
    <row r="16" spans="1:12" x14ac:dyDescent="0.3">
      <c r="A16" t="s">
        <v>71</v>
      </c>
      <c r="B16" t="s">
        <v>72</v>
      </c>
      <c r="C16" t="s">
        <v>33</v>
      </c>
      <c r="D16" t="s">
        <v>27</v>
      </c>
      <c r="E16" s="10" t="s">
        <v>73</v>
      </c>
      <c r="F16" t="s">
        <v>48</v>
      </c>
      <c r="G16">
        <v>8</v>
      </c>
      <c r="H16">
        <v>60</v>
      </c>
      <c r="I16">
        <v>5</v>
      </c>
      <c r="J16">
        <v>456</v>
      </c>
      <c r="K16">
        <v>500</v>
      </c>
      <c r="L16" t="s">
        <v>30</v>
      </c>
    </row>
    <row r="17" spans="1:12" x14ac:dyDescent="0.3">
      <c r="A17" t="s">
        <v>74</v>
      </c>
      <c r="B17" t="s">
        <v>75</v>
      </c>
      <c r="C17" t="s">
        <v>12</v>
      </c>
      <c r="D17" t="s">
        <v>34</v>
      </c>
      <c r="E17" s="10" t="s">
        <v>76</v>
      </c>
      <c r="F17" t="s">
        <v>15</v>
      </c>
      <c r="G17">
        <v>2</v>
      </c>
      <c r="H17">
        <v>950</v>
      </c>
      <c r="I17">
        <v>10</v>
      </c>
      <c r="J17">
        <v>1710</v>
      </c>
      <c r="K17">
        <v>1900</v>
      </c>
      <c r="L17" t="s">
        <v>16</v>
      </c>
    </row>
    <row r="18" spans="1:12" x14ac:dyDescent="0.3">
      <c r="A18" t="s">
        <v>77</v>
      </c>
      <c r="B18" t="s">
        <v>78</v>
      </c>
      <c r="C18" t="s">
        <v>26</v>
      </c>
      <c r="D18" t="s">
        <v>20</v>
      </c>
      <c r="E18" s="10" t="s">
        <v>79</v>
      </c>
      <c r="F18" t="s">
        <v>22</v>
      </c>
      <c r="G18">
        <v>4</v>
      </c>
      <c r="H18">
        <v>400</v>
      </c>
      <c r="I18">
        <v>5</v>
      </c>
      <c r="J18">
        <v>1520</v>
      </c>
      <c r="K18">
        <v>1600</v>
      </c>
      <c r="L18" t="s">
        <v>23</v>
      </c>
    </row>
    <row r="19" spans="1:12" x14ac:dyDescent="0.3">
      <c r="A19" t="s">
        <v>80</v>
      </c>
      <c r="B19" t="s">
        <v>81</v>
      </c>
      <c r="C19" t="s">
        <v>46</v>
      </c>
      <c r="D19" t="s">
        <v>27</v>
      </c>
      <c r="E19" s="10" t="s">
        <v>82</v>
      </c>
      <c r="F19" t="s">
        <v>29</v>
      </c>
      <c r="G19">
        <v>2</v>
      </c>
      <c r="H19">
        <v>180</v>
      </c>
      <c r="I19">
        <v>0</v>
      </c>
      <c r="J19">
        <v>360</v>
      </c>
      <c r="K19">
        <v>400</v>
      </c>
      <c r="L19" t="s">
        <v>30</v>
      </c>
    </row>
    <row r="20" spans="1:12" x14ac:dyDescent="0.3">
      <c r="A20" t="s">
        <v>83</v>
      </c>
      <c r="B20" t="s">
        <v>84</v>
      </c>
      <c r="C20" t="s">
        <v>12</v>
      </c>
      <c r="D20" t="s">
        <v>13</v>
      </c>
      <c r="E20" s="10" t="s">
        <v>85</v>
      </c>
      <c r="F20" t="s">
        <v>43</v>
      </c>
      <c r="G20">
        <v>3</v>
      </c>
      <c r="H20">
        <v>700</v>
      </c>
      <c r="I20">
        <v>10</v>
      </c>
      <c r="J20">
        <v>1890</v>
      </c>
      <c r="K20">
        <v>2000</v>
      </c>
      <c r="L20" t="s">
        <v>23</v>
      </c>
    </row>
    <row r="21" spans="1:12" x14ac:dyDescent="0.3">
      <c r="A21" t="s">
        <v>86</v>
      </c>
      <c r="B21" t="s">
        <v>87</v>
      </c>
      <c r="C21" t="s">
        <v>19</v>
      </c>
      <c r="D21" t="s">
        <v>34</v>
      </c>
      <c r="E21" s="10" t="s">
        <v>88</v>
      </c>
      <c r="F21" t="s">
        <v>39</v>
      </c>
      <c r="G21">
        <v>6</v>
      </c>
      <c r="H21">
        <v>350</v>
      </c>
      <c r="I21">
        <v>5</v>
      </c>
      <c r="J21">
        <v>1995</v>
      </c>
      <c r="K21">
        <v>2100</v>
      </c>
      <c r="L2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8A6A1-6EE3-472C-B005-067FB3B0EA7C}">
  <dimension ref="A1:K21"/>
  <sheetViews>
    <sheetView tabSelected="1" workbookViewId="0">
      <selection activeCell="L7" sqref="L7"/>
    </sheetView>
  </sheetViews>
  <sheetFormatPr defaultRowHeight="15.05" x14ac:dyDescent="0.3"/>
  <cols>
    <col min="1" max="1" width="20.88671875" customWidth="1"/>
    <col min="2" max="2" width="12.21875" customWidth="1"/>
    <col min="3" max="3" width="13.77734375" customWidth="1"/>
    <col min="4" max="4" width="11.88671875" customWidth="1"/>
    <col min="5" max="5" width="15.109375" customWidth="1"/>
    <col min="6" max="6" width="12.44140625" customWidth="1"/>
    <col min="7" max="7" width="14" customWidth="1"/>
    <col min="8" max="8" width="15.21875" customWidth="1"/>
    <col min="10" max="10" width="30.33203125" customWidth="1"/>
    <col min="11" max="11" width="17.21875" style="9" customWidth="1"/>
  </cols>
  <sheetData>
    <row r="1" spans="1:11" ht="88.3" customHeight="1" x14ac:dyDescent="0.3">
      <c r="A1" s="3" t="s">
        <v>89</v>
      </c>
      <c r="B1" s="5" t="s">
        <v>91</v>
      </c>
      <c r="C1" s="6" t="s">
        <v>2</v>
      </c>
      <c r="D1" s="5" t="s">
        <v>92</v>
      </c>
      <c r="E1" s="5" t="s">
        <v>97</v>
      </c>
      <c r="F1" s="8" t="s">
        <v>1</v>
      </c>
      <c r="G1" s="5" t="s">
        <v>113</v>
      </c>
      <c r="H1" s="5" t="s">
        <v>112</v>
      </c>
      <c r="I1" s="5" t="s">
        <v>114</v>
      </c>
      <c r="J1" s="5" t="s">
        <v>135</v>
      </c>
      <c r="K1" s="12" t="s">
        <v>90</v>
      </c>
    </row>
    <row r="2" spans="1:11" x14ac:dyDescent="0.3">
      <c r="A2" s="4" t="s">
        <v>11</v>
      </c>
      <c r="B2" s="4">
        <f>LEN(Table3[[#This Row],[Employee
 Name]])</f>
        <v>10</v>
      </c>
      <c r="C2" s="7" t="s">
        <v>13</v>
      </c>
      <c r="D2" s="4" t="str">
        <f>RIGHT(Table3[[#This Row],[Region]],3)</f>
        <v>ast</v>
      </c>
      <c r="E2" s="4" t="s">
        <v>93</v>
      </c>
      <c r="F2" s="4" t="s">
        <v>12</v>
      </c>
      <c r="G2" s="4" t="s">
        <v>98</v>
      </c>
      <c r="H2" s="4" t="str">
        <f>_xlfn.CONCAT(Table3[[#This Row],[Department]],Table3[[#This Row],[Region]])</f>
        <v>SalesEast</v>
      </c>
      <c r="I2" s="4" t="str">
        <f>MID(Table3[[#This Row],[Concat]],1,5)</f>
        <v>Sales</v>
      </c>
      <c r="J2" s="4" t="s">
        <v>115</v>
      </c>
      <c r="K2" s="13">
        <v>45296</v>
      </c>
    </row>
    <row r="3" spans="1:11" x14ac:dyDescent="0.3">
      <c r="A3" s="4" t="s">
        <v>18</v>
      </c>
      <c r="B3" s="4">
        <f>LEN(Table3[[#This Row],[Employee
 Name]])</f>
        <v>13</v>
      </c>
      <c r="C3" s="7" t="s">
        <v>20</v>
      </c>
      <c r="D3" s="4" t="str">
        <f>RIGHT(Table3[[#This Row],[Region]],3)</f>
        <v>est</v>
      </c>
      <c r="E3" s="4" t="s">
        <v>94</v>
      </c>
      <c r="F3" s="4" t="s">
        <v>19</v>
      </c>
      <c r="G3" s="4" t="s">
        <v>99</v>
      </c>
      <c r="H3" s="4" t="str">
        <f>_xlfn.CONCAT(Table3[[#This Row],[Department]],Table3[[#This Row],[Region]])</f>
        <v>MarketingWest</v>
      </c>
      <c r="I3" s="4" t="str">
        <f>MID(Table3[[#This Row],[Concat]],1,5)</f>
        <v>Marke</v>
      </c>
      <c r="J3" s="4" t="s">
        <v>116</v>
      </c>
      <c r="K3" s="13">
        <v>45327</v>
      </c>
    </row>
    <row r="4" spans="1:11" x14ac:dyDescent="0.3">
      <c r="A4" s="4" t="s">
        <v>25</v>
      </c>
      <c r="B4" s="4">
        <f>LEN(Table3[[#This Row],[Employee
 Name]])</f>
        <v>9</v>
      </c>
      <c r="C4" s="7" t="s">
        <v>27</v>
      </c>
      <c r="D4" s="4" t="str">
        <f>RIGHT(Table3[[#This Row],[Region]],3)</f>
        <v>rth</v>
      </c>
      <c r="E4" s="4" t="s">
        <v>95</v>
      </c>
      <c r="F4" s="4" t="s">
        <v>26</v>
      </c>
      <c r="G4" s="4" t="s">
        <v>100</v>
      </c>
      <c r="H4" s="4" t="str">
        <f>_xlfn.CONCAT(Table3[[#This Row],[Department]],Table3[[#This Row],[Region]])</f>
        <v>FinanceNorth</v>
      </c>
      <c r="I4" s="4" t="str">
        <f>MID(Table3[[#This Row],[Concat]],1,5)</f>
        <v>Finan</v>
      </c>
      <c r="J4" s="4" t="s">
        <v>117</v>
      </c>
      <c r="K4" s="13">
        <v>45356</v>
      </c>
    </row>
    <row r="5" spans="1:11" x14ac:dyDescent="0.3">
      <c r="A5" s="4" t="s">
        <v>32</v>
      </c>
      <c r="B5" s="4">
        <f>LEN(Table3[[#This Row],[Employee
 Name]])</f>
        <v>10</v>
      </c>
      <c r="C5" s="7" t="s">
        <v>34</v>
      </c>
      <c r="D5" s="4" t="str">
        <f>RIGHT(Table3[[#This Row],[Region]],3)</f>
        <v>uth</v>
      </c>
      <c r="E5" s="4" t="s">
        <v>96</v>
      </c>
      <c r="F5" s="4" t="s">
        <v>33</v>
      </c>
      <c r="G5" s="4" t="s">
        <v>101</v>
      </c>
      <c r="H5" s="4" t="str">
        <f>_xlfn.CONCAT(Table3[[#This Row],[Department]],Table3[[#This Row],[Region]])</f>
        <v>HRSouth</v>
      </c>
      <c r="I5" s="4" t="str">
        <f>MID(Table3[[#This Row],[Concat]],1,5)</f>
        <v>HRSou</v>
      </c>
      <c r="J5" s="4" t="s">
        <v>118</v>
      </c>
      <c r="K5" s="13">
        <v>45387</v>
      </c>
    </row>
    <row r="6" spans="1:11" x14ac:dyDescent="0.3">
      <c r="A6" s="4" t="s">
        <v>37</v>
      </c>
      <c r="B6" s="4">
        <f>LEN(Table3[[#This Row],[Employee
 Name]])</f>
        <v>13</v>
      </c>
      <c r="C6" s="7" t="s">
        <v>13</v>
      </c>
      <c r="D6" s="4" t="str">
        <f>RIGHT(Table3[[#This Row],[Region]],3)</f>
        <v>ast</v>
      </c>
      <c r="E6" s="4" t="s">
        <v>93</v>
      </c>
      <c r="F6" s="4" t="s">
        <v>12</v>
      </c>
      <c r="G6" s="4" t="s">
        <v>98</v>
      </c>
      <c r="H6" s="4" t="str">
        <f>_xlfn.CONCAT(Table3[[#This Row],[Department]],Table3[[#This Row],[Region]])</f>
        <v>SalesEast</v>
      </c>
      <c r="I6" s="4" t="str">
        <f>MID(Table3[[#This Row],[Concat]],1,5)</f>
        <v>Sales</v>
      </c>
      <c r="J6" s="4" t="s">
        <v>119</v>
      </c>
      <c r="K6" s="13">
        <v>45417</v>
      </c>
    </row>
    <row r="7" spans="1:11" x14ac:dyDescent="0.3">
      <c r="A7" s="4" t="s">
        <v>41</v>
      </c>
      <c r="B7" s="4">
        <f>LEN(Table3[[#This Row],[Employee
 Name]])</f>
        <v>13</v>
      </c>
      <c r="C7" s="7" t="s">
        <v>27</v>
      </c>
      <c r="D7" s="4" t="str">
        <f>RIGHT(Table3[[#This Row],[Region]],3)</f>
        <v>rth</v>
      </c>
      <c r="E7" s="4" t="s">
        <v>95</v>
      </c>
      <c r="F7" s="4" t="s">
        <v>26</v>
      </c>
      <c r="G7" s="4" t="s">
        <v>100</v>
      </c>
      <c r="H7" s="4" t="str">
        <f>_xlfn.CONCAT(Table3[[#This Row],[Department]],Table3[[#This Row],[Region]])</f>
        <v>FinanceNorth</v>
      </c>
      <c r="I7" s="4" t="str">
        <f>MID(Table3[[#This Row],[Concat]],1,5)</f>
        <v>Finan</v>
      </c>
      <c r="J7" s="4" t="s">
        <v>120</v>
      </c>
      <c r="K7" s="13">
        <v>45448</v>
      </c>
    </row>
    <row r="8" spans="1:11" x14ac:dyDescent="0.3">
      <c r="A8" s="4" t="s">
        <v>45</v>
      </c>
      <c r="B8" s="4">
        <f>LEN(Table3[[#This Row],[Employee
 Name]])</f>
        <v>13</v>
      </c>
      <c r="C8" s="7" t="s">
        <v>20</v>
      </c>
      <c r="D8" s="4" t="str">
        <f>RIGHT(Table3[[#This Row],[Region]],3)</f>
        <v>est</v>
      </c>
      <c r="E8" s="4" t="s">
        <v>94</v>
      </c>
      <c r="F8" s="4" t="s">
        <v>46</v>
      </c>
      <c r="G8" s="4" t="s">
        <v>102</v>
      </c>
      <c r="H8" s="4" t="str">
        <f>_xlfn.CONCAT(Table3[[#This Row],[Department]],Table3[[#This Row],[Region]])</f>
        <v>ITWest</v>
      </c>
      <c r="I8" s="4" t="str">
        <f>MID(Table3[[#This Row],[Concat]],1,5)</f>
        <v>ITWes</v>
      </c>
      <c r="J8" s="4" t="s">
        <v>121</v>
      </c>
      <c r="K8" s="13">
        <v>45478</v>
      </c>
    </row>
    <row r="9" spans="1:11" x14ac:dyDescent="0.3">
      <c r="A9" s="4" t="s">
        <v>50</v>
      </c>
      <c r="B9" s="4">
        <f>LEN(Table3[[#This Row],[Employee
 Name]])</f>
        <v>10</v>
      </c>
      <c r="C9" s="7" t="s">
        <v>13</v>
      </c>
      <c r="D9" s="4" t="str">
        <f>RIGHT(Table3[[#This Row],[Region]],3)</f>
        <v>ast</v>
      </c>
      <c r="E9" s="4" t="s">
        <v>93</v>
      </c>
      <c r="F9" s="4" t="s">
        <v>12</v>
      </c>
      <c r="G9" s="4" t="s">
        <v>98</v>
      </c>
      <c r="H9" s="4" t="str">
        <f>_xlfn.CONCAT(Table3[[#This Row],[Department]],Table3[[#This Row],[Region]])</f>
        <v>SalesEast</v>
      </c>
      <c r="I9" s="4" t="str">
        <f>MID(Table3[[#This Row],[Concat]],1,5)</f>
        <v>Sales</v>
      </c>
      <c r="J9" s="4" t="s">
        <v>122</v>
      </c>
      <c r="K9" s="13">
        <v>45509</v>
      </c>
    </row>
    <row r="10" spans="1:11" x14ac:dyDescent="0.3">
      <c r="A10" s="4" t="s">
        <v>54</v>
      </c>
      <c r="B10" s="4">
        <f>LEN(Table3[[#This Row],[Employee
 Name]])</f>
        <v>12</v>
      </c>
      <c r="C10" s="7" t="s">
        <v>34</v>
      </c>
      <c r="D10" s="4" t="str">
        <f>RIGHT(Table3[[#This Row],[Region]],3)</f>
        <v>uth</v>
      </c>
      <c r="E10" s="4" t="s">
        <v>96</v>
      </c>
      <c r="F10" s="4" t="s">
        <v>19</v>
      </c>
      <c r="G10" s="4" t="s">
        <v>103</v>
      </c>
      <c r="H10" s="4" t="str">
        <f>_xlfn.CONCAT(Table3[[#This Row],[Department]],Table3[[#This Row],[Region]])</f>
        <v>MarketingSouth</v>
      </c>
      <c r="I10" s="4" t="str">
        <f>MID(Table3[[#This Row],[Concat]],1,5)</f>
        <v>Marke</v>
      </c>
      <c r="J10" s="4" t="s">
        <v>123</v>
      </c>
      <c r="K10" s="13">
        <v>45540</v>
      </c>
    </row>
    <row r="11" spans="1:11" x14ac:dyDescent="0.3">
      <c r="A11" s="4" t="s">
        <v>57</v>
      </c>
      <c r="B11" s="4">
        <f>LEN(Table3[[#This Row],[Employee
 Name]])</f>
        <v>10</v>
      </c>
      <c r="C11" s="7" t="s">
        <v>27</v>
      </c>
      <c r="D11" s="4" t="str">
        <f>RIGHT(Table3[[#This Row],[Region]],3)</f>
        <v>rth</v>
      </c>
      <c r="E11" s="4" t="s">
        <v>95</v>
      </c>
      <c r="F11" s="4" t="s">
        <v>26</v>
      </c>
      <c r="G11" s="4" t="s">
        <v>100</v>
      </c>
      <c r="H11" s="4" t="str">
        <f>_xlfn.CONCAT(Table3[[#This Row],[Department]],Table3[[#This Row],[Region]])</f>
        <v>FinanceNorth</v>
      </c>
      <c r="I11" s="4" t="str">
        <f>MID(Table3[[#This Row],[Concat]],1,5)</f>
        <v>Finan</v>
      </c>
      <c r="J11" s="4" t="s">
        <v>124</v>
      </c>
      <c r="K11" s="13">
        <v>45570</v>
      </c>
    </row>
    <row r="12" spans="1:11" x14ac:dyDescent="0.3">
      <c r="A12" s="4" t="s">
        <v>60</v>
      </c>
      <c r="B12" s="4">
        <f>LEN(Table3[[#This Row],[Employee
 Name]])</f>
        <v>9</v>
      </c>
      <c r="C12" s="7" t="s">
        <v>13</v>
      </c>
      <c r="D12" s="4" t="str">
        <f>RIGHT(Table3[[#This Row],[Region]],3)</f>
        <v>ast</v>
      </c>
      <c r="E12" s="4" t="s">
        <v>93</v>
      </c>
      <c r="F12" s="4" t="s">
        <v>33</v>
      </c>
      <c r="G12" s="4" t="s">
        <v>104</v>
      </c>
      <c r="H12" s="4" t="str">
        <f>_xlfn.CONCAT(Table3[[#This Row],[Department]],Table3[[#This Row],[Region]])</f>
        <v>HREast</v>
      </c>
      <c r="I12" s="4" t="str">
        <f>MID(Table3[[#This Row],[Concat]],1,5)</f>
        <v>HREas</v>
      </c>
      <c r="J12" s="4" t="s">
        <v>125</v>
      </c>
      <c r="K12" s="13">
        <v>45601</v>
      </c>
    </row>
    <row r="13" spans="1:11" x14ac:dyDescent="0.3">
      <c r="A13" s="4" t="s">
        <v>63</v>
      </c>
      <c r="B13" s="4">
        <f>LEN(Table3[[#This Row],[Employee
 Name]])</f>
        <v>11</v>
      </c>
      <c r="C13" s="7" t="s">
        <v>20</v>
      </c>
      <c r="D13" s="4" t="str">
        <f>RIGHT(Table3[[#This Row],[Region]],3)</f>
        <v>est</v>
      </c>
      <c r="E13" s="4" t="s">
        <v>94</v>
      </c>
      <c r="F13" s="4" t="s">
        <v>12</v>
      </c>
      <c r="G13" s="4" t="s">
        <v>105</v>
      </c>
      <c r="H13" s="4" t="str">
        <f>_xlfn.CONCAT(Table3[[#This Row],[Department]],Table3[[#This Row],[Region]])</f>
        <v>SalesWest</v>
      </c>
      <c r="I13" s="4" t="str">
        <f>MID(Table3[[#This Row],[Concat]],1,5)</f>
        <v>Sales</v>
      </c>
      <c r="J13" s="4" t="s">
        <v>126</v>
      </c>
      <c r="K13" s="13">
        <v>45631</v>
      </c>
    </row>
    <row r="14" spans="1:11" x14ac:dyDescent="0.3">
      <c r="A14" s="4" t="s">
        <v>66</v>
      </c>
      <c r="B14" s="4">
        <f>LEN(Table3[[#This Row],[Employee
 Name]])</f>
        <v>10</v>
      </c>
      <c r="C14" s="7" t="s">
        <v>34</v>
      </c>
      <c r="D14" s="4" t="str">
        <f>RIGHT(Table3[[#This Row],[Region]],3)</f>
        <v>uth</v>
      </c>
      <c r="E14" s="4" t="s">
        <v>96</v>
      </c>
      <c r="F14" s="4" t="s">
        <v>26</v>
      </c>
      <c r="G14" s="4" t="s">
        <v>106</v>
      </c>
      <c r="H14" s="4" t="str">
        <f>_xlfn.CONCAT(Table3[[#This Row],[Department]],Table3[[#This Row],[Region]])</f>
        <v>FinanceSouth</v>
      </c>
      <c r="I14" s="4" t="str">
        <f>MID(Table3[[#This Row],[Concat]],1,5)</f>
        <v>Finan</v>
      </c>
      <c r="J14" s="4" t="s">
        <v>127</v>
      </c>
      <c r="K14" s="13">
        <v>45662</v>
      </c>
    </row>
    <row r="15" spans="1:11" x14ac:dyDescent="0.3">
      <c r="A15" s="4" t="s">
        <v>69</v>
      </c>
      <c r="B15" s="4">
        <f>LEN(Table3[[#This Row],[Employee
 Name]])</f>
        <v>10</v>
      </c>
      <c r="C15" s="7" t="s">
        <v>13</v>
      </c>
      <c r="D15" s="4" t="str">
        <f>RIGHT(Table3[[#This Row],[Region]],3)</f>
        <v>ast</v>
      </c>
      <c r="E15" s="4" t="s">
        <v>93</v>
      </c>
      <c r="F15" s="4" t="s">
        <v>19</v>
      </c>
      <c r="G15" s="4" t="s">
        <v>107</v>
      </c>
      <c r="H15" s="4" t="str">
        <f>_xlfn.CONCAT(Table3[[#This Row],[Department]],Table3[[#This Row],[Region]])</f>
        <v>MarketingEast</v>
      </c>
      <c r="I15" s="4" t="str">
        <f>MID(Table3[[#This Row],[Concat]],1,5)</f>
        <v>Marke</v>
      </c>
      <c r="J15" s="4" t="s">
        <v>128</v>
      </c>
      <c r="K15" s="13">
        <v>45693</v>
      </c>
    </row>
    <row r="16" spans="1:11" x14ac:dyDescent="0.3">
      <c r="A16" s="4" t="s">
        <v>72</v>
      </c>
      <c r="B16" s="4">
        <f>LEN(Table3[[#This Row],[Employee
 Name]])</f>
        <v>11</v>
      </c>
      <c r="C16" s="7" t="s">
        <v>27</v>
      </c>
      <c r="D16" s="4" t="str">
        <f>RIGHT(Table3[[#This Row],[Region]],3)</f>
        <v>rth</v>
      </c>
      <c r="E16" s="4" t="s">
        <v>95</v>
      </c>
      <c r="F16" s="4" t="s">
        <v>33</v>
      </c>
      <c r="G16" s="4" t="s">
        <v>108</v>
      </c>
      <c r="H16" s="4" t="str">
        <f>_xlfn.CONCAT(Table3[[#This Row],[Department]],Table3[[#This Row],[Region]])</f>
        <v>HRNorth</v>
      </c>
      <c r="I16" s="4" t="str">
        <f>MID(Table3[[#This Row],[Concat]],1,5)</f>
        <v>HRNor</v>
      </c>
      <c r="J16" s="4" t="s">
        <v>129</v>
      </c>
      <c r="K16" s="13">
        <v>45721</v>
      </c>
    </row>
    <row r="17" spans="1:11" x14ac:dyDescent="0.3">
      <c r="A17" s="4" t="s">
        <v>75</v>
      </c>
      <c r="B17" s="4">
        <f>LEN(Table3[[#This Row],[Employee
 Name]])</f>
        <v>11</v>
      </c>
      <c r="C17" s="7" t="s">
        <v>34</v>
      </c>
      <c r="D17" s="4" t="str">
        <f>RIGHT(Table3[[#This Row],[Region]],3)</f>
        <v>uth</v>
      </c>
      <c r="E17" s="4" t="s">
        <v>96</v>
      </c>
      <c r="F17" s="4" t="s">
        <v>12</v>
      </c>
      <c r="G17" s="4" t="s">
        <v>109</v>
      </c>
      <c r="H17" s="4" t="str">
        <f>_xlfn.CONCAT(Table3[[#This Row],[Department]],Table3[[#This Row],[Region]])</f>
        <v>SalesSouth</v>
      </c>
      <c r="I17" s="4" t="str">
        <f>MID(Table3[[#This Row],[Concat]],1,5)</f>
        <v>Sales</v>
      </c>
      <c r="J17" s="4" t="s">
        <v>130</v>
      </c>
      <c r="K17" s="13">
        <v>45752</v>
      </c>
    </row>
    <row r="18" spans="1:11" x14ac:dyDescent="0.3">
      <c r="A18" s="4" t="s">
        <v>78</v>
      </c>
      <c r="B18" s="4">
        <f>LEN(Table3[[#This Row],[Employee
 Name]])</f>
        <v>11</v>
      </c>
      <c r="C18" s="7" t="s">
        <v>20</v>
      </c>
      <c r="D18" s="4" t="str">
        <f>RIGHT(Table3[[#This Row],[Region]],3)</f>
        <v>est</v>
      </c>
      <c r="E18" s="4" t="s">
        <v>94</v>
      </c>
      <c r="F18" s="4" t="s">
        <v>26</v>
      </c>
      <c r="G18" s="4" t="s">
        <v>110</v>
      </c>
      <c r="H18" s="4" t="str">
        <f>_xlfn.CONCAT(Table3[[#This Row],[Department]],Table3[[#This Row],[Region]])</f>
        <v>FinanceWest</v>
      </c>
      <c r="I18" s="4" t="str">
        <f>MID(Table3[[#This Row],[Concat]],1,5)</f>
        <v>Finan</v>
      </c>
      <c r="J18" s="4" t="s">
        <v>131</v>
      </c>
      <c r="K18" s="13">
        <v>45782</v>
      </c>
    </row>
    <row r="19" spans="1:11" x14ac:dyDescent="0.3">
      <c r="A19" s="4" t="s">
        <v>81</v>
      </c>
      <c r="B19" s="4">
        <f>LEN(Table3[[#This Row],[Employee
 Name]])</f>
        <v>11</v>
      </c>
      <c r="C19" s="7" t="s">
        <v>27</v>
      </c>
      <c r="D19" s="4" t="str">
        <f>RIGHT(Table3[[#This Row],[Region]],3)</f>
        <v>rth</v>
      </c>
      <c r="E19" s="4" t="s">
        <v>95</v>
      </c>
      <c r="F19" s="4" t="s">
        <v>46</v>
      </c>
      <c r="G19" s="4" t="s">
        <v>111</v>
      </c>
      <c r="H19" s="4" t="str">
        <f>_xlfn.CONCAT(Table3[[#This Row],[Department]],Table3[[#This Row],[Region]])</f>
        <v>ITNorth</v>
      </c>
      <c r="I19" s="4" t="str">
        <f>MID(Table3[[#This Row],[Concat]],1,5)</f>
        <v>ITNor</v>
      </c>
      <c r="J19" s="4" t="s">
        <v>132</v>
      </c>
      <c r="K19" s="13">
        <v>45813</v>
      </c>
    </row>
    <row r="20" spans="1:11" x14ac:dyDescent="0.3">
      <c r="A20" s="4" t="s">
        <v>84</v>
      </c>
      <c r="B20" s="4">
        <f>LEN(Table3[[#This Row],[Employee
 Name]])</f>
        <v>11</v>
      </c>
      <c r="C20" s="7" t="s">
        <v>13</v>
      </c>
      <c r="D20" s="4" t="str">
        <f>RIGHT(Table3[[#This Row],[Region]],3)</f>
        <v>ast</v>
      </c>
      <c r="E20" s="4" t="s">
        <v>93</v>
      </c>
      <c r="F20" s="4" t="s">
        <v>12</v>
      </c>
      <c r="G20" s="4" t="s">
        <v>98</v>
      </c>
      <c r="H20" s="4" t="str">
        <f>_xlfn.CONCAT(Table3[[#This Row],[Department]],Table3[[#This Row],[Region]])</f>
        <v>SalesEast</v>
      </c>
      <c r="I20" s="4" t="str">
        <f>MID(Table3[[#This Row],[Concat]],1,5)</f>
        <v>Sales</v>
      </c>
      <c r="J20" s="4" t="s">
        <v>133</v>
      </c>
      <c r="K20" s="13">
        <v>45843</v>
      </c>
    </row>
    <row r="21" spans="1:11" x14ac:dyDescent="0.3">
      <c r="A21" s="4" t="s">
        <v>87</v>
      </c>
      <c r="B21" s="4">
        <f>LEN(Table3[[#This Row],[Employee
 Name]])</f>
        <v>9</v>
      </c>
      <c r="C21" s="7" t="s">
        <v>34</v>
      </c>
      <c r="D21" s="4" t="str">
        <f>RIGHT(Table3[[#This Row],[Region]],3)</f>
        <v>uth</v>
      </c>
      <c r="E21" s="4" t="s">
        <v>96</v>
      </c>
      <c r="F21" s="4" t="s">
        <v>19</v>
      </c>
      <c r="G21" s="4" t="s">
        <v>103</v>
      </c>
      <c r="H21" s="4" t="str">
        <f>_xlfn.CONCAT(Table3[[#This Row],[Department]],Table3[[#This Row],[Region]])</f>
        <v>MarketingSouth</v>
      </c>
      <c r="I21" s="4" t="str">
        <f>MID(Table3[[#This Row],[Concat]],1,5)</f>
        <v>Marke</v>
      </c>
      <c r="J21" s="4" t="s">
        <v>134</v>
      </c>
      <c r="K21" s="13">
        <v>45874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6EF65C-0B98-48D4-8A44-4191FCDC37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 Time Finance data</vt:lpstr>
      <vt:lpstr>Text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 Khanolkar</dc:creator>
  <cp:lastModifiedBy>Namrata Khanolkar</cp:lastModifiedBy>
  <dcterms:created xsi:type="dcterms:W3CDTF">2025-11-03T12:45:19Z</dcterms:created>
  <dcterms:modified xsi:type="dcterms:W3CDTF">2025-11-03T13:29:40Z</dcterms:modified>
</cp:coreProperties>
</file>