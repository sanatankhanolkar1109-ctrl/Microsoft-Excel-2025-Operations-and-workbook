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o\Downloads\"/>
    </mc:Choice>
  </mc:AlternateContent>
  <xr:revisionPtr revIDLastSave="0" documentId="13_ncr:1_{451FC0FA-FC13-445C-94D6-C53C44C708A2}" xr6:coauthVersionLast="47" xr6:coauthVersionMax="47" xr10:uidLastSave="{00000000-0000-0000-0000-000000000000}"/>
  <bookViews>
    <workbookView xWindow="-113" yWindow="-113" windowWidth="24267" windowHeight="13023" activeTab="1" xr2:uid="{1032E88E-EF27-49F7-AFC4-94CDACBF5696}"/>
  </bookViews>
  <sheets>
    <sheet name="Employee Unformatted" sheetId="1" r:id="rId1"/>
    <sheet name="Employee_Data Password" sheetId="2" r:id="rId2"/>
  </sheets>
  <definedNames>
    <definedName name="Sanatan">'Employee Unformatted'!#REF!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J2" i="1"/>
  <c r="J3" i="1"/>
  <c r="J4" i="1"/>
  <c r="J5" i="1"/>
  <c r="J6" i="1"/>
  <c r="J7" i="1"/>
  <c r="J8" i="1"/>
  <c r="J9" i="1"/>
</calcChain>
</file>

<file path=xl/sharedStrings.xml><?xml version="1.0" encoding="utf-8"?>
<sst xmlns="http://schemas.openxmlformats.org/spreadsheetml/2006/main" count="100" uniqueCount="45">
  <si>
    <t>Employee ID</t>
  </si>
  <si>
    <t>First Name</t>
  </si>
  <si>
    <t>Last Name</t>
  </si>
  <si>
    <t>Department</t>
  </si>
  <si>
    <t>Date of Joining</t>
  </si>
  <si>
    <t>Salary</t>
  </si>
  <si>
    <t>Bonus %</t>
  </si>
  <si>
    <t>City</t>
  </si>
  <si>
    <t>E001</t>
  </si>
  <si>
    <t>John</t>
  </si>
  <si>
    <t>Smith</t>
  </si>
  <si>
    <t>HR</t>
  </si>
  <si>
    <t>New York</t>
  </si>
  <si>
    <t>E002</t>
  </si>
  <si>
    <t>Sarah</t>
  </si>
  <si>
    <t>Johnson</t>
  </si>
  <si>
    <t>Finance</t>
  </si>
  <si>
    <t>Los Angeles</t>
  </si>
  <si>
    <t>E003</t>
  </si>
  <si>
    <t>David</t>
  </si>
  <si>
    <t>Lee</t>
  </si>
  <si>
    <t>IT</t>
  </si>
  <si>
    <t>Chicago</t>
  </si>
  <si>
    <t>E004</t>
  </si>
  <si>
    <t>Emma</t>
  </si>
  <si>
    <t>Brown</t>
  </si>
  <si>
    <t>Marketing</t>
  </si>
  <si>
    <t>Houston</t>
  </si>
  <si>
    <t>E005</t>
  </si>
  <si>
    <t>Michael</t>
  </si>
  <si>
    <t>Davis</t>
  </si>
  <si>
    <t>Phoenix</t>
  </si>
  <si>
    <t>E006</t>
  </si>
  <si>
    <t>Olivia</t>
  </si>
  <si>
    <t>Wilson</t>
  </si>
  <si>
    <t>E007</t>
  </si>
  <si>
    <t>Daniel</t>
  </si>
  <si>
    <t>Miller</t>
  </si>
  <si>
    <t>Seattle</t>
  </si>
  <si>
    <t>E008</t>
  </si>
  <si>
    <t>Ava</t>
  </si>
  <si>
    <t>Taylor</t>
  </si>
  <si>
    <t>Miami</t>
  </si>
  <si>
    <t>Total Pay</t>
  </si>
  <si>
    <t xml:space="preserve">Bonus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</si>
</sst>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8" formatCode="_-[$$-409]* #,##0.00_ ;_-[$$-409]* \-#,##0.00\ ;_-[$$-409]* &quot;-&quot;??_ ;_-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Times New Roman"/>
      <family val="1"/>
    </font>
    <font>
      <b/>
      <sz val="11"/>
      <color theme="1" tint="4.9989318521683403E-2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vertical="center" wrapText="1"/>
    </xf>
    <xf numFmtId="168" fontId="0" fillId="0" borderId="0" xfId="0" applyNumberFormat="1"/>
    <xf numFmtId="14" fontId="0" fillId="0" borderId="0" xfId="0" applyNumberFormat="1"/>
    <xf numFmtId="0" fontId="0" fillId="0" borderId="0" xfId="0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168" fontId="0" fillId="0" borderId="0" xfId="1" applyNumberFormat="1" applyFont="1"/>
    <xf numFmtId="14" fontId="0" fillId="0" borderId="0" xfId="0" applyNumberFormat="1" applyBorder="1" applyAlignment="1">
      <alignment vertical="center" wrapText="1"/>
    </xf>
    <xf numFmtId="168" fontId="0" fillId="0" borderId="0" xfId="1" applyNumberFormat="1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14" fontId="0" fillId="0" borderId="3" xfId="0" applyNumberFormat="1" applyBorder="1" applyAlignment="1">
      <alignment vertical="center" wrapText="1"/>
    </xf>
    <xf numFmtId="168" fontId="0" fillId="0" borderId="3" xfId="1" applyNumberFormat="1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68" fontId="0" fillId="0" borderId="1" xfId="1" applyNumberFormat="1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2" borderId="0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14" fontId="4" fillId="2" borderId="0" xfId="0" applyNumberFormat="1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168" fontId="4" fillId="2" borderId="0" xfId="1" applyNumberFormat="1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" borderId="0" xfId="0" applyFont="1" applyFill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168" fontId="0" fillId="0" borderId="0" xfId="0" applyNumberFormat="1" applyAlignment="1">
      <alignment vertical="center" wrapText="1"/>
    </xf>
    <xf numFmtId="0" fontId="5" fillId="0" borderId="0" xfId="0" applyFont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21">
    <dxf>
      <numFmt numFmtId="168" formatCode="_-[$$-409]* #,##0.00_ ;_-[$$-409]* \-#,##0.00\ ;_-[$$-409]* &quot;-&quot;??_ ;_-@_ "/>
    </dxf>
    <dxf>
      <numFmt numFmtId="168" formatCode="_-[$$-409]* #,##0.00_ ;_-[$$-409]* \-#,##0.00\ ;_-[$$-409]* &quot;-&quot;??_ ;_-@_ "/>
    </dxf>
    <dxf>
      <fill>
        <patternFill>
          <bgColor rgb="FF00B0F0"/>
        </patternFill>
      </fill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numFmt numFmtId="168" formatCode="_-[$$-409]* #,##0.00_ ;_-[$$-409]* \-#,##0.00\ ;_-[$$-409]* &quot;-&quot;??_ ;_-@_ 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FFFF"/>
        </patternFill>
      </fill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numFmt numFmtId="168" formatCode="_-[$$-409]* #,##0.00_ ;_-[$$-409]* \-#,##0.00\ ;_-[$$-409]* &quot;-&quot;??_ ;_-@_ 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1A241CF-0D24-4921-A1BE-D2062DBF0CEB}" name="Table6" displayName="Table6" ref="A1:J9" totalsRowShown="0" headerRowDxfId="6" dataDxfId="20" tableBorderDxfId="19">
  <tableColumns count="10">
    <tableColumn id="1" xr3:uid="{F96FD549-B323-4F14-98EA-1AFE6C063CE2}" name="Employee ID" dataDxfId="18"/>
    <tableColumn id="2" xr3:uid="{0FAF4785-FC23-498F-A248-F36AC477D408}" name="First Name" dataDxfId="17"/>
    <tableColumn id="3" xr3:uid="{8D801B54-B251-410E-96E7-C7B39DEB079E}" name="Last Name" dataDxfId="16"/>
    <tableColumn id="4" xr3:uid="{629FF471-F7CF-4ADF-933B-DC293399378E}" name="Department" dataDxfId="15"/>
    <tableColumn id="5" xr3:uid="{41A3043A-44DF-4EB1-8F31-3FB83009BA34}" name="Date of Joining" dataDxfId="14"/>
    <tableColumn id="6" xr3:uid="{B9414B56-B694-4ED5-B3AF-D85641AA720C}" name="Salary" dataDxfId="13" dataCellStyle="Currency"/>
    <tableColumn id="7" xr3:uid="{5F04DD7E-FAAB-464C-9F59-87B7C368A8D3}" name="Bonus %" dataDxfId="12"/>
    <tableColumn id="8" xr3:uid="{FD51603C-2CE7-4FC3-8472-DBC0848EF7C8}" name="City" dataDxfId="11"/>
    <tableColumn id="10" xr3:uid="{58D6E761-3990-4F55-BD93-877F2077CD04}" name="Total Pay" dataDxfId="4">
      <calculatedColumnFormula>Table6[[#This Row],[Salary]]+Table6[[#This Row],[Salary]]*Table6[[#This Row],[Bonus ]]</calculatedColumnFormula>
    </tableColumn>
    <tableColumn id="11" xr3:uid="{A355B530-0E1B-4314-B509-BBF28BF49F79}" name="Bonus " dataDxfId="5">
      <calculatedColumnFormula>Table6[[#This Row],[Bonus %]]/100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E90568-D52D-4870-B486-579405BB17EF}" name="Table10" displayName="Table10" ref="A1:J9" totalsRowShown="0" headerRowDxfId="3">
  <autoFilter ref="A1:J9" xr:uid="{7AE90568-D52D-4870-B486-579405BB17EF}"/>
  <sortState xmlns:xlrd2="http://schemas.microsoft.com/office/spreadsheetml/2017/richdata2" ref="A2:J9">
    <sortCondition ref="D1:D9"/>
  </sortState>
  <tableColumns count="10">
    <tableColumn id="1" xr3:uid="{85F4AF78-6349-4241-9A82-07CC2C464B90}" name="Employee ID"/>
    <tableColumn id="2" xr3:uid="{4E37F987-0424-4FAC-990B-32DB5BFAD3DE}" name="First Name"/>
    <tableColumn id="3" xr3:uid="{204E7C5D-E922-499B-8D58-94B8EF1AAB66}" name="Last Name"/>
    <tableColumn id="4" xr3:uid="{1D9BA4FC-D3A1-4793-B5BA-C5998589E8EC}" name="Department"/>
    <tableColumn id="5" xr3:uid="{318819EF-900D-4C20-A7FC-78E1111DFC85}" name="Date of Joining"/>
    <tableColumn id="6" xr3:uid="{A8F278A2-40E6-434C-A05A-34927E1D0BE3}" name="Salary" dataDxfId="1"/>
    <tableColumn id="7" xr3:uid="{BF511F4A-71AB-48D0-8060-9DDEC51C793A}" name="Bonus %"/>
    <tableColumn id="8" xr3:uid="{C5A45235-5151-4D01-B570-A5E61957ED4F}" name="City"/>
    <tableColumn id="9" xr3:uid="{E266A343-5AEF-4CEC-A47A-12DE5A07784B}" name="Total Pay" dataDxfId="0"/>
    <tableColumn id="10" xr3:uid="{ED7AD7DD-9F06-4F65-B8B6-0217DACD96FA}" name="Bonus 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DC405-BEED-45E8-9934-E232D3D4261E}">
  <dimension ref="A1:J9"/>
  <sheetViews>
    <sheetView workbookViewId="0">
      <selection sqref="A1:J9"/>
    </sheetView>
  </sheetViews>
  <sheetFormatPr defaultRowHeight="15.05" x14ac:dyDescent="0.3"/>
  <cols>
    <col min="1" max="2" width="17.21875" customWidth="1"/>
    <col min="3" max="4" width="14.77734375" customWidth="1"/>
    <col min="5" max="5" width="16.109375" style="3" customWidth="1"/>
    <col min="6" max="6" width="14.77734375" style="6" customWidth="1"/>
    <col min="7" max="7" width="19" customWidth="1"/>
    <col min="8" max="8" width="14.77734375" customWidth="1"/>
    <col min="9" max="9" width="11.88671875" customWidth="1"/>
  </cols>
  <sheetData>
    <row r="1" spans="1:10" s="5" customFormat="1" ht="80.8" customHeight="1" x14ac:dyDescent="0.3">
      <c r="A1" s="21" t="s">
        <v>0</v>
      </c>
      <c r="B1" s="21" t="s">
        <v>1</v>
      </c>
      <c r="C1" s="21" t="s">
        <v>2</v>
      </c>
      <c r="D1" s="21" t="s">
        <v>3</v>
      </c>
      <c r="E1" s="22" t="s">
        <v>4</v>
      </c>
      <c r="F1" s="23" t="s">
        <v>5</v>
      </c>
      <c r="G1" s="21" t="s">
        <v>6</v>
      </c>
      <c r="H1" s="21" t="s">
        <v>7</v>
      </c>
      <c r="I1" s="24" t="s">
        <v>43</v>
      </c>
      <c r="J1" s="24" t="s">
        <v>44</v>
      </c>
    </row>
    <row r="2" spans="1:10" x14ac:dyDescent="0.3">
      <c r="A2" s="9" t="s">
        <v>8</v>
      </c>
      <c r="B2" s="10" t="s">
        <v>9</v>
      </c>
      <c r="C2" s="10" t="s">
        <v>10</v>
      </c>
      <c r="D2" s="10" t="s">
        <v>11</v>
      </c>
      <c r="E2" s="11">
        <v>44208</v>
      </c>
      <c r="F2" s="12">
        <v>53000</v>
      </c>
      <c r="G2" s="10">
        <v>5</v>
      </c>
      <c r="H2" s="13" t="s">
        <v>12</v>
      </c>
      <c r="I2" s="25">
        <f>Table6[[#This Row],[Salary]]+Table6[[#This Row],[Salary]]*Table6[[#This Row],[Bonus ]]</f>
        <v>55650</v>
      </c>
      <c r="J2" s="1">
        <f>Table6[[#This Row],[Bonus %]]/100</f>
        <v>0.05</v>
      </c>
    </row>
    <row r="3" spans="1:10" x14ac:dyDescent="0.3">
      <c r="A3" s="14" t="s">
        <v>13</v>
      </c>
      <c r="B3" s="4" t="s">
        <v>14</v>
      </c>
      <c r="C3" s="4" t="s">
        <v>15</v>
      </c>
      <c r="D3" s="4" t="s">
        <v>16</v>
      </c>
      <c r="E3" s="7">
        <v>44623</v>
      </c>
      <c r="F3" s="8">
        <v>52000</v>
      </c>
      <c r="G3" s="4">
        <v>10</v>
      </c>
      <c r="H3" s="15" t="s">
        <v>17</v>
      </c>
      <c r="I3" s="25">
        <f>Table6[[#This Row],[Salary]]+Table6[[#This Row],[Salary]]*Table6[[#This Row],[Bonus ]]</f>
        <v>57200</v>
      </c>
      <c r="J3" s="1">
        <f>Table6[[#This Row],[Bonus %]]/100</f>
        <v>0.1</v>
      </c>
    </row>
    <row r="4" spans="1:10" x14ac:dyDescent="0.3">
      <c r="A4" s="14" t="s">
        <v>18</v>
      </c>
      <c r="B4" s="4" t="s">
        <v>19</v>
      </c>
      <c r="C4" s="4" t="s">
        <v>20</v>
      </c>
      <c r="D4" s="4" t="s">
        <v>21</v>
      </c>
      <c r="E4" s="7">
        <v>44156</v>
      </c>
      <c r="F4" s="8">
        <v>60000</v>
      </c>
      <c r="G4" s="4">
        <v>8</v>
      </c>
      <c r="H4" s="15" t="s">
        <v>22</v>
      </c>
      <c r="I4" s="25">
        <f>Table6[[#This Row],[Salary]]+Table6[[#This Row],[Salary]]*Table6[[#This Row],[Bonus ]]</f>
        <v>64800</v>
      </c>
      <c r="J4" s="1">
        <f>Table6[[#This Row],[Bonus %]]/100</f>
        <v>0.08</v>
      </c>
    </row>
    <row r="5" spans="1:10" x14ac:dyDescent="0.3">
      <c r="A5" s="14" t="s">
        <v>23</v>
      </c>
      <c r="B5" s="4" t="s">
        <v>24</v>
      </c>
      <c r="C5" s="4" t="s">
        <v>25</v>
      </c>
      <c r="D5" s="4" t="s">
        <v>26</v>
      </c>
      <c r="E5" s="7">
        <v>45156</v>
      </c>
      <c r="F5" s="8">
        <v>47000</v>
      </c>
      <c r="G5" s="4">
        <v>6</v>
      </c>
      <c r="H5" s="15" t="s">
        <v>27</v>
      </c>
      <c r="I5" s="25">
        <f>Table6[[#This Row],[Salary]]+Table6[[#This Row],[Salary]]*Table6[[#This Row],[Bonus ]]</f>
        <v>49820</v>
      </c>
      <c r="J5" s="1">
        <f>Table6[[#This Row],[Bonus %]]/100</f>
        <v>0.06</v>
      </c>
    </row>
    <row r="6" spans="1:10" x14ac:dyDescent="0.3">
      <c r="A6" s="14" t="s">
        <v>28</v>
      </c>
      <c r="B6" s="4" t="s">
        <v>29</v>
      </c>
      <c r="C6" s="4" t="s">
        <v>30</v>
      </c>
      <c r="D6" s="4" t="s">
        <v>21</v>
      </c>
      <c r="E6" s="7">
        <v>43506</v>
      </c>
      <c r="F6" s="8">
        <v>68000</v>
      </c>
      <c r="G6" s="4">
        <v>12</v>
      </c>
      <c r="H6" s="15" t="s">
        <v>31</v>
      </c>
      <c r="I6" s="25">
        <f>Table6[[#This Row],[Salary]]+Table6[[#This Row],[Salary]]*Table6[[#This Row],[Bonus ]]</f>
        <v>76160</v>
      </c>
      <c r="J6" s="1">
        <f>Table6[[#This Row],[Bonus %]]/100</f>
        <v>0.12</v>
      </c>
    </row>
    <row r="7" spans="1:10" x14ac:dyDescent="0.3">
      <c r="A7" s="14" t="s">
        <v>32</v>
      </c>
      <c r="B7" s="4" t="s">
        <v>33</v>
      </c>
      <c r="C7" s="4" t="s">
        <v>34</v>
      </c>
      <c r="D7" s="4" t="s">
        <v>11</v>
      </c>
      <c r="E7" s="7">
        <v>43958</v>
      </c>
      <c r="F7" s="8">
        <v>49000</v>
      </c>
      <c r="G7" s="4">
        <v>7</v>
      </c>
      <c r="H7" s="15" t="s">
        <v>12</v>
      </c>
      <c r="I7" s="25">
        <f>Table6[[#This Row],[Salary]]+Table6[[#This Row],[Salary]]*Table6[[#This Row],[Bonus ]]</f>
        <v>52430</v>
      </c>
      <c r="J7" s="1">
        <f>Table6[[#This Row],[Bonus %]]/100</f>
        <v>7.0000000000000007E-2</v>
      </c>
    </row>
    <row r="8" spans="1:10" x14ac:dyDescent="0.3">
      <c r="A8" s="14" t="s">
        <v>35</v>
      </c>
      <c r="B8" s="4" t="s">
        <v>36</v>
      </c>
      <c r="C8" s="4" t="s">
        <v>37</v>
      </c>
      <c r="D8" s="4" t="s">
        <v>16</v>
      </c>
      <c r="E8" s="7">
        <v>44464</v>
      </c>
      <c r="F8" s="8">
        <v>53000</v>
      </c>
      <c r="G8" s="4">
        <v>9</v>
      </c>
      <c r="H8" s="15" t="s">
        <v>38</v>
      </c>
      <c r="I8" s="25">
        <f>Table6[[#This Row],[Salary]]+Table6[[#This Row],[Salary]]*Table6[[#This Row],[Bonus ]]</f>
        <v>57770</v>
      </c>
      <c r="J8" s="1">
        <f>Table6[[#This Row],[Bonus %]]/100</f>
        <v>0.09</v>
      </c>
    </row>
    <row r="9" spans="1:10" x14ac:dyDescent="0.3">
      <c r="A9" s="16" t="s">
        <v>39</v>
      </c>
      <c r="B9" s="17" t="s">
        <v>40</v>
      </c>
      <c r="C9" s="17" t="s">
        <v>41</v>
      </c>
      <c r="D9" s="17" t="s">
        <v>26</v>
      </c>
      <c r="E9" s="18">
        <v>44757</v>
      </c>
      <c r="F9" s="19">
        <v>46000</v>
      </c>
      <c r="G9" s="17">
        <v>6</v>
      </c>
      <c r="H9" s="20" t="s">
        <v>42</v>
      </c>
      <c r="I9" s="25">
        <f>Table6[[#This Row],[Salary]]+Table6[[#This Row],[Salary]]*Table6[[#This Row],[Bonus ]]</f>
        <v>48760</v>
      </c>
      <c r="J9" s="1">
        <f>Table6[[#This Row],[Bonus %]]/100</f>
        <v>0.06</v>
      </c>
    </row>
  </sheetData>
  <phoneticPr fontId="2" type="noConversion"/>
  <conditionalFormatting sqref="D1:D1048576">
    <cfRule type="cellIs" dxfId="9" priority="3" operator="equal">
      <formula>$D$6</formula>
    </cfRule>
  </conditionalFormatting>
  <conditionalFormatting sqref="F2:F9">
    <cfRule type="cellIs" dxfId="8" priority="2" operator="greaterThan">
      <formula>55000</formula>
    </cfRule>
  </conditionalFormatting>
  <conditionalFormatting sqref="H1:H1048576">
    <cfRule type="cellIs" dxfId="7" priority="1" operator="equal">
      <formula>$H$2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A3DC5BE2-CD73-49C8-B18C-4FEDAB89D483}">
            <xm:f>NOT(ISERROR(SEARCH(#REF!,D10)))</xm:f>
            <xm:f>#REF!</xm:f>
            <x14:dxf>
              <fill>
                <patternFill>
                  <bgColor rgb="FF00FFFF"/>
                </patternFill>
              </fill>
            </x14:dxf>
          </x14:cfRule>
          <xm:sqref>D10:D1048576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F6EB-E1A6-4ED2-86CE-6EA7F20B7320}">
  <dimension ref="A1:J9"/>
  <sheetViews>
    <sheetView tabSelected="1" workbookViewId="0">
      <selection activeCell="I1" sqref="I1:I1048576"/>
    </sheetView>
  </sheetViews>
  <sheetFormatPr defaultRowHeight="15.05" x14ac:dyDescent="0.3"/>
  <cols>
    <col min="1" max="1" width="19.5546875" customWidth="1"/>
    <col min="2" max="2" width="18.44140625" customWidth="1"/>
    <col min="3" max="3" width="14" customWidth="1"/>
    <col min="4" max="4" width="18.6640625" customWidth="1"/>
    <col min="5" max="5" width="18.88671875" customWidth="1"/>
    <col min="6" max="6" width="14.109375" style="2" customWidth="1"/>
    <col min="7" max="7" width="15.21875" customWidth="1"/>
    <col min="8" max="8" width="16.5546875" customWidth="1"/>
    <col min="9" max="9" width="14.21875" style="2" customWidth="1"/>
    <col min="10" max="10" width="15.109375" customWidth="1"/>
  </cols>
  <sheetData>
    <row r="1" spans="1:10" s="26" customFormat="1" ht="53.25" customHeight="1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7" t="s">
        <v>5</v>
      </c>
      <c r="G1" s="26" t="s">
        <v>6</v>
      </c>
      <c r="H1" s="26" t="s">
        <v>7</v>
      </c>
      <c r="I1" s="27" t="s">
        <v>43</v>
      </c>
      <c r="J1" s="26" t="s">
        <v>44</v>
      </c>
    </row>
    <row r="2" spans="1:10" ht="17.100000000000001" customHeight="1" x14ac:dyDescent="0.3">
      <c r="A2" t="s">
        <v>13</v>
      </c>
      <c r="B2" t="s">
        <v>14</v>
      </c>
      <c r="C2" t="s">
        <v>15</v>
      </c>
      <c r="D2" t="s">
        <v>16</v>
      </c>
      <c r="E2">
        <v>44623</v>
      </c>
      <c r="F2" s="2">
        <v>52000</v>
      </c>
      <c r="G2">
        <v>10</v>
      </c>
      <c r="H2" t="s">
        <v>17</v>
      </c>
      <c r="I2" s="2">
        <v>57200</v>
      </c>
      <c r="J2">
        <v>0.1</v>
      </c>
    </row>
    <row r="3" spans="1:10" x14ac:dyDescent="0.3">
      <c r="A3" t="s">
        <v>35</v>
      </c>
      <c r="B3" t="s">
        <v>36</v>
      </c>
      <c r="C3" t="s">
        <v>37</v>
      </c>
      <c r="D3" t="s">
        <v>16</v>
      </c>
      <c r="E3">
        <v>44464</v>
      </c>
      <c r="F3" s="2">
        <v>53000</v>
      </c>
      <c r="G3">
        <v>9</v>
      </c>
      <c r="H3" t="s">
        <v>38</v>
      </c>
      <c r="I3" s="2">
        <v>57770</v>
      </c>
      <c r="J3">
        <v>0.09</v>
      </c>
    </row>
    <row r="4" spans="1:10" x14ac:dyDescent="0.3">
      <c r="A4" t="s">
        <v>8</v>
      </c>
      <c r="B4" t="s">
        <v>9</v>
      </c>
      <c r="C4" t="s">
        <v>10</v>
      </c>
      <c r="D4" t="s">
        <v>11</v>
      </c>
      <c r="E4">
        <v>44208</v>
      </c>
      <c r="F4" s="2">
        <v>53000</v>
      </c>
      <c r="G4">
        <v>5</v>
      </c>
      <c r="H4" t="s">
        <v>12</v>
      </c>
      <c r="I4" s="2">
        <v>55650</v>
      </c>
      <c r="J4">
        <v>0.05</v>
      </c>
    </row>
    <row r="5" spans="1:10" x14ac:dyDescent="0.3">
      <c r="A5" t="s">
        <v>32</v>
      </c>
      <c r="B5" t="s">
        <v>33</v>
      </c>
      <c r="C5" t="s">
        <v>34</v>
      </c>
      <c r="D5" t="s">
        <v>11</v>
      </c>
      <c r="E5">
        <v>43958</v>
      </c>
      <c r="F5" s="2">
        <v>49000</v>
      </c>
      <c r="G5">
        <v>7</v>
      </c>
      <c r="H5" t="s">
        <v>12</v>
      </c>
      <c r="I5" s="2">
        <v>52430</v>
      </c>
      <c r="J5">
        <v>7.0000000000000007E-2</v>
      </c>
    </row>
    <row r="6" spans="1:10" x14ac:dyDescent="0.3">
      <c r="A6" t="s">
        <v>18</v>
      </c>
      <c r="B6" t="s">
        <v>19</v>
      </c>
      <c r="C6" t="s">
        <v>20</v>
      </c>
      <c r="D6" t="s">
        <v>21</v>
      </c>
      <c r="E6">
        <v>44156</v>
      </c>
      <c r="F6" s="2">
        <v>60000</v>
      </c>
      <c r="G6">
        <v>8</v>
      </c>
      <c r="H6" t="s">
        <v>22</v>
      </c>
      <c r="I6" s="2">
        <v>64800</v>
      </c>
      <c r="J6">
        <v>0.08</v>
      </c>
    </row>
    <row r="7" spans="1:10" x14ac:dyDescent="0.3">
      <c r="A7" t="s">
        <v>28</v>
      </c>
      <c r="B7" t="s">
        <v>29</v>
      </c>
      <c r="C7" t="s">
        <v>30</v>
      </c>
      <c r="D7" t="s">
        <v>21</v>
      </c>
      <c r="E7">
        <v>43506</v>
      </c>
      <c r="F7" s="2">
        <v>68000</v>
      </c>
      <c r="G7">
        <v>12</v>
      </c>
      <c r="H7" t="s">
        <v>31</v>
      </c>
      <c r="I7" s="2">
        <v>76160</v>
      </c>
      <c r="J7">
        <v>0.12</v>
      </c>
    </row>
    <row r="8" spans="1:10" x14ac:dyDescent="0.3">
      <c r="A8" t="s">
        <v>23</v>
      </c>
      <c r="B8" t="s">
        <v>24</v>
      </c>
      <c r="C8" t="s">
        <v>25</v>
      </c>
      <c r="D8" t="s">
        <v>26</v>
      </c>
      <c r="E8">
        <v>45156</v>
      </c>
      <c r="F8" s="2">
        <v>47000</v>
      </c>
      <c r="G8">
        <v>6</v>
      </c>
      <c r="H8" t="s">
        <v>27</v>
      </c>
      <c r="I8" s="2">
        <v>49820</v>
      </c>
      <c r="J8">
        <v>0.06</v>
      </c>
    </row>
    <row r="9" spans="1:10" x14ac:dyDescent="0.3">
      <c r="A9" t="s">
        <v>39</v>
      </c>
      <c r="B9" t="s">
        <v>40</v>
      </c>
      <c r="C9" t="s">
        <v>41</v>
      </c>
      <c r="D9" t="s">
        <v>26</v>
      </c>
      <c r="E9">
        <v>44757</v>
      </c>
      <c r="F9" s="2">
        <v>46000</v>
      </c>
      <c r="G9">
        <v>6</v>
      </c>
      <c r="H9" t="s">
        <v>42</v>
      </c>
      <c r="I9" s="2">
        <v>48760</v>
      </c>
      <c r="J9">
        <v>0.06</v>
      </c>
    </row>
  </sheetData>
  <sheetProtection algorithmName="SHA-512" hashValue="BiUBDBGRllxUucYY0Z22JQ+Bu0BOb4+03E6B1OF4LGD4ubxrFVfCOICM3ENYLg+EJ6kRfBy8wJu9g+KdiCW/Sg==" saltValue="My05Gq5UzvwQoAwUTSjZGA==" spinCount="100000" sheet="1" objects="1" scenarios="1"/>
  <conditionalFormatting sqref="D1:D1048576">
    <cfRule type="cellIs" dxfId="2" priority="1" operator="equal">
      <formula>$D$7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Unformatted</vt:lpstr>
      <vt:lpstr>Employee_Data Password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 Khanolkar</dc:creator>
  <cp:lastModifiedBy>Namrata Khanolkar</cp:lastModifiedBy>
  <dcterms:created xsi:type="dcterms:W3CDTF">2025-11-02T16:01:57Z</dcterms:created>
  <dcterms:modified xsi:type="dcterms:W3CDTF">2025-11-03T12:40:06Z</dcterms:modified>
</cp:coreProperties>
</file>