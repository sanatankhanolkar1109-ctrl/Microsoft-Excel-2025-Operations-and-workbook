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slicers/slicer1.xml" ContentType="application/vnd.ms-excel.slicer+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khano\OneDrive\Desktop\Microsoft Excel 2025\Excel Workbooks\"/>
    </mc:Choice>
  </mc:AlternateContent>
  <xr:revisionPtr revIDLastSave="0" documentId="13_ncr:1_{88254A1B-B183-4763-9DEF-C34EF790E2B8}" xr6:coauthVersionLast="47" xr6:coauthVersionMax="47" xr10:uidLastSave="{00000000-0000-0000-0000-000000000000}"/>
  <bookViews>
    <workbookView xWindow="-113" yWindow="-113" windowWidth="24267" windowHeight="13023" firstSheet="1" activeTab="6" xr2:uid="{E3274910-9AE3-41AF-B0E9-F3F1BD49F422}"/>
  </bookViews>
  <sheets>
    <sheet name="Real Time Finance data" sheetId="1" r:id="rId1"/>
    <sheet name="Text data" sheetId="2" r:id="rId2"/>
    <sheet name="Date Data" sheetId="3" r:id="rId3"/>
    <sheet name="Logical Data" sheetId="4" r:id="rId4"/>
    <sheet name="Statistical functions" sheetId="5" r:id="rId5"/>
    <sheet name="Name Range" sheetId="6" r:id="rId6"/>
    <sheet name="Cell Referencing" sheetId="8" r:id="rId7"/>
  </sheets>
  <definedNames>
    <definedName name="Credit">Table136[Payment
 Mode]</definedName>
    <definedName name="Date_Range">Table13[End of Transaction Month]</definedName>
    <definedName name="Department_Categories">Table1365[Department]</definedName>
    <definedName name="Department_Range">Table1367[Department]</definedName>
    <definedName name="Employee">Table1367[Employee
 Name]</definedName>
    <definedName name="Names">Table13[Employee
 Name]</definedName>
    <definedName name="Payment">Table1367[Payment
 Mode]</definedName>
    <definedName name="Range">Table13[Transaction Id]</definedName>
    <definedName name="Sales">Table136[Sales]</definedName>
    <definedName name="Sales_Range">Table136[Department]</definedName>
    <definedName name="Sales_Target">'Name Range'!$Q$4:$Q$23</definedName>
    <definedName name="Sales_Value">Table136[Sales]</definedName>
    <definedName name="Slicer_Product">#N/A</definedName>
    <definedName name="Slicer_Region">#N/A</definedName>
    <definedName name="Target_Values">'Name Range'!$K$2:$K$19</definedName>
    <definedName name="Total_Date_dif">Table13[DAYS 
(Date diff in days)]</definedName>
  </definedNames>
  <calcPr calcId="191029"/>
  <pivotCaches>
    <pivotCache cacheId="14"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6" i="8" l="1"/>
  <c r="N11" i="8"/>
  <c r="N12" i="8"/>
  <c r="N13" i="8"/>
  <c r="N14" i="8"/>
  <c r="N15" i="8"/>
  <c r="N18" i="8"/>
  <c r="N19" i="8"/>
  <c r="N20" i="8"/>
  <c r="N21" i="8"/>
  <c r="N10" i="8"/>
  <c r="N7" i="8"/>
  <c r="N5" i="8"/>
  <c r="N6" i="8"/>
  <c r="N4" i="8"/>
  <c r="N8" i="8"/>
  <c r="N9" i="8"/>
  <c r="N2" i="8"/>
  <c r="N3" i="8"/>
  <c r="L6" i="8"/>
  <c r="L4" i="8"/>
  <c r="L3" i="8"/>
  <c r="L2" i="8"/>
  <c r="M3" i="8"/>
  <c r="M2" i="8"/>
  <c r="M4" i="8"/>
  <c r="M5" i="8"/>
  <c r="M6" i="8"/>
  <c r="M7" i="8"/>
  <c r="M8" i="8"/>
  <c r="M9" i="8"/>
  <c r="M10" i="8"/>
  <c r="M11" i="8"/>
  <c r="M12" i="8"/>
  <c r="M13" i="8"/>
  <c r="M14" i="8"/>
  <c r="M15" i="8"/>
  <c r="M16" i="8"/>
  <c r="M17" i="8"/>
  <c r="M18" i="8"/>
  <c r="M19" i="8"/>
  <c r="M20" i="8"/>
  <c r="M21" i="8"/>
  <c r="L5" i="8"/>
  <c r="L7" i="8"/>
  <c r="L8" i="8"/>
  <c r="L9" i="8"/>
  <c r="L10" i="8"/>
  <c r="L11" i="8"/>
  <c r="L12" i="8"/>
  <c r="L13" i="8"/>
  <c r="L14" i="8"/>
  <c r="L15" i="8"/>
  <c r="L16" i="8"/>
  <c r="L17" i="8"/>
  <c r="L18" i="8"/>
  <c r="L19" i="8"/>
  <c r="L20" i="8"/>
  <c r="L21" i="8"/>
  <c r="K2" i="8"/>
  <c r="K3" i="8"/>
  <c r="K4" i="8"/>
  <c r="K5" i="8"/>
  <c r="K6" i="8"/>
  <c r="K7" i="8"/>
  <c r="K8" i="8"/>
  <c r="K9" i="8"/>
  <c r="K10" i="8"/>
  <c r="K11" i="8"/>
  <c r="K12" i="8"/>
  <c r="K13" i="8"/>
  <c r="K14" i="8"/>
  <c r="K15" i="8"/>
  <c r="K16" i="8"/>
  <c r="K17" i="8"/>
  <c r="K18" i="8"/>
  <c r="K19" i="8"/>
  <c r="K20" i="8"/>
  <c r="K21" i="8"/>
  <c r="N7" i="6" a="1"/>
  <c r="N7" i="6" s="1"/>
  <c r="S5" i="6"/>
  <c r="Q5" i="6" a="1"/>
  <c r="Q5" i="6" s="1"/>
  <c r="P10" i="5"/>
  <c r="Z4" i="3" a="1"/>
  <c r="Z4" i="3" s="1"/>
  <c r="F480" i="3"/>
  <c r="E480" i="3"/>
  <c r="D480" i="3"/>
  <c r="I480" i="3" s="1"/>
  <c r="F479" i="3"/>
  <c r="E479" i="3"/>
  <c r="D479" i="3"/>
  <c r="H479" i="3" s="1"/>
  <c r="F478" i="3"/>
  <c r="E478" i="3"/>
  <c r="D478" i="3"/>
  <c r="I478" i="3" s="1"/>
  <c r="F477" i="3"/>
  <c r="E477" i="3"/>
  <c r="D477" i="3"/>
  <c r="H477" i="3" s="1"/>
  <c r="F476" i="3"/>
  <c r="E476" i="3"/>
  <c r="D476" i="3"/>
  <c r="I476" i="3" s="1"/>
  <c r="F475" i="3"/>
  <c r="E475" i="3"/>
  <c r="D475" i="3"/>
  <c r="H475" i="3" s="1"/>
  <c r="F474" i="3"/>
  <c r="E474" i="3"/>
  <c r="D474" i="3"/>
  <c r="I474" i="3" s="1"/>
  <c r="F473" i="3"/>
  <c r="E473" i="3"/>
  <c r="D473" i="3"/>
  <c r="F472" i="3"/>
  <c r="E472" i="3"/>
  <c r="D472" i="3"/>
  <c r="I472" i="3" s="1"/>
  <c r="F471" i="3"/>
  <c r="E471" i="3"/>
  <c r="D471" i="3"/>
  <c r="H471" i="3" s="1"/>
  <c r="F470" i="3"/>
  <c r="E470" i="3"/>
  <c r="D470" i="3"/>
  <c r="I470" i="3" s="1"/>
  <c r="F469" i="3"/>
  <c r="E469" i="3"/>
  <c r="D469" i="3"/>
  <c r="H469" i="3" s="1"/>
  <c r="F468" i="3"/>
  <c r="E468" i="3"/>
  <c r="D468" i="3"/>
  <c r="I468" i="3" s="1"/>
  <c r="F467" i="3"/>
  <c r="E467" i="3"/>
  <c r="D467" i="3"/>
  <c r="H467" i="3" s="1"/>
  <c r="F466" i="3"/>
  <c r="E466" i="3"/>
  <c r="D466" i="3"/>
  <c r="I466" i="3" s="1"/>
  <c r="F465" i="3"/>
  <c r="E465" i="3"/>
  <c r="D465" i="3"/>
  <c r="F464" i="3"/>
  <c r="E464" i="3"/>
  <c r="D464" i="3"/>
  <c r="I464" i="3" s="1"/>
  <c r="F463" i="3"/>
  <c r="E463" i="3"/>
  <c r="D463" i="3"/>
  <c r="H463" i="3" s="1"/>
  <c r="F462" i="3"/>
  <c r="E462" i="3"/>
  <c r="D462" i="3"/>
  <c r="I462" i="3" s="1"/>
  <c r="F461" i="3"/>
  <c r="E461" i="3"/>
  <c r="D461" i="3"/>
  <c r="H461" i="3" s="1"/>
  <c r="F460" i="3"/>
  <c r="E460" i="3"/>
  <c r="D460" i="3"/>
  <c r="I460" i="3" s="1"/>
  <c r="F459" i="3"/>
  <c r="E459" i="3"/>
  <c r="D459" i="3"/>
  <c r="H459" i="3" s="1"/>
  <c r="F458" i="3"/>
  <c r="E458" i="3"/>
  <c r="D458" i="3"/>
  <c r="I458" i="3" s="1"/>
  <c r="F457" i="3"/>
  <c r="E457" i="3"/>
  <c r="D457" i="3"/>
  <c r="F456" i="3"/>
  <c r="E456" i="3"/>
  <c r="D456" i="3"/>
  <c r="I456" i="3" s="1"/>
  <c r="F455" i="3"/>
  <c r="E455" i="3"/>
  <c r="D455" i="3"/>
  <c r="H455" i="3" s="1"/>
  <c r="F454" i="3"/>
  <c r="E454" i="3"/>
  <c r="D454" i="3"/>
  <c r="I454" i="3" s="1"/>
  <c r="F453" i="3"/>
  <c r="E453" i="3"/>
  <c r="D453" i="3"/>
  <c r="H453" i="3" s="1"/>
  <c r="F452" i="3"/>
  <c r="E452" i="3"/>
  <c r="D452" i="3"/>
  <c r="I452" i="3" s="1"/>
  <c r="F451" i="3"/>
  <c r="E451" i="3"/>
  <c r="D451" i="3"/>
  <c r="H451" i="3" s="1"/>
  <c r="F450" i="3"/>
  <c r="E450" i="3"/>
  <c r="D450" i="3"/>
  <c r="I450" i="3" s="1"/>
  <c r="F449" i="3"/>
  <c r="E449" i="3"/>
  <c r="D449" i="3"/>
  <c r="F448" i="3"/>
  <c r="E448" i="3"/>
  <c r="D448" i="3"/>
  <c r="I448" i="3" s="1"/>
  <c r="F447" i="3"/>
  <c r="E447" i="3"/>
  <c r="D447" i="3"/>
  <c r="H447" i="3" s="1"/>
  <c r="F446" i="3"/>
  <c r="E446" i="3"/>
  <c r="D446" i="3"/>
  <c r="I446" i="3" s="1"/>
  <c r="F445" i="3"/>
  <c r="E445" i="3"/>
  <c r="D445" i="3"/>
  <c r="H445" i="3" s="1"/>
  <c r="F444" i="3"/>
  <c r="E444" i="3"/>
  <c r="D444" i="3"/>
  <c r="I444" i="3" s="1"/>
  <c r="F443" i="3"/>
  <c r="E443" i="3"/>
  <c r="D443" i="3"/>
  <c r="H443" i="3" s="1"/>
  <c r="F442" i="3"/>
  <c r="E442" i="3"/>
  <c r="D442" i="3"/>
  <c r="I442" i="3" s="1"/>
  <c r="F441" i="3"/>
  <c r="E441" i="3"/>
  <c r="D441" i="3"/>
  <c r="F440" i="3"/>
  <c r="E440" i="3"/>
  <c r="D440" i="3"/>
  <c r="I440" i="3" s="1"/>
  <c r="F439" i="3"/>
  <c r="E439" i="3"/>
  <c r="D439" i="3"/>
  <c r="H439" i="3" s="1"/>
  <c r="F438" i="3"/>
  <c r="E438" i="3"/>
  <c r="D438" i="3"/>
  <c r="I438" i="3" s="1"/>
  <c r="F437" i="3"/>
  <c r="E437" i="3"/>
  <c r="D437" i="3"/>
  <c r="H437" i="3" s="1"/>
  <c r="F436" i="3"/>
  <c r="E436" i="3"/>
  <c r="D436" i="3"/>
  <c r="I436" i="3" s="1"/>
  <c r="F435" i="3"/>
  <c r="E435" i="3"/>
  <c r="D435" i="3"/>
  <c r="H435" i="3" s="1"/>
  <c r="F434" i="3"/>
  <c r="E434" i="3"/>
  <c r="D434" i="3"/>
  <c r="F433" i="3"/>
  <c r="E433" i="3"/>
  <c r="D433" i="3"/>
  <c r="F432" i="3"/>
  <c r="E432" i="3"/>
  <c r="D432" i="3"/>
  <c r="F431" i="3"/>
  <c r="E431" i="3"/>
  <c r="D431" i="3"/>
  <c r="F430" i="3"/>
  <c r="E430" i="3"/>
  <c r="D430" i="3"/>
  <c r="F429" i="3"/>
  <c r="E429" i="3"/>
  <c r="D429" i="3"/>
  <c r="F428" i="3"/>
  <c r="E428" i="3"/>
  <c r="D428" i="3"/>
  <c r="F427" i="3"/>
  <c r="E427" i="3"/>
  <c r="D427" i="3"/>
  <c r="F426" i="3"/>
  <c r="E426" i="3"/>
  <c r="D426" i="3"/>
  <c r="F425" i="3"/>
  <c r="E425" i="3"/>
  <c r="D425" i="3"/>
  <c r="F424" i="3"/>
  <c r="E424" i="3"/>
  <c r="D424" i="3"/>
  <c r="F423" i="3"/>
  <c r="E423" i="3"/>
  <c r="D423" i="3"/>
  <c r="F422" i="3"/>
  <c r="E422" i="3"/>
  <c r="D422" i="3"/>
  <c r="F421" i="3"/>
  <c r="E421" i="3"/>
  <c r="D421" i="3"/>
  <c r="F420" i="3"/>
  <c r="E420" i="3"/>
  <c r="D420" i="3"/>
  <c r="F419" i="3"/>
  <c r="E419" i="3"/>
  <c r="D419" i="3"/>
  <c r="F418" i="3"/>
  <c r="E418" i="3"/>
  <c r="D418" i="3"/>
  <c r="F417" i="3"/>
  <c r="E417" i="3"/>
  <c r="D417" i="3"/>
  <c r="F416" i="3"/>
  <c r="E416" i="3"/>
  <c r="D416" i="3"/>
  <c r="F415" i="3"/>
  <c r="E415" i="3"/>
  <c r="D415" i="3"/>
  <c r="F414" i="3"/>
  <c r="E414" i="3"/>
  <c r="D414" i="3"/>
  <c r="F413" i="3"/>
  <c r="E413" i="3"/>
  <c r="D413" i="3"/>
  <c r="F412" i="3"/>
  <c r="E412" i="3"/>
  <c r="D412" i="3"/>
  <c r="F411" i="3"/>
  <c r="E411" i="3"/>
  <c r="D411" i="3"/>
  <c r="F410" i="3"/>
  <c r="E410" i="3"/>
  <c r="D410" i="3"/>
  <c r="F409" i="3"/>
  <c r="E409" i="3"/>
  <c r="D409" i="3"/>
  <c r="F408" i="3"/>
  <c r="E408" i="3"/>
  <c r="D408" i="3"/>
  <c r="F407" i="3"/>
  <c r="E407" i="3"/>
  <c r="D407" i="3"/>
  <c r="F406" i="3"/>
  <c r="E406" i="3"/>
  <c r="D406" i="3"/>
  <c r="F405" i="3"/>
  <c r="E405" i="3"/>
  <c r="D405" i="3"/>
  <c r="F404" i="3"/>
  <c r="E404" i="3"/>
  <c r="D404" i="3"/>
  <c r="F403" i="3"/>
  <c r="E403" i="3"/>
  <c r="D403" i="3"/>
  <c r="F402" i="3"/>
  <c r="E402" i="3"/>
  <c r="D402" i="3"/>
  <c r="F401" i="3"/>
  <c r="E401" i="3"/>
  <c r="D401" i="3"/>
  <c r="F400" i="3"/>
  <c r="E400" i="3"/>
  <c r="D400" i="3"/>
  <c r="F399" i="3"/>
  <c r="E399" i="3"/>
  <c r="D399" i="3"/>
  <c r="F398" i="3"/>
  <c r="E398" i="3"/>
  <c r="D398" i="3"/>
  <c r="F397" i="3"/>
  <c r="E397" i="3"/>
  <c r="D397" i="3"/>
  <c r="F396" i="3"/>
  <c r="E396" i="3"/>
  <c r="D396" i="3"/>
  <c r="F395" i="3"/>
  <c r="E395" i="3"/>
  <c r="D395" i="3"/>
  <c r="I395" i="3" s="1"/>
  <c r="F394" i="3"/>
  <c r="E394" i="3"/>
  <c r="D394" i="3"/>
  <c r="H394" i="3" s="1"/>
  <c r="F393" i="3"/>
  <c r="E393" i="3"/>
  <c r="D393" i="3"/>
  <c r="I393" i="3" s="1"/>
  <c r="F392" i="3"/>
  <c r="E392" i="3"/>
  <c r="D392" i="3"/>
  <c r="H392" i="3" s="1"/>
  <c r="F391" i="3"/>
  <c r="E391" i="3"/>
  <c r="D391" i="3"/>
  <c r="I391" i="3" s="1"/>
  <c r="F390" i="3"/>
  <c r="E390" i="3"/>
  <c r="D390" i="3"/>
  <c r="H390" i="3" s="1"/>
  <c r="F389" i="3"/>
  <c r="E389" i="3"/>
  <c r="D389" i="3"/>
  <c r="I389" i="3" s="1"/>
  <c r="F388" i="3"/>
  <c r="E388" i="3"/>
  <c r="D388" i="3"/>
  <c r="F387" i="3"/>
  <c r="E387" i="3"/>
  <c r="D387" i="3"/>
  <c r="I387" i="3" s="1"/>
  <c r="F386" i="3"/>
  <c r="E386" i="3"/>
  <c r="D386" i="3"/>
  <c r="H386" i="3" s="1"/>
  <c r="F385" i="3"/>
  <c r="E385" i="3"/>
  <c r="D385" i="3"/>
  <c r="I385" i="3" s="1"/>
  <c r="F384" i="3"/>
  <c r="E384" i="3"/>
  <c r="D384" i="3"/>
  <c r="H384" i="3" s="1"/>
  <c r="F383" i="3"/>
  <c r="E383" i="3"/>
  <c r="D383" i="3"/>
  <c r="I383" i="3" s="1"/>
  <c r="F382" i="3"/>
  <c r="E382" i="3"/>
  <c r="D382" i="3"/>
  <c r="H382" i="3" s="1"/>
  <c r="F381" i="3"/>
  <c r="E381" i="3"/>
  <c r="D381" i="3"/>
  <c r="I381" i="3" s="1"/>
  <c r="F380" i="3"/>
  <c r="E380" i="3"/>
  <c r="D380" i="3"/>
  <c r="F379" i="3"/>
  <c r="E379" i="3"/>
  <c r="D379" i="3"/>
  <c r="F378" i="3"/>
  <c r="E378" i="3"/>
  <c r="D378" i="3"/>
  <c r="F377" i="3"/>
  <c r="E377" i="3"/>
  <c r="D377" i="3"/>
  <c r="F376" i="3"/>
  <c r="E376" i="3"/>
  <c r="D376" i="3"/>
  <c r="F375" i="3"/>
  <c r="E375" i="3"/>
  <c r="D375" i="3"/>
  <c r="F374" i="3"/>
  <c r="E374" i="3"/>
  <c r="D374" i="3"/>
  <c r="F373" i="3"/>
  <c r="E373" i="3"/>
  <c r="D373" i="3"/>
  <c r="F372" i="3"/>
  <c r="E372" i="3"/>
  <c r="D372" i="3"/>
  <c r="F371" i="3"/>
  <c r="E371" i="3"/>
  <c r="D371" i="3"/>
  <c r="F370" i="3"/>
  <c r="E370" i="3"/>
  <c r="D370" i="3"/>
  <c r="F369" i="3"/>
  <c r="E369" i="3"/>
  <c r="D369" i="3"/>
  <c r="F368" i="3"/>
  <c r="E368" i="3"/>
  <c r="D368" i="3"/>
  <c r="F367" i="3"/>
  <c r="E367" i="3"/>
  <c r="D367" i="3"/>
  <c r="F366" i="3"/>
  <c r="E366" i="3"/>
  <c r="D366" i="3"/>
  <c r="F365" i="3"/>
  <c r="E365" i="3"/>
  <c r="D365" i="3"/>
  <c r="F364" i="3"/>
  <c r="E364" i="3"/>
  <c r="D364" i="3"/>
  <c r="F363" i="3"/>
  <c r="E363" i="3"/>
  <c r="D363" i="3"/>
  <c r="F362" i="3"/>
  <c r="E362" i="3"/>
  <c r="D362" i="3"/>
  <c r="F361" i="3"/>
  <c r="E361" i="3"/>
  <c r="D361" i="3"/>
  <c r="F360" i="3"/>
  <c r="E360" i="3"/>
  <c r="D360" i="3"/>
  <c r="I360" i="3" s="1"/>
  <c r="F359" i="3"/>
  <c r="E359" i="3"/>
  <c r="D359" i="3"/>
  <c r="G359" i="3" s="1"/>
  <c r="F358" i="3"/>
  <c r="E358" i="3"/>
  <c r="D358" i="3"/>
  <c r="I358" i="3" s="1"/>
  <c r="F357" i="3"/>
  <c r="E357" i="3"/>
  <c r="D357" i="3"/>
  <c r="G357" i="3" s="1"/>
  <c r="F356" i="3"/>
  <c r="E356" i="3"/>
  <c r="D356" i="3"/>
  <c r="I356" i="3" s="1"/>
  <c r="F355" i="3"/>
  <c r="E355" i="3"/>
  <c r="D355" i="3"/>
  <c r="G355" i="3" s="1"/>
  <c r="F354" i="3"/>
  <c r="E354" i="3"/>
  <c r="D354" i="3"/>
  <c r="I354" i="3" s="1"/>
  <c r="F353" i="3"/>
  <c r="E353" i="3"/>
  <c r="D353" i="3"/>
  <c r="G353" i="3" s="1"/>
  <c r="F352" i="3"/>
  <c r="E352" i="3"/>
  <c r="D352" i="3"/>
  <c r="I352" i="3" s="1"/>
  <c r="F351" i="3"/>
  <c r="E351" i="3"/>
  <c r="D351" i="3"/>
  <c r="G351" i="3" s="1"/>
  <c r="F350" i="3"/>
  <c r="E350" i="3"/>
  <c r="D350" i="3"/>
  <c r="I350" i="3" s="1"/>
  <c r="F349" i="3"/>
  <c r="E349" i="3"/>
  <c r="D349" i="3"/>
  <c r="G349" i="3" s="1"/>
  <c r="F348" i="3"/>
  <c r="E348" i="3"/>
  <c r="D348" i="3"/>
  <c r="I348" i="3" s="1"/>
  <c r="F347" i="3"/>
  <c r="E347" i="3"/>
  <c r="D347" i="3"/>
  <c r="G347" i="3" s="1"/>
  <c r="F346" i="3"/>
  <c r="E346" i="3"/>
  <c r="D346" i="3"/>
  <c r="I346" i="3" s="1"/>
  <c r="F345" i="3"/>
  <c r="E345" i="3"/>
  <c r="D345" i="3"/>
  <c r="G345" i="3" s="1"/>
  <c r="F344" i="3"/>
  <c r="E344" i="3"/>
  <c r="D344" i="3"/>
  <c r="I344" i="3" s="1"/>
  <c r="F343" i="3"/>
  <c r="E343" i="3"/>
  <c r="D343" i="3"/>
  <c r="G343" i="3" s="1"/>
  <c r="F342" i="3"/>
  <c r="E342" i="3"/>
  <c r="D342" i="3"/>
  <c r="I342" i="3" s="1"/>
  <c r="F341" i="3"/>
  <c r="E341" i="3"/>
  <c r="D341" i="3"/>
  <c r="G341" i="3" s="1"/>
  <c r="F340" i="3"/>
  <c r="E340" i="3"/>
  <c r="D340" i="3"/>
  <c r="I340" i="3" s="1"/>
  <c r="F339" i="3"/>
  <c r="E339" i="3"/>
  <c r="D339" i="3"/>
  <c r="G339" i="3" s="1"/>
  <c r="F338" i="3"/>
  <c r="E338" i="3"/>
  <c r="D338" i="3"/>
  <c r="I338" i="3" s="1"/>
  <c r="F337" i="3"/>
  <c r="E337" i="3"/>
  <c r="D337" i="3"/>
  <c r="G337" i="3" s="1"/>
  <c r="F336" i="3"/>
  <c r="E336" i="3"/>
  <c r="D336" i="3"/>
  <c r="I336" i="3" s="1"/>
  <c r="F335" i="3"/>
  <c r="E335" i="3"/>
  <c r="D335" i="3"/>
  <c r="G335" i="3" s="1"/>
  <c r="F334" i="3"/>
  <c r="E334" i="3"/>
  <c r="D334" i="3"/>
  <c r="I334" i="3" s="1"/>
  <c r="F333" i="3"/>
  <c r="E333" i="3"/>
  <c r="D333" i="3"/>
  <c r="G333" i="3" s="1"/>
  <c r="F332" i="3"/>
  <c r="E332" i="3"/>
  <c r="D332" i="3"/>
  <c r="I332" i="3" s="1"/>
  <c r="F331" i="3"/>
  <c r="E331" i="3"/>
  <c r="D331" i="3"/>
  <c r="G331" i="3" s="1"/>
  <c r="F330" i="3"/>
  <c r="E330" i="3"/>
  <c r="D330" i="3"/>
  <c r="I330" i="3" s="1"/>
  <c r="F329" i="3"/>
  <c r="E329" i="3"/>
  <c r="D329" i="3"/>
  <c r="G329" i="3" s="1"/>
  <c r="F328" i="3"/>
  <c r="E328" i="3"/>
  <c r="D328" i="3"/>
  <c r="I328" i="3" s="1"/>
  <c r="F327" i="3"/>
  <c r="E327" i="3"/>
  <c r="D327" i="3"/>
  <c r="G327" i="3" s="1"/>
  <c r="F326" i="3"/>
  <c r="E326" i="3"/>
  <c r="D326" i="3"/>
  <c r="I326" i="3" s="1"/>
  <c r="F325" i="3"/>
  <c r="E325" i="3"/>
  <c r="D325" i="3"/>
  <c r="G325" i="3" s="1"/>
  <c r="F324" i="3"/>
  <c r="E324" i="3"/>
  <c r="D324" i="3"/>
  <c r="I324" i="3" s="1"/>
  <c r="F323" i="3"/>
  <c r="E323" i="3"/>
  <c r="D323" i="3"/>
  <c r="G323" i="3" s="1"/>
  <c r="F322" i="3"/>
  <c r="E322" i="3"/>
  <c r="D322" i="3"/>
  <c r="I322" i="3" s="1"/>
  <c r="F321" i="3"/>
  <c r="E321" i="3"/>
  <c r="D321" i="3"/>
  <c r="G321" i="3" s="1"/>
  <c r="F320" i="3"/>
  <c r="E320" i="3"/>
  <c r="D320" i="3"/>
  <c r="I320" i="3" s="1"/>
  <c r="F319" i="3"/>
  <c r="E319" i="3"/>
  <c r="D319" i="3"/>
  <c r="G319" i="3" s="1"/>
  <c r="F318" i="3"/>
  <c r="E318" i="3"/>
  <c r="D318" i="3"/>
  <c r="I318" i="3" s="1"/>
  <c r="F317" i="3"/>
  <c r="E317" i="3"/>
  <c r="D317" i="3"/>
  <c r="G317" i="3" s="1"/>
  <c r="F316" i="3"/>
  <c r="E316" i="3"/>
  <c r="D316" i="3"/>
  <c r="I316" i="3" s="1"/>
  <c r="F315" i="3"/>
  <c r="E315" i="3"/>
  <c r="D315" i="3"/>
  <c r="H315" i="3" s="1"/>
  <c r="F314" i="3"/>
  <c r="E314" i="3"/>
  <c r="D314" i="3"/>
  <c r="H314" i="3" s="1"/>
  <c r="F313" i="3"/>
  <c r="E313" i="3"/>
  <c r="D313" i="3"/>
  <c r="H313" i="3" s="1"/>
  <c r="F312" i="3"/>
  <c r="E312" i="3"/>
  <c r="D312" i="3"/>
  <c r="H312" i="3" s="1"/>
  <c r="F311" i="3"/>
  <c r="E311" i="3"/>
  <c r="D311" i="3"/>
  <c r="H311" i="3" s="1"/>
  <c r="F310" i="3"/>
  <c r="E310" i="3"/>
  <c r="D310" i="3"/>
  <c r="H310" i="3" s="1"/>
  <c r="F309" i="3"/>
  <c r="E309" i="3"/>
  <c r="D309" i="3"/>
  <c r="H309" i="3" s="1"/>
  <c r="F308" i="3"/>
  <c r="E308" i="3"/>
  <c r="D308" i="3"/>
  <c r="H308" i="3" s="1"/>
  <c r="F307" i="3"/>
  <c r="E307" i="3"/>
  <c r="D307" i="3"/>
  <c r="H307" i="3" s="1"/>
  <c r="F306" i="3"/>
  <c r="E306" i="3"/>
  <c r="D306" i="3"/>
  <c r="H306" i="3" s="1"/>
  <c r="F305" i="3"/>
  <c r="E305" i="3"/>
  <c r="D305" i="3"/>
  <c r="H305" i="3" s="1"/>
  <c r="F304" i="3"/>
  <c r="E304" i="3"/>
  <c r="D304" i="3"/>
  <c r="H304" i="3" s="1"/>
  <c r="F303" i="3"/>
  <c r="E303" i="3"/>
  <c r="D303" i="3"/>
  <c r="H303" i="3" s="1"/>
  <c r="F302" i="3"/>
  <c r="E302" i="3"/>
  <c r="D302" i="3"/>
  <c r="H302" i="3" s="1"/>
  <c r="F301" i="3"/>
  <c r="E301" i="3"/>
  <c r="D301" i="3"/>
  <c r="H301" i="3" s="1"/>
  <c r="F300" i="3"/>
  <c r="E300" i="3"/>
  <c r="D300" i="3"/>
  <c r="H300" i="3" s="1"/>
  <c r="F299" i="3"/>
  <c r="E299" i="3"/>
  <c r="D299" i="3"/>
  <c r="H299" i="3" s="1"/>
  <c r="F298" i="3"/>
  <c r="E298" i="3"/>
  <c r="D298" i="3"/>
  <c r="H298" i="3" s="1"/>
  <c r="F297" i="3"/>
  <c r="E297" i="3"/>
  <c r="D297" i="3"/>
  <c r="H297" i="3" s="1"/>
  <c r="F296" i="3"/>
  <c r="E296" i="3"/>
  <c r="D296" i="3"/>
  <c r="H296" i="3" s="1"/>
  <c r="F295" i="3"/>
  <c r="E295" i="3"/>
  <c r="D295" i="3"/>
  <c r="H295" i="3" s="1"/>
  <c r="F294" i="3"/>
  <c r="E294" i="3"/>
  <c r="D294" i="3"/>
  <c r="H294" i="3" s="1"/>
  <c r="F293" i="3"/>
  <c r="E293" i="3"/>
  <c r="D293" i="3"/>
  <c r="H293" i="3" s="1"/>
  <c r="F292" i="3"/>
  <c r="E292" i="3"/>
  <c r="D292" i="3"/>
  <c r="H292" i="3" s="1"/>
  <c r="F291" i="3"/>
  <c r="E291" i="3"/>
  <c r="D291" i="3"/>
  <c r="H291" i="3" s="1"/>
  <c r="F290" i="3"/>
  <c r="E290" i="3"/>
  <c r="D290" i="3"/>
  <c r="H290" i="3" s="1"/>
  <c r="F289" i="3"/>
  <c r="E289" i="3"/>
  <c r="D289" i="3"/>
  <c r="H289" i="3" s="1"/>
  <c r="F288" i="3"/>
  <c r="E288" i="3"/>
  <c r="D288" i="3"/>
  <c r="H288" i="3" s="1"/>
  <c r="F287" i="3"/>
  <c r="E287" i="3"/>
  <c r="D287" i="3"/>
  <c r="H287" i="3" s="1"/>
  <c r="F286" i="3"/>
  <c r="E286" i="3"/>
  <c r="D286" i="3"/>
  <c r="H286" i="3" s="1"/>
  <c r="F285" i="3"/>
  <c r="E285" i="3"/>
  <c r="D285" i="3"/>
  <c r="H285" i="3" s="1"/>
  <c r="F284" i="3"/>
  <c r="E284" i="3"/>
  <c r="D284" i="3"/>
  <c r="H284" i="3" s="1"/>
  <c r="F283" i="3"/>
  <c r="E283" i="3"/>
  <c r="D283" i="3"/>
  <c r="H283" i="3" s="1"/>
  <c r="F282" i="3"/>
  <c r="E282" i="3"/>
  <c r="D282" i="3"/>
  <c r="H282" i="3" s="1"/>
  <c r="F281" i="3"/>
  <c r="E281" i="3"/>
  <c r="D281" i="3"/>
  <c r="H281" i="3" s="1"/>
  <c r="F280" i="3"/>
  <c r="E280" i="3"/>
  <c r="D280" i="3"/>
  <c r="H280" i="3" s="1"/>
  <c r="F279" i="3"/>
  <c r="E279" i="3"/>
  <c r="D279" i="3"/>
  <c r="H279" i="3" s="1"/>
  <c r="F278" i="3"/>
  <c r="E278" i="3"/>
  <c r="D278" i="3"/>
  <c r="H278" i="3" s="1"/>
  <c r="F277" i="3"/>
  <c r="E277" i="3"/>
  <c r="D277" i="3"/>
  <c r="H277" i="3" s="1"/>
  <c r="F276" i="3"/>
  <c r="E276" i="3"/>
  <c r="D276" i="3"/>
  <c r="H276" i="3" s="1"/>
  <c r="F275" i="3"/>
  <c r="E275" i="3"/>
  <c r="D275" i="3"/>
  <c r="H275" i="3" s="1"/>
  <c r="F274" i="3"/>
  <c r="E274" i="3"/>
  <c r="D274" i="3"/>
  <c r="H274" i="3" s="1"/>
  <c r="F273" i="3"/>
  <c r="E273" i="3"/>
  <c r="D273" i="3"/>
  <c r="H273" i="3" s="1"/>
  <c r="F272" i="3"/>
  <c r="E272" i="3"/>
  <c r="D272" i="3"/>
  <c r="H272" i="3" s="1"/>
  <c r="F271" i="3"/>
  <c r="E271" i="3"/>
  <c r="D271" i="3"/>
  <c r="H271" i="3" s="1"/>
  <c r="F270" i="3"/>
  <c r="E270" i="3"/>
  <c r="D270" i="3"/>
  <c r="H270" i="3" s="1"/>
  <c r="F269" i="3"/>
  <c r="E269" i="3"/>
  <c r="D269" i="3"/>
  <c r="H269" i="3" s="1"/>
  <c r="F268" i="3"/>
  <c r="E268" i="3"/>
  <c r="D268" i="3"/>
  <c r="H268" i="3" s="1"/>
  <c r="F267" i="3"/>
  <c r="E267" i="3"/>
  <c r="D267" i="3"/>
  <c r="H267" i="3" s="1"/>
  <c r="F266" i="3"/>
  <c r="E266" i="3"/>
  <c r="D266" i="3"/>
  <c r="H266" i="3" s="1"/>
  <c r="F265" i="3"/>
  <c r="E265" i="3"/>
  <c r="D265" i="3"/>
  <c r="H265" i="3" s="1"/>
  <c r="F264" i="3"/>
  <c r="E264" i="3"/>
  <c r="D264" i="3"/>
  <c r="H264" i="3" s="1"/>
  <c r="F263" i="3"/>
  <c r="E263" i="3"/>
  <c r="D263" i="3"/>
  <c r="H263" i="3" s="1"/>
  <c r="F262" i="3"/>
  <c r="E262" i="3"/>
  <c r="D262" i="3"/>
  <c r="H262" i="3" s="1"/>
  <c r="F261" i="3"/>
  <c r="E261" i="3"/>
  <c r="D261" i="3"/>
  <c r="H261" i="3" s="1"/>
  <c r="F260" i="3"/>
  <c r="E260" i="3"/>
  <c r="D260" i="3"/>
  <c r="H260" i="3" s="1"/>
  <c r="F259" i="3"/>
  <c r="E259" i="3"/>
  <c r="D259" i="3"/>
  <c r="H259" i="3" s="1"/>
  <c r="F258" i="3"/>
  <c r="E258" i="3"/>
  <c r="D258" i="3"/>
  <c r="H258" i="3" s="1"/>
  <c r="F257" i="3"/>
  <c r="E257" i="3"/>
  <c r="D257" i="3"/>
  <c r="H257" i="3" s="1"/>
  <c r="F256" i="3"/>
  <c r="E256" i="3"/>
  <c r="D256" i="3"/>
  <c r="H256" i="3" s="1"/>
  <c r="F255" i="3"/>
  <c r="E255" i="3"/>
  <c r="D255" i="3"/>
  <c r="H255" i="3" s="1"/>
  <c r="F254" i="3"/>
  <c r="E254" i="3"/>
  <c r="D254" i="3"/>
  <c r="H254" i="3" s="1"/>
  <c r="F253" i="3"/>
  <c r="E253" i="3"/>
  <c r="D253" i="3"/>
  <c r="H253" i="3" s="1"/>
  <c r="F252" i="3"/>
  <c r="E252" i="3"/>
  <c r="D252" i="3"/>
  <c r="H252" i="3" s="1"/>
  <c r="F251" i="3"/>
  <c r="E251" i="3"/>
  <c r="D251" i="3"/>
  <c r="H251" i="3" s="1"/>
  <c r="F250" i="3"/>
  <c r="E250" i="3"/>
  <c r="D250" i="3"/>
  <c r="H250" i="3" s="1"/>
  <c r="F249" i="3"/>
  <c r="E249" i="3"/>
  <c r="D249" i="3"/>
  <c r="H249" i="3" s="1"/>
  <c r="F248" i="3"/>
  <c r="E248" i="3"/>
  <c r="D248" i="3"/>
  <c r="H248" i="3" s="1"/>
  <c r="F247" i="3"/>
  <c r="E247" i="3"/>
  <c r="D247" i="3"/>
  <c r="H247" i="3" s="1"/>
  <c r="F246" i="3"/>
  <c r="E246" i="3"/>
  <c r="D246" i="3"/>
  <c r="H246" i="3" s="1"/>
  <c r="F245" i="3"/>
  <c r="E245" i="3"/>
  <c r="D245" i="3"/>
  <c r="H245" i="3" s="1"/>
  <c r="F244" i="3"/>
  <c r="E244" i="3"/>
  <c r="D244" i="3"/>
  <c r="H244" i="3" s="1"/>
  <c r="F243" i="3"/>
  <c r="E243" i="3"/>
  <c r="D243" i="3"/>
  <c r="H243" i="3" s="1"/>
  <c r="F242" i="3"/>
  <c r="E242" i="3"/>
  <c r="D242" i="3"/>
  <c r="H242" i="3" s="1"/>
  <c r="F241" i="3"/>
  <c r="E241" i="3"/>
  <c r="D241" i="3"/>
  <c r="H241" i="3" s="1"/>
  <c r="F240" i="3"/>
  <c r="E240" i="3"/>
  <c r="D240" i="3"/>
  <c r="I240" i="3" s="1"/>
  <c r="F239" i="3"/>
  <c r="E239" i="3"/>
  <c r="D239" i="3"/>
  <c r="F238" i="3"/>
  <c r="E238" i="3"/>
  <c r="D238" i="3"/>
  <c r="I238" i="3" s="1"/>
  <c r="F237" i="3"/>
  <c r="E237" i="3"/>
  <c r="D237" i="3"/>
  <c r="F236" i="3"/>
  <c r="E236" i="3"/>
  <c r="D236" i="3"/>
  <c r="I236" i="3" s="1"/>
  <c r="F235" i="3"/>
  <c r="E235" i="3"/>
  <c r="D235" i="3"/>
  <c r="F234" i="3"/>
  <c r="E234" i="3"/>
  <c r="D234" i="3"/>
  <c r="I234" i="3" s="1"/>
  <c r="F233" i="3"/>
  <c r="E233" i="3"/>
  <c r="D233" i="3"/>
  <c r="F232" i="3"/>
  <c r="E232" i="3"/>
  <c r="D232" i="3"/>
  <c r="I232" i="3" s="1"/>
  <c r="F231" i="3"/>
  <c r="E231" i="3"/>
  <c r="D231" i="3"/>
  <c r="F230" i="3"/>
  <c r="E230" i="3"/>
  <c r="D230" i="3"/>
  <c r="I230" i="3" s="1"/>
  <c r="F229" i="3"/>
  <c r="E229" i="3"/>
  <c r="D229" i="3"/>
  <c r="F228" i="3"/>
  <c r="E228" i="3"/>
  <c r="D228" i="3"/>
  <c r="I228" i="3" s="1"/>
  <c r="F227" i="3"/>
  <c r="E227" i="3"/>
  <c r="D227" i="3"/>
  <c r="F226" i="3"/>
  <c r="E226" i="3"/>
  <c r="D226" i="3"/>
  <c r="I226" i="3" s="1"/>
  <c r="F225" i="3"/>
  <c r="E225" i="3"/>
  <c r="D225" i="3"/>
  <c r="F224" i="3"/>
  <c r="E224" i="3"/>
  <c r="D224" i="3"/>
  <c r="I224" i="3" s="1"/>
  <c r="F223" i="3"/>
  <c r="E223" i="3"/>
  <c r="D223" i="3"/>
  <c r="F222" i="3"/>
  <c r="E222" i="3"/>
  <c r="D222" i="3"/>
  <c r="I222" i="3" s="1"/>
  <c r="F221" i="3"/>
  <c r="E221" i="3"/>
  <c r="D221" i="3"/>
  <c r="F220" i="3"/>
  <c r="E220" i="3"/>
  <c r="D220" i="3"/>
  <c r="I220" i="3" s="1"/>
  <c r="F219" i="3"/>
  <c r="E219" i="3"/>
  <c r="D219" i="3"/>
  <c r="F218" i="3"/>
  <c r="E218" i="3"/>
  <c r="D218" i="3"/>
  <c r="I218" i="3" s="1"/>
  <c r="F217" i="3"/>
  <c r="E217" i="3"/>
  <c r="D217" i="3"/>
  <c r="F216" i="3"/>
  <c r="E216" i="3"/>
  <c r="D216" i="3"/>
  <c r="I216" i="3" s="1"/>
  <c r="F215" i="3"/>
  <c r="E215" i="3"/>
  <c r="D215" i="3"/>
  <c r="F214" i="3"/>
  <c r="E214" i="3"/>
  <c r="D214" i="3"/>
  <c r="I214" i="3" s="1"/>
  <c r="F213" i="3"/>
  <c r="E213" i="3"/>
  <c r="D213" i="3"/>
  <c r="F212" i="3"/>
  <c r="E212" i="3"/>
  <c r="D212" i="3"/>
  <c r="I212" i="3" s="1"/>
  <c r="F211" i="3"/>
  <c r="E211" i="3"/>
  <c r="D211" i="3"/>
  <c r="F210" i="3"/>
  <c r="E210" i="3"/>
  <c r="D210" i="3"/>
  <c r="I210" i="3" s="1"/>
  <c r="F209" i="3"/>
  <c r="E209" i="3"/>
  <c r="D209" i="3"/>
  <c r="F208" i="3"/>
  <c r="E208" i="3"/>
  <c r="D208" i="3"/>
  <c r="I208" i="3" s="1"/>
  <c r="F207" i="3"/>
  <c r="E207" i="3"/>
  <c r="D207" i="3"/>
  <c r="F206" i="3"/>
  <c r="E206" i="3"/>
  <c r="D206" i="3"/>
  <c r="I206" i="3" s="1"/>
  <c r="F205" i="3"/>
  <c r="E205" i="3"/>
  <c r="D205" i="3"/>
  <c r="F204" i="3"/>
  <c r="E204" i="3"/>
  <c r="D204" i="3"/>
  <c r="I204" i="3" s="1"/>
  <c r="F203" i="3"/>
  <c r="E203" i="3"/>
  <c r="D203" i="3"/>
  <c r="F202" i="3"/>
  <c r="E202" i="3"/>
  <c r="D202" i="3"/>
  <c r="I202" i="3" s="1"/>
  <c r="F201" i="3"/>
  <c r="E201" i="3"/>
  <c r="D201" i="3"/>
  <c r="F200" i="3"/>
  <c r="E200" i="3"/>
  <c r="D200" i="3"/>
  <c r="I200" i="3" s="1"/>
  <c r="F199" i="3"/>
  <c r="E199" i="3"/>
  <c r="D199" i="3"/>
  <c r="F198" i="3"/>
  <c r="E198" i="3"/>
  <c r="D198" i="3"/>
  <c r="I198" i="3" s="1"/>
  <c r="F197" i="3"/>
  <c r="E197" i="3"/>
  <c r="D197" i="3"/>
  <c r="F196" i="3"/>
  <c r="E196" i="3"/>
  <c r="D196" i="3"/>
  <c r="I196" i="3" s="1"/>
  <c r="F195" i="3"/>
  <c r="E195" i="3"/>
  <c r="D195" i="3"/>
  <c r="F194" i="3"/>
  <c r="E194" i="3"/>
  <c r="D194" i="3"/>
  <c r="I194" i="3" s="1"/>
  <c r="F193" i="3"/>
  <c r="E193" i="3"/>
  <c r="D193" i="3"/>
  <c r="F192" i="3"/>
  <c r="E192" i="3"/>
  <c r="D192" i="3"/>
  <c r="I192" i="3" s="1"/>
  <c r="F191" i="3"/>
  <c r="E191" i="3"/>
  <c r="D191" i="3"/>
  <c r="F190" i="3"/>
  <c r="E190" i="3"/>
  <c r="D190" i="3"/>
  <c r="I190" i="3" s="1"/>
  <c r="F189" i="3"/>
  <c r="E189" i="3"/>
  <c r="D189" i="3"/>
  <c r="F188" i="3"/>
  <c r="E188" i="3"/>
  <c r="D188" i="3"/>
  <c r="I188" i="3" s="1"/>
  <c r="F187" i="3"/>
  <c r="E187" i="3"/>
  <c r="D187" i="3"/>
  <c r="G187" i="3" s="1"/>
  <c r="F186" i="3"/>
  <c r="E186" i="3"/>
  <c r="D186" i="3"/>
  <c r="I186" i="3" s="1"/>
  <c r="F185" i="3"/>
  <c r="E185" i="3"/>
  <c r="D185" i="3"/>
  <c r="G185" i="3" s="1"/>
  <c r="F184" i="3"/>
  <c r="E184" i="3"/>
  <c r="D184" i="3"/>
  <c r="I184" i="3" s="1"/>
  <c r="F183" i="3"/>
  <c r="E183" i="3"/>
  <c r="D183" i="3"/>
  <c r="G183" i="3" s="1"/>
  <c r="F182" i="3"/>
  <c r="E182" i="3"/>
  <c r="D182" i="3"/>
  <c r="I182" i="3" s="1"/>
  <c r="F181" i="3"/>
  <c r="E181" i="3"/>
  <c r="D181" i="3"/>
  <c r="G181" i="3" s="1"/>
  <c r="F180" i="3"/>
  <c r="E180" i="3"/>
  <c r="D180" i="3"/>
  <c r="I180" i="3" s="1"/>
  <c r="F179" i="3"/>
  <c r="E179" i="3"/>
  <c r="D179" i="3"/>
  <c r="G179" i="3" s="1"/>
  <c r="F178" i="3"/>
  <c r="E178" i="3"/>
  <c r="D178" i="3"/>
  <c r="I178" i="3" s="1"/>
  <c r="F177" i="3"/>
  <c r="E177" i="3"/>
  <c r="D177" i="3"/>
  <c r="G177" i="3" s="1"/>
  <c r="F176" i="3"/>
  <c r="E176" i="3"/>
  <c r="D176" i="3"/>
  <c r="I176" i="3" s="1"/>
  <c r="F175" i="3"/>
  <c r="E175" i="3"/>
  <c r="D175" i="3"/>
  <c r="G175" i="3" s="1"/>
  <c r="F174" i="3"/>
  <c r="E174" i="3"/>
  <c r="D174" i="3"/>
  <c r="I174" i="3" s="1"/>
  <c r="F173" i="3"/>
  <c r="E173" i="3"/>
  <c r="D173" i="3"/>
  <c r="G173" i="3" s="1"/>
  <c r="F172" i="3"/>
  <c r="E172" i="3"/>
  <c r="D172" i="3"/>
  <c r="I172" i="3" s="1"/>
  <c r="F171" i="3"/>
  <c r="E171" i="3"/>
  <c r="D171" i="3"/>
  <c r="G171" i="3" s="1"/>
  <c r="F170" i="3"/>
  <c r="E170" i="3"/>
  <c r="D170" i="3"/>
  <c r="I170" i="3" s="1"/>
  <c r="F169" i="3"/>
  <c r="E169" i="3"/>
  <c r="D169" i="3"/>
  <c r="G169" i="3" s="1"/>
  <c r="F168" i="3"/>
  <c r="E168" i="3"/>
  <c r="D168" i="3"/>
  <c r="I168" i="3" s="1"/>
  <c r="F167" i="3"/>
  <c r="E167" i="3"/>
  <c r="D167" i="3"/>
  <c r="G167" i="3" s="1"/>
  <c r="F166" i="3"/>
  <c r="E166" i="3"/>
  <c r="D166" i="3"/>
  <c r="I166" i="3" s="1"/>
  <c r="F165" i="3"/>
  <c r="E165" i="3"/>
  <c r="D165" i="3"/>
  <c r="G165" i="3" s="1"/>
  <c r="F164" i="3"/>
  <c r="E164" i="3"/>
  <c r="D164" i="3"/>
  <c r="I164" i="3" s="1"/>
  <c r="F163" i="3"/>
  <c r="E163" i="3"/>
  <c r="D163" i="3"/>
  <c r="G163" i="3" s="1"/>
  <c r="F162" i="3"/>
  <c r="E162" i="3"/>
  <c r="D162" i="3"/>
  <c r="I162" i="3" s="1"/>
  <c r="F161" i="3"/>
  <c r="E161" i="3"/>
  <c r="D161" i="3"/>
  <c r="G161" i="3" s="1"/>
  <c r="F160" i="3"/>
  <c r="E160" i="3"/>
  <c r="D160" i="3"/>
  <c r="I160" i="3" s="1"/>
  <c r="F159" i="3"/>
  <c r="E159" i="3"/>
  <c r="D159" i="3"/>
  <c r="G159" i="3" s="1"/>
  <c r="F158" i="3"/>
  <c r="E158" i="3"/>
  <c r="D158" i="3"/>
  <c r="I158" i="3" s="1"/>
  <c r="F157" i="3"/>
  <c r="E157" i="3"/>
  <c r="D157" i="3"/>
  <c r="G157" i="3" s="1"/>
  <c r="F156" i="3"/>
  <c r="E156" i="3"/>
  <c r="D156" i="3"/>
  <c r="I156" i="3" s="1"/>
  <c r="F155" i="3"/>
  <c r="E155" i="3"/>
  <c r="D155" i="3"/>
  <c r="I155" i="3" s="1"/>
  <c r="F154" i="3"/>
  <c r="E154" i="3"/>
  <c r="D154" i="3"/>
  <c r="G154" i="3" s="1"/>
  <c r="F153" i="3"/>
  <c r="E153" i="3"/>
  <c r="D153" i="3"/>
  <c r="I153" i="3" s="1"/>
  <c r="F152" i="3"/>
  <c r="E152" i="3"/>
  <c r="D152" i="3"/>
  <c r="G152" i="3" s="1"/>
  <c r="F151" i="3"/>
  <c r="E151" i="3"/>
  <c r="D151" i="3"/>
  <c r="I151" i="3" s="1"/>
  <c r="F150" i="3"/>
  <c r="E150" i="3"/>
  <c r="D150" i="3"/>
  <c r="G150" i="3" s="1"/>
  <c r="F149" i="3"/>
  <c r="E149" i="3"/>
  <c r="D149" i="3"/>
  <c r="I149" i="3" s="1"/>
  <c r="F148" i="3"/>
  <c r="E148" i="3"/>
  <c r="D148" i="3"/>
  <c r="G148" i="3" s="1"/>
  <c r="F147" i="3"/>
  <c r="E147" i="3"/>
  <c r="D147" i="3"/>
  <c r="I147" i="3" s="1"/>
  <c r="F146" i="3"/>
  <c r="E146" i="3"/>
  <c r="D146" i="3"/>
  <c r="G146" i="3" s="1"/>
  <c r="F145" i="3"/>
  <c r="E145" i="3"/>
  <c r="D145" i="3"/>
  <c r="I145" i="3" s="1"/>
  <c r="F144" i="3"/>
  <c r="E144" i="3"/>
  <c r="D144" i="3"/>
  <c r="G144" i="3" s="1"/>
  <c r="F143" i="3"/>
  <c r="E143" i="3"/>
  <c r="D143" i="3"/>
  <c r="I143" i="3" s="1"/>
  <c r="F142" i="3"/>
  <c r="E142" i="3"/>
  <c r="D142" i="3"/>
  <c r="G142" i="3" s="1"/>
  <c r="F141" i="3"/>
  <c r="E141" i="3"/>
  <c r="D141" i="3"/>
  <c r="I141" i="3" s="1"/>
  <c r="F140" i="3"/>
  <c r="E140" i="3"/>
  <c r="D140" i="3"/>
  <c r="G140" i="3" s="1"/>
  <c r="F139" i="3"/>
  <c r="E139" i="3"/>
  <c r="D139" i="3"/>
  <c r="I139" i="3" s="1"/>
  <c r="F138" i="3"/>
  <c r="E138" i="3"/>
  <c r="D138" i="3"/>
  <c r="G138" i="3" s="1"/>
  <c r="F137" i="3"/>
  <c r="E137" i="3"/>
  <c r="D137" i="3"/>
  <c r="I137" i="3" s="1"/>
  <c r="F136" i="3"/>
  <c r="E136" i="3"/>
  <c r="D136" i="3"/>
  <c r="G136" i="3" s="1"/>
  <c r="F135" i="3"/>
  <c r="E135" i="3"/>
  <c r="D135" i="3"/>
  <c r="I135" i="3" s="1"/>
  <c r="F134" i="3"/>
  <c r="E134" i="3"/>
  <c r="D134" i="3"/>
  <c r="G134" i="3" s="1"/>
  <c r="F133" i="3"/>
  <c r="E133" i="3"/>
  <c r="D133" i="3"/>
  <c r="I133" i="3" s="1"/>
  <c r="F132" i="3"/>
  <c r="E132" i="3"/>
  <c r="D132" i="3"/>
  <c r="G132" i="3" s="1"/>
  <c r="F131" i="3"/>
  <c r="E131" i="3"/>
  <c r="D131" i="3"/>
  <c r="I131" i="3" s="1"/>
  <c r="F130" i="3"/>
  <c r="E130" i="3"/>
  <c r="D130" i="3"/>
  <c r="G130" i="3" s="1"/>
  <c r="F129" i="3"/>
  <c r="E129" i="3"/>
  <c r="D129" i="3"/>
  <c r="I129" i="3" s="1"/>
  <c r="F128" i="3"/>
  <c r="E128" i="3"/>
  <c r="D128" i="3"/>
  <c r="G128" i="3" s="1"/>
  <c r="F127" i="3"/>
  <c r="E127" i="3"/>
  <c r="D127" i="3"/>
  <c r="I127" i="3" s="1"/>
  <c r="F126" i="3"/>
  <c r="E126" i="3"/>
  <c r="D126" i="3"/>
  <c r="G126" i="3" s="1"/>
  <c r="F125" i="3"/>
  <c r="E125" i="3"/>
  <c r="D125" i="3"/>
  <c r="I125" i="3" s="1"/>
  <c r="F124" i="3"/>
  <c r="E124" i="3"/>
  <c r="D124" i="3"/>
  <c r="G124" i="3" s="1"/>
  <c r="F123" i="3"/>
  <c r="E123" i="3"/>
  <c r="D123" i="3"/>
  <c r="I123" i="3" s="1"/>
  <c r="F122" i="3"/>
  <c r="E122" i="3"/>
  <c r="D122" i="3"/>
  <c r="G122" i="3" s="1"/>
  <c r="F121" i="3"/>
  <c r="E121" i="3"/>
  <c r="D121" i="3"/>
  <c r="I121" i="3" s="1"/>
  <c r="F120" i="3"/>
  <c r="E120" i="3"/>
  <c r="D120" i="3"/>
  <c r="I120" i="3" s="1"/>
  <c r="F119" i="3"/>
  <c r="E119" i="3"/>
  <c r="D119" i="3"/>
  <c r="G119" i="3" s="1"/>
  <c r="F118" i="3"/>
  <c r="E118" i="3"/>
  <c r="D118" i="3"/>
  <c r="I118" i="3" s="1"/>
  <c r="F117" i="3"/>
  <c r="E117" i="3"/>
  <c r="D117" i="3"/>
  <c r="G117" i="3" s="1"/>
  <c r="F116" i="3"/>
  <c r="E116" i="3"/>
  <c r="D116" i="3"/>
  <c r="I116" i="3" s="1"/>
  <c r="F115" i="3"/>
  <c r="E115" i="3"/>
  <c r="D115" i="3"/>
  <c r="G115" i="3" s="1"/>
  <c r="F114" i="3"/>
  <c r="E114" i="3"/>
  <c r="D114" i="3"/>
  <c r="I114" i="3" s="1"/>
  <c r="F113" i="3"/>
  <c r="E113" i="3"/>
  <c r="D113" i="3"/>
  <c r="G113" i="3" s="1"/>
  <c r="F112" i="3"/>
  <c r="E112" i="3"/>
  <c r="D112" i="3"/>
  <c r="I112" i="3" s="1"/>
  <c r="F111" i="3"/>
  <c r="E111" i="3"/>
  <c r="D111" i="3"/>
  <c r="G111" i="3" s="1"/>
  <c r="F110" i="3"/>
  <c r="E110" i="3"/>
  <c r="D110" i="3"/>
  <c r="I110" i="3" s="1"/>
  <c r="F109" i="3"/>
  <c r="E109" i="3"/>
  <c r="D109" i="3"/>
  <c r="G109" i="3" s="1"/>
  <c r="F108" i="3"/>
  <c r="E108" i="3"/>
  <c r="D108" i="3"/>
  <c r="I108" i="3" s="1"/>
  <c r="F107" i="3"/>
  <c r="E107" i="3"/>
  <c r="D107" i="3"/>
  <c r="G107" i="3" s="1"/>
  <c r="F106" i="3"/>
  <c r="E106" i="3"/>
  <c r="D106" i="3"/>
  <c r="I106" i="3" s="1"/>
  <c r="F105" i="3"/>
  <c r="E105" i="3"/>
  <c r="D105" i="3"/>
  <c r="G105" i="3" s="1"/>
  <c r="F104" i="3"/>
  <c r="E104" i="3"/>
  <c r="D104" i="3"/>
  <c r="I104" i="3" s="1"/>
  <c r="F103" i="3"/>
  <c r="E103" i="3"/>
  <c r="D103" i="3"/>
  <c r="G103" i="3" s="1"/>
  <c r="F102" i="3"/>
  <c r="E102" i="3"/>
  <c r="D102" i="3"/>
  <c r="I102" i="3" s="1"/>
  <c r="F101" i="3"/>
  <c r="E101" i="3"/>
  <c r="D101" i="3"/>
  <c r="G101" i="3" s="1"/>
  <c r="F100" i="3"/>
  <c r="E100" i="3"/>
  <c r="D100" i="3"/>
  <c r="I100" i="3" s="1"/>
  <c r="F99" i="3"/>
  <c r="E99" i="3"/>
  <c r="D99" i="3"/>
  <c r="G99" i="3" s="1"/>
  <c r="F98" i="3"/>
  <c r="E98" i="3"/>
  <c r="D98" i="3"/>
  <c r="I98" i="3" s="1"/>
  <c r="F97" i="3"/>
  <c r="E97" i="3"/>
  <c r="D97" i="3"/>
  <c r="G97" i="3" s="1"/>
  <c r="F96" i="3"/>
  <c r="E96" i="3"/>
  <c r="D96" i="3"/>
  <c r="I96" i="3" s="1"/>
  <c r="F95" i="3"/>
  <c r="E95" i="3"/>
  <c r="D95" i="3"/>
  <c r="G95" i="3" s="1"/>
  <c r="F94" i="3"/>
  <c r="E94" i="3"/>
  <c r="D94" i="3"/>
  <c r="I94" i="3" s="1"/>
  <c r="F93" i="3"/>
  <c r="E93" i="3"/>
  <c r="D93" i="3"/>
  <c r="G93" i="3" s="1"/>
  <c r="F92" i="3"/>
  <c r="E92" i="3"/>
  <c r="D92" i="3"/>
  <c r="I92" i="3" s="1"/>
  <c r="F91" i="3"/>
  <c r="E91" i="3"/>
  <c r="D91" i="3"/>
  <c r="G91" i="3" s="1"/>
  <c r="F90" i="3"/>
  <c r="E90" i="3"/>
  <c r="D90" i="3"/>
  <c r="I90" i="3" s="1"/>
  <c r="F89" i="3"/>
  <c r="E89" i="3"/>
  <c r="D89" i="3"/>
  <c r="G89" i="3" s="1"/>
  <c r="F88" i="3"/>
  <c r="E88" i="3"/>
  <c r="D88" i="3"/>
  <c r="I88" i="3" s="1"/>
  <c r="F87" i="3"/>
  <c r="E87" i="3"/>
  <c r="D87" i="3"/>
  <c r="G87" i="3" s="1"/>
  <c r="F86" i="3"/>
  <c r="E86" i="3"/>
  <c r="D86" i="3"/>
  <c r="I86" i="3" s="1"/>
  <c r="F85" i="3"/>
  <c r="E85" i="3"/>
  <c r="D85" i="3"/>
  <c r="G85" i="3" s="1"/>
  <c r="F84" i="3"/>
  <c r="E84" i="3"/>
  <c r="D84" i="3"/>
  <c r="I84" i="3" s="1"/>
  <c r="F83" i="3"/>
  <c r="E83" i="3"/>
  <c r="D83" i="3"/>
  <c r="G83" i="3" s="1"/>
  <c r="F82" i="3"/>
  <c r="E82" i="3"/>
  <c r="D82" i="3"/>
  <c r="I82" i="3" s="1"/>
  <c r="F81" i="3"/>
  <c r="E81" i="3"/>
  <c r="D81" i="3"/>
  <c r="G81" i="3" s="1"/>
  <c r="F80" i="3"/>
  <c r="E80" i="3"/>
  <c r="D80" i="3"/>
  <c r="I80" i="3" s="1"/>
  <c r="F79" i="3"/>
  <c r="E79" i="3"/>
  <c r="D79" i="3"/>
  <c r="G79" i="3" s="1"/>
  <c r="F78" i="3"/>
  <c r="E78" i="3"/>
  <c r="D78" i="3"/>
  <c r="I78" i="3" s="1"/>
  <c r="F77" i="3"/>
  <c r="E77" i="3"/>
  <c r="D77" i="3"/>
  <c r="G77" i="3" s="1"/>
  <c r="F76" i="3"/>
  <c r="E76" i="3"/>
  <c r="D76" i="3"/>
  <c r="I76" i="3" s="1"/>
  <c r="F75" i="3"/>
  <c r="E75" i="3"/>
  <c r="D75" i="3"/>
  <c r="G75" i="3" s="1"/>
  <c r="F74" i="3"/>
  <c r="E74" i="3"/>
  <c r="D74" i="3"/>
  <c r="I74" i="3" s="1"/>
  <c r="F73" i="3"/>
  <c r="E73" i="3"/>
  <c r="D73" i="3"/>
  <c r="G73" i="3" s="1"/>
  <c r="F72" i="3"/>
  <c r="E72" i="3"/>
  <c r="D72" i="3"/>
  <c r="I72" i="3" s="1"/>
  <c r="F71" i="3"/>
  <c r="E71" i="3"/>
  <c r="D71" i="3"/>
  <c r="G71" i="3" s="1"/>
  <c r="F70" i="3"/>
  <c r="E70" i="3"/>
  <c r="D70" i="3"/>
  <c r="I70" i="3" s="1"/>
  <c r="F69" i="3"/>
  <c r="E69" i="3"/>
  <c r="D69" i="3"/>
  <c r="G69" i="3" s="1"/>
  <c r="F68" i="3"/>
  <c r="E68" i="3"/>
  <c r="D68" i="3"/>
  <c r="I68" i="3" s="1"/>
  <c r="F67" i="3"/>
  <c r="E67" i="3"/>
  <c r="D67" i="3"/>
  <c r="G67" i="3" s="1"/>
  <c r="F66" i="3"/>
  <c r="E66" i="3"/>
  <c r="D66" i="3"/>
  <c r="I66" i="3" s="1"/>
  <c r="F65" i="3"/>
  <c r="E65" i="3"/>
  <c r="D65" i="3"/>
  <c r="G65" i="3" s="1"/>
  <c r="F64" i="3"/>
  <c r="E64" i="3"/>
  <c r="D64" i="3"/>
  <c r="I64" i="3" s="1"/>
  <c r="F63" i="3"/>
  <c r="E63" i="3"/>
  <c r="D63" i="3"/>
  <c r="G63" i="3" s="1"/>
  <c r="F62" i="3"/>
  <c r="E62" i="3"/>
  <c r="D62" i="3"/>
  <c r="I62" i="3" s="1"/>
  <c r="F61" i="3"/>
  <c r="E61" i="3"/>
  <c r="D61" i="3"/>
  <c r="G61" i="3" s="1"/>
  <c r="F60" i="3"/>
  <c r="E60" i="3"/>
  <c r="D60" i="3"/>
  <c r="I60" i="3" s="1"/>
  <c r="F59" i="3"/>
  <c r="E59" i="3"/>
  <c r="D59" i="3"/>
  <c r="G59" i="3" s="1"/>
  <c r="F58" i="3"/>
  <c r="E58" i="3"/>
  <c r="D58" i="3"/>
  <c r="I58" i="3" s="1"/>
  <c r="F57" i="3"/>
  <c r="E57" i="3"/>
  <c r="D57" i="3"/>
  <c r="G57" i="3" s="1"/>
  <c r="F56" i="3"/>
  <c r="E56" i="3"/>
  <c r="D56" i="3"/>
  <c r="I56" i="3" s="1"/>
  <c r="F55" i="3"/>
  <c r="E55" i="3"/>
  <c r="D55" i="3"/>
  <c r="G55" i="3" s="1"/>
  <c r="F54" i="3"/>
  <c r="E54" i="3"/>
  <c r="D54" i="3"/>
  <c r="I54" i="3" s="1"/>
  <c r="F53" i="3"/>
  <c r="E53" i="3"/>
  <c r="D53" i="3"/>
  <c r="G53" i="3" s="1"/>
  <c r="F52" i="3"/>
  <c r="E52" i="3"/>
  <c r="D52" i="3"/>
  <c r="I52" i="3" s="1"/>
  <c r="F51" i="3"/>
  <c r="E51" i="3"/>
  <c r="D51" i="3"/>
  <c r="G51" i="3" s="1"/>
  <c r="F50" i="3"/>
  <c r="E50" i="3"/>
  <c r="D50" i="3"/>
  <c r="I50" i="3" s="1"/>
  <c r="F49" i="3"/>
  <c r="E49" i="3"/>
  <c r="D49" i="3"/>
  <c r="G49" i="3" s="1"/>
  <c r="F48" i="3"/>
  <c r="E48" i="3"/>
  <c r="D48" i="3"/>
  <c r="I48" i="3" s="1"/>
  <c r="F47" i="3"/>
  <c r="E47" i="3"/>
  <c r="D47" i="3"/>
  <c r="G47" i="3" s="1"/>
  <c r="F46" i="3"/>
  <c r="E46" i="3"/>
  <c r="D46" i="3"/>
  <c r="I46" i="3" s="1"/>
  <c r="F45" i="3"/>
  <c r="E45" i="3"/>
  <c r="D45" i="3"/>
  <c r="G45" i="3" s="1"/>
  <c r="F44" i="3"/>
  <c r="E44" i="3"/>
  <c r="D44" i="3"/>
  <c r="I44" i="3" s="1"/>
  <c r="F43" i="3"/>
  <c r="E43" i="3"/>
  <c r="D43" i="3"/>
  <c r="G43" i="3" s="1"/>
  <c r="F42" i="3"/>
  <c r="E42" i="3"/>
  <c r="D42" i="3"/>
  <c r="I42" i="3" s="1"/>
  <c r="F41" i="3"/>
  <c r="E41" i="3"/>
  <c r="D41" i="3"/>
  <c r="G41" i="3" s="1"/>
  <c r="F40" i="3"/>
  <c r="E40" i="3"/>
  <c r="D40" i="3"/>
  <c r="I40" i="3" s="1"/>
  <c r="F39" i="3"/>
  <c r="E39" i="3"/>
  <c r="D39" i="3"/>
  <c r="G39" i="3" s="1"/>
  <c r="F38" i="3"/>
  <c r="E38" i="3"/>
  <c r="D38" i="3"/>
  <c r="I38" i="3" s="1"/>
  <c r="F37" i="3"/>
  <c r="E37" i="3"/>
  <c r="D37" i="3"/>
  <c r="G37" i="3" s="1"/>
  <c r="F36" i="3"/>
  <c r="E36" i="3"/>
  <c r="D36" i="3"/>
  <c r="I36" i="3" s="1"/>
  <c r="F35" i="3"/>
  <c r="E35" i="3"/>
  <c r="D35" i="3"/>
  <c r="G35" i="3" s="1"/>
  <c r="F34" i="3"/>
  <c r="E34" i="3"/>
  <c r="D34" i="3"/>
  <c r="I34" i="3" s="1"/>
  <c r="F33" i="3"/>
  <c r="E33" i="3"/>
  <c r="D33" i="3"/>
  <c r="G33" i="3" s="1"/>
  <c r="F32" i="3"/>
  <c r="E32" i="3"/>
  <c r="D32" i="3"/>
  <c r="I32" i="3" s="1"/>
  <c r="F31" i="3"/>
  <c r="E31" i="3"/>
  <c r="D31" i="3"/>
  <c r="G31" i="3" s="1"/>
  <c r="F30" i="3"/>
  <c r="E30" i="3"/>
  <c r="D30" i="3"/>
  <c r="I30" i="3" s="1"/>
  <c r="F29" i="3"/>
  <c r="E29" i="3"/>
  <c r="D29" i="3"/>
  <c r="G29" i="3" s="1"/>
  <c r="F28" i="3"/>
  <c r="E28" i="3"/>
  <c r="D28" i="3"/>
  <c r="I28" i="3" s="1"/>
  <c r="F27" i="3"/>
  <c r="E27" i="3"/>
  <c r="D27" i="3"/>
  <c r="G27" i="3" s="1"/>
  <c r="F26" i="3"/>
  <c r="E26" i="3"/>
  <c r="D26" i="3"/>
  <c r="I26" i="3" s="1"/>
  <c r="F25" i="3"/>
  <c r="E25" i="3"/>
  <c r="D25" i="3"/>
  <c r="G25" i="3" s="1"/>
  <c r="F24" i="3"/>
  <c r="E24" i="3"/>
  <c r="D24" i="3"/>
  <c r="I24" i="3" s="1"/>
  <c r="F23" i="3"/>
  <c r="E23" i="3"/>
  <c r="D23" i="3"/>
  <c r="G23" i="3" s="1"/>
  <c r="F22" i="3"/>
  <c r="E22" i="3"/>
  <c r="D22" i="3"/>
  <c r="I22" i="3" s="1"/>
  <c r="F21" i="3"/>
  <c r="E21" i="3"/>
  <c r="D21" i="3"/>
  <c r="G21" i="3" s="1"/>
  <c r="O22" i="4" a="1"/>
  <c r="O22" i="4"/>
  <c r="M22" i="4"/>
  <c r="N22" i="4" a="1"/>
  <c r="N22" i="4" s="1"/>
  <c r="J23" i="4"/>
  <c r="F20" i="3"/>
  <c r="E20" i="3"/>
  <c r="D20" i="3"/>
  <c r="G20" i="3" s="1"/>
  <c r="F19" i="3"/>
  <c r="E19" i="3"/>
  <c r="D19" i="3"/>
  <c r="G19" i="3" s="1"/>
  <c r="F18" i="3"/>
  <c r="E18" i="3"/>
  <c r="D18" i="3"/>
  <c r="G18" i="3" s="1"/>
  <c r="F17" i="3"/>
  <c r="E17" i="3"/>
  <c r="D17" i="3"/>
  <c r="G17" i="3" s="1"/>
  <c r="F16" i="3"/>
  <c r="E16" i="3"/>
  <c r="D16" i="3"/>
  <c r="G16" i="3" s="1"/>
  <c r="F15" i="3"/>
  <c r="E15" i="3"/>
  <c r="D15" i="3"/>
  <c r="G15" i="3" s="1"/>
  <c r="F14" i="3"/>
  <c r="E14" i="3"/>
  <c r="D14" i="3"/>
  <c r="G14" i="3" s="1"/>
  <c r="F13" i="3"/>
  <c r="E13" i="3"/>
  <c r="D13" i="3"/>
  <c r="G13" i="3" s="1"/>
  <c r="F12" i="3"/>
  <c r="E12" i="3"/>
  <c r="D12" i="3"/>
  <c r="G12" i="3" s="1"/>
  <c r="F11" i="3"/>
  <c r="E11" i="3"/>
  <c r="D11" i="3"/>
  <c r="G11" i="3" s="1"/>
  <c r="F10" i="3"/>
  <c r="E10" i="3"/>
  <c r="D10" i="3"/>
  <c r="G10" i="3" s="1"/>
  <c r="F9" i="3"/>
  <c r="E9" i="3"/>
  <c r="D9" i="3"/>
  <c r="G9" i="3" s="1"/>
  <c r="F8" i="3"/>
  <c r="E8" i="3"/>
  <c r="D8" i="3"/>
  <c r="G8" i="3" s="1"/>
  <c r="F7" i="3"/>
  <c r="E7" i="3"/>
  <c r="D7" i="3"/>
  <c r="G7" i="3" s="1"/>
  <c r="F6" i="3"/>
  <c r="E6" i="3"/>
  <c r="D6" i="3"/>
  <c r="G6" i="3" s="1"/>
  <c r="F5" i="3"/>
  <c r="E5" i="3"/>
  <c r="D5" i="3"/>
  <c r="G5" i="3" s="1"/>
  <c r="F4" i="3"/>
  <c r="E4" i="3"/>
  <c r="D4" i="3"/>
  <c r="G4" i="3" s="1"/>
  <c r="F3" i="3"/>
  <c r="E3" i="3"/>
  <c r="D3" i="3"/>
  <c r="G3" i="3" s="1"/>
  <c r="F2" i="3"/>
  <c r="E2" i="3"/>
  <c r="D2" i="3"/>
  <c r="G2" i="3" s="1"/>
  <c r="I21" i="2"/>
  <c r="H21" i="2"/>
  <c r="D21" i="2"/>
  <c r="B21" i="2"/>
  <c r="I20" i="2"/>
  <c r="H20" i="2"/>
  <c r="D20" i="2"/>
  <c r="B20" i="2"/>
  <c r="I19" i="2"/>
  <c r="H19" i="2"/>
  <c r="D19" i="2"/>
  <c r="B19" i="2"/>
  <c r="I18" i="2"/>
  <c r="H18" i="2"/>
  <c r="D18" i="2"/>
  <c r="B18" i="2"/>
  <c r="I17" i="2"/>
  <c r="H17" i="2"/>
  <c r="D17" i="2"/>
  <c r="B17" i="2"/>
  <c r="I16" i="2"/>
  <c r="H16" i="2"/>
  <c r="D16" i="2"/>
  <c r="B16" i="2"/>
  <c r="I15" i="2"/>
  <c r="H15" i="2"/>
  <c r="D15" i="2"/>
  <c r="B15" i="2"/>
  <c r="I14" i="2"/>
  <c r="H14" i="2"/>
  <c r="D14" i="2"/>
  <c r="B14" i="2"/>
  <c r="I13" i="2"/>
  <c r="H13" i="2"/>
  <c r="D13" i="2"/>
  <c r="B13" i="2"/>
  <c r="I12" i="2"/>
  <c r="H12" i="2"/>
  <c r="D12" i="2"/>
  <c r="B12" i="2"/>
  <c r="I11" i="2"/>
  <c r="H11" i="2"/>
  <c r="D11" i="2"/>
  <c r="B11" i="2"/>
  <c r="I10" i="2"/>
  <c r="H10" i="2"/>
  <c r="D10" i="2"/>
  <c r="B10" i="2"/>
  <c r="I9" i="2"/>
  <c r="H9" i="2"/>
  <c r="D9" i="2"/>
  <c r="B9" i="2"/>
  <c r="I8" i="2"/>
  <c r="H8" i="2"/>
  <c r="D8" i="2"/>
  <c r="B8" i="2"/>
  <c r="I7" i="2"/>
  <c r="H7" i="2"/>
  <c r="D7" i="2"/>
  <c r="B7" i="2"/>
  <c r="I6" i="2"/>
  <c r="H6" i="2"/>
  <c r="D6" i="2"/>
  <c r="B6" i="2"/>
  <c r="I5" i="2"/>
  <c r="H5" i="2"/>
  <c r="D5" i="2"/>
  <c r="B5" i="2"/>
  <c r="I4" i="2"/>
  <c r="H4" i="2"/>
  <c r="D4" i="2"/>
  <c r="B4" i="2"/>
  <c r="I3" i="2"/>
  <c r="H3" i="2"/>
  <c r="D3" i="2"/>
  <c r="B3" i="2"/>
  <c r="I2" i="2"/>
  <c r="H2" i="2"/>
  <c r="D2" i="2"/>
  <c r="B2" i="2"/>
  <c r="G153" i="3" l="1"/>
  <c r="G348" i="3"/>
  <c r="I299" i="3"/>
  <c r="G300" i="3"/>
  <c r="G301" i="3"/>
  <c r="G322" i="3"/>
  <c r="H181" i="3"/>
  <c r="G182" i="3"/>
  <c r="H183" i="3"/>
  <c r="G196" i="3"/>
  <c r="G285" i="3"/>
  <c r="H169" i="3"/>
  <c r="G170" i="3"/>
  <c r="H171" i="3"/>
  <c r="G280" i="3"/>
  <c r="G281" i="3"/>
  <c r="G241" i="3"/>
  <c r="G354" i="3"/>
  <c r="I263" i="3"/>
  <c r="G264" i="3"/>
  <c r="G265" i="3"/>
  <c r="I311" i="3"/>
  <c r="G312" i="3"/>
  <c r="G313" i="3"/>
  <c r="G222" i="3"/>
  <c r="G248" i="3"/>
  <c r="G249" i="3"/>
  <c r="I303" i="3"/>
  <c r="G304" i="3"/>
  <c r="G305" i="3"/>
  <c r="G338" i="3"/>
  <c r="G206" i="3"/>
  <c r="I259" i="3"/>
  <c r="G260" i="3"/>
  <c r="G261" i="3"/>
  <c r="G288" i="3"/>
  <c r="G289" i="3"/>
  <c r="G332" i="3"/>
  <c r="G346" i="3"/>
  <c r="G244" i="3"/>
  <c r="G245" i="3"/>
  <c r="G252" i="3"/>
  <c r="G253" i="3"/>
  <c r="I275" i="3"/>
  <c r="G276" i="3"/>
  <c r="G277" i="3"/>
  <c r="G284" i="3"/>
  <c r="G137" i="3"/>
  <c r="G202" i="3"/>
  <c r="G212" i="3"/>
  <c r="I267" i="3"/>
  <c r="G268" i="3"/>
  <c r="G269" i="3"/>
  <c r="I295" i="3"/>
  <c r="G296" i="3"/>
  <c r="G297" i="3"/>
  <c r="I315" i="3"/>
  <c r="G316" i="3"/>
  <c r="G330" i="3"/>
  <c r="G125" i="3"/>
  <c r="G147" i="3"/>
  <c r="H157" i="3"/>
  <c r="G158" i="3"/>
  <c r="H159" i="3"/>
  <c r="G190" i="3"/>
  <c r="I255" i="3"/>
  <c r="G256" i="3"/>
  <c r="G257" i="3"/>
  <c r="I271" i="3"/>
  <c r="G272" i="3"/>
  <c r="G273" i="3"/>
  <c r="I291" i="3"/>
  <c r="G292" i="3"/>
  <c r="G293" i="3"/>
  <c r="I307" i="3"/>
  <c r="G308" i="3"/>
  <c r="G309" i="3"/>
  <c r="G324" i="3"/>
  <c r="G340" i="3"/>
  <c r="G356" i="3"/>
  <c r="I243" i="3"/>
  <c r="I283" i="3"/>
  <c r="I287" i="3"/>
  <c r="I244" i="3"/>
  <c r="I248" i="3"/>
  <c r="I252" i="3"/>
  <c r="I256" i="3"/>
  <c r="I260" i="3"/>
  <c r="I264" i="3"/>
  <c r="I268" i="3"/>
  <c r="I272" i="3"/>
  <c r="I276" i="3"/>
  <c r="I280" i="3"/>
  <c r="I284" i="3"/>
  <c r="I288" i="3"/>
  <c r="I292" i="3"/>
  <c r="I296" i="3"/>
  <c r="I300" i="3"/>
  <c r="I304" i="3"/>
  <c r="I308" i="3"/>
  <c r="I312" i="3"/>
  <c r="I251" i="3"/>
  <c r="I279" i="3"/>
  <c r="G234" i="3"/>
  <c r="I241" i="3"/>
  <c r="G242" i="3"/>
  <c r="I245" i="3"/>
  <c r="G246" i="3"/>
  <c r="I249" i="3"/>
  <c r="G250" i="3"/>
  <c r="I253" i="3"/>
  <c r="G254" i="3"/>
  <c r="I257" i="3"/>
  <c r="G258" i="3"/>
  <c r="I261" i="3"/>
  <c r="G262" i="3"/>
  <c r="I265" i="3"/>
  <c r="G266" i="3"/>
  <c r="I269" i="3"/>
  <c r="G270" i="3"/>
  <c r="I273" i="3"/>
  <c r="G274" i="3"/>
  <c r="I277" i="3"/>
  <c r="G278" i="3"/>
  <c r="I281" i="3"/>
  <c r="G282" i="3"/>
  <c r="I285" i="3"/>
  <c r="G286" i="3"/>
  <c r="I289" i="3"/>
  <c r="G290" i="3"/>
  <c r="I293" i="3"/>
  <c r="G294" i="3"/>
  <c r="I297" i="3"/>
  <c r="G298" i="3"/>
  <c r="I301" i="3"/>
  <c r="G302" i="3"/>
  <c r="I305" i="3"/>
  <c r="G306" i="3"/>
  <c r="I309" i="3"/>
  <c r="G310" i="3"/>
  <c r="I313" i="3"/>
  <c r="G314" i="3"/>
  <c r="G320" i="3"/>
  <c r="G328" i="3"/>
  <c r="G336" i="3"/>
  <c r="G344" i="3"/>
  <c r="G352" i="3"/>
  <c r="G360" i="3"/>
  <c r="I247" i="3"/>
  <c r="G121" i="3"/>
  <c r="G131" i="3"/>
  <c r="G141" i="3"/>
  <c r="G218" i="3"/>
  <c r="G228" i="3"/>
  <c r="G238" i="3"/>
  <c r="I242" i="3"/>
  <c r="G243" i="3"/>
  <c r="I246" i="3"/>
  <c r="G247" i="3"/>
  <c r="I250" i="3"/>
  <c r="G251" i="3"/>
  <c r="I254" i="3"/>
  <c r="G255" i="3"/>
  <c r="I258" i="3"/>
  <c r="G259" i="3"/>
  <c r="I262" i="3"/>
  <c r="G263" i="3"/>
  <c r="I266" i="3"/>
  <c r="G267" i="3"/>
  <c r="I270" i="3"/>
  <c r="G271" i="3"/>
  <c r="I274" i="3"/>
  <c r="G275" i="3"/>
  <c r="I278" i="3"/>
  <c r="G279" i="3"/>
  <c r="I282" i="3"/>
  <c r="G283" i="3"/>
  <c r="I286" i="3"/>
  <c r="G287" i="3"/>
  <c r="I290" i="3"/>
  <c r="G291" i="3"/>
  <c r="I294" i="3"/>
  <c r="G295" i="3"/>
  <c r="I298" i="3"/>
  <c r="G299" i="3"/>
  <c r="I302" i="3"/>
  <c r="G303" i="3"/>
  <c r="I306" i="3"/>
  <c r="G307" i="3"/>
  <c r="I310" i="3"/>
  <c r="G311" i="3"/>
  <c r="I314" i="3"/>
  <c r="G315" i="3"/>
  <c r="G318" i="3"/>
  <c r="G326" i="3"/>
  <c r="G334" i="3"/>
  <c r="G342" i="3"/>
  <c r="G350" i="3"/>
  <c r="G358" i="3"/>
  <c r="I317" i="3"/>
  <c r="I321" i="3"/>
  <c r="I325" i="3"/>
  <c r="I329" i="3"/>
  <c r="I333" i="3"/>
  <c r="I337" i="3"/>
  <c r="I341" i="3"/>
  <c r="I345" i="3"/>
  <c r="I349" i="3"/>
  <c r="I353" i="3"/>
  <c r="I357" i="3"/>
  <c r="I361" i="3"/>
  <c r="G361" i="3"/>
  <c r="G362" i="3"/>
  <c r="I362" i="3"/>
  <c r="I363" i="3"/>
  <c r="G363" i="3"/>
  <c r="G364" i="3"/>
  <c r="I364" i="3"/>
  <c r="I365" i="3"/>
  <c r="G365" i="3"/>
  <c r="G366" i="3"/>
  <c r="I366" i="3"/>
  <c r="I367" i="3"/>
  <c r="G367" i="3"/>
  <c r="G368" i="3"/>
  <c r="I368" i="3"/>
  <c r="I369" i="3"/>
  <c r="G369" i="3"/>
  <c r="G370" i="3"/>
  <c r="I370" i="3"/>
  <c r="I371" i="3"/>
  <c r="G371" i="3"/>
  <c r="G372" i="3"/>
  <c r="I372" i="3"/>
  <c r="I373" i="3"/>
  <c r="G373" i="3"/>
  <c r="G374" i="3"/>
  <c r="I374" i="3"/>
  <c r="I375" i="3"/>
  <c r="G375" i="3"/>
  <c r="G376" i="3"/>
  <c r="I376" i="3"/>
  <c r="I377" i="3"/>
  <c r="G377" i="3"/>
  <c r="G378" i="3"/>
  <c r="I378" i="3"/>
  <c r="I379" i="3"/>
  <c r="G379" i="3"/>
  <c r="G380" i="3"/>
  <c r="I380" i="3"/>
  <c r="G388" i="3"/>
  <c r="I388" i="3"/>
  <c r="I396" i="3"/>
  <c r="G396" i="3"/>
  <c r="H396" i="3"/>
  <c r="I400" i="3"/>
  <c r="G400" i="3"/>
  <c r="H400" i="3"/>
  <c r="I404" i="3"/>
  <c r="G404" i="3"/>
  <c r="H404" i="3"/>
  <c r="I408" i="3"/>
  <c r="G408" i="3"/>
  <c r="H408" i="3"/>
  <c r="I412" i="3"/>
  <c r="G412" i="3"/>
  <c r="H412" i="3"/>
  <c r="I416" i="3"/>
  <c r="G416" i="3"/>
  <c r="H416" i="3"/>
  <c r="I420" i="3"/>
  <c r="G420" i="3"/>
  <c r="H420" i="3"/>
  <c r="I424" i="3"/>
  <c r="G424" i="3"/>
  <c r="H424" i="3"/>
  <c r="I428" i="3"/>
  <c r="G428" i="3"/>
  <c r="H428" i="3"/>
  <c r="I432" i="3"/>
  <c r="G432" i="3"/>
  <c r="H432" i="3"/>
  <c r="H115" i="3"/>
  <c r="G133" i="3"/>
  <c r="G139" i="3"/>
  <c r="G145" i="3"/>
  <c r="H165" i="3"/>
  <c r="G166" i="3"/>
  <c r="H167" i="3"/>
  <c r="H185" i="3"/>
  <c r="G186" i="3"/>
  <c r="H187" i="3"/>
  <c r="G188" i="3"/>
  <c r="G194" i="3"/>
  <c r="G214" i="3"/>
  <c r="G220" i="3"/>
  <c r="G226" i="3"/>
  <c r="H318" i="3"/>
  <c r="H319" i="3"/>
  <c r="H322" i="3"/>
  <c r="H323" i="3"/>
  <c r="H326" i="3"/>
  <c r="H327" i="3"/>
  <c r="H330" i="3"/>
  <c r="H331" i="3"/>
  <c r="H334" i="3"/>
  <c r="H335" i="3"/>
  <c r="H338" i="3"/>
  <c r="H339" i="3"/>
  <c r="H342" i="3"/>
  <c r="H343" i="3"/>
  <c r="H346" i="3"/>
  <c r="H347" i="3"/>
  <c r="H350" i="3"/>
  <c r="H351" i="3"/>
  <c r="H354" i="3"/>
  <c r="H355" i="3"/>
  <c r="H358" i="3"/>
  <c r="H359" i="3"/>
  <c r="G386" i="3"/>
  <c r="I386" i="3"/>
  <c r="G394" i="3"/>
  <c r="I394" i="3"/>
  <c r="G399" i="3"/>
  <c r="I399" i="3"/>
  <c r="H399" i="3"/>
  <c r="G403" i="3"/>
  <c r="I403" i="3"/>
  <c r="H403" i="3"/>
  <c r="G407" i="3"/>
  <c r="I407" i="3"/>
  <c r="H407" i="3"/>
  <c r="G411" i="3"/>
  <c r="I411" i="3"/>
  <c r="H411" i="3"/>
  <c r="G415" i="3"/>
  <c r="I415" i="3"/>
  <c r="H415" i="3"/>
  <c r="G419" i="3"/>
  <c r="I419" i="3"/>
  <c r="H419" i="3"/>
  <c r="G423" i="3"/>
  <c r="I423" i="3"/>
  <c r="H423" i="3"/>
  <c r="G427" i="3"/>
  <c r="I427" i="3"/>
  <c r="H427" i="3"/>
  <c r="G431" i="3"/>
  <c r="I431" i="3"/>
  <c r="H431" i="3"/>
  <c r="G457" i="3"/>
  <c r="I457" i="3"/>
  <c r="H457" i="3"/>
  <c r="I319" i="3"/>
  <c r="I323" i="3"/>
  <c r="I327" i="3"/>
  <c r="I331" i="3"/>
  <c r="I335" i="3"/>
  <c r="I339" i="3"/>
  <c r="I343" i="3"/>
  <c r="I347" i="3"/>
  <c r="I351" i="3"/>
  <c r="I355" i="3"/>
  <c r="I359" i="3"/>
  <c r="G384" i="3"/>
  <c r="I384" i="3"/>
  <c r="G392" i="3"/>
  <c r="I392" i="3"/>
  <c r="I398" i="3"/>
  <c r="G398" i="3"/>
  <c r="H398" i="3"/>
  <c r="I402" i="3"/>
  <c r="G402" i="3"/>
  <c r="H402" i="3"/>
  <c r="I406" i="3"/>
  <c r="G406" i="3"/>
  <c r="H406" i="3"/>
  <c r="I410" i="3"/>
  <c r="G410" i="3"/>
  <c r="H410" i="3"/>
  <c r="I414" i="3"/>
  <c r="G414" i="3"/>
  <c r="H414" i="3"/>
  <c r="I418" i="3"/>
  <c r="G418" i="3"/>
  <c r="H418" i="3"/>
  <c r="I422" i="3"/>
  <c r="G422" i="3"/>
  <c r="H422" i="3"/>
  <c r="I426" i="3"/>
  <c r="G426" i="3"/>
  <c r="H426" i="3"/>
  <c r="I430" i="3"/>
  <c r="G430" i="3"/>
  <c r="H430" i="3"/>
  <c r="I434" i="3"/>
  <c r="H434" i="3"/>
  <c r="G434" i="3"/>
  <c r="G441" i="3"/>
  <c r="I441" i="3"/>
  <c r="H441" i="3"/>
  <c r="G473" i="3"/>
  <c r="I473" i="3"/>
  <c r="H473" i="3"/>
  <c r="G123" i="3"/>
  <c r="G129" i="3"/>
  <c r="G149" i="3"/>
  <c r="G155" i="3"/>
  <c r="H173" i="3"/>
  <c r="G174" i="3"/>
  <c r="H175" i="3"/>
  <c r="G198" i="3"/>
  <c r="G204" i="3"/>
  <c r="G210" i="3"/>
  <c r="G230" i="3"/>
  <c r="G236" i="3"/>
  <c r="H316" i="3"/>
  <c r="H317" i="3"/>
  <c r="H320" i="3"/>
  <c r="H321" i="3"/>
  <c r="H324" i="3"/>
  <c r="H325" i="3"/>
  <c r="H328" i="3"/>
  <c r="H329" i="3"/>
  <c r="H332" i="3"/>
  <c r="H333" i="3"/>
  <c r="H336" i="3"/>
  <c r="H337" i="3"/>
  <c r="H340" i="3"/>
  <c r="H341" i="3"/>
  <c r="H344" i="3"/>
  <c r="H345" i="3"/>
  <c r="H348" i="3"/>
  <c r="H349" i="3"/>
  <c r="H352" i="3"/>
  <c r="H353" i="3"/>
  <c r="H356" i="3"/>
  <c r="H357" i="3"/>
  <c r="H360" i="3"/>
  <c r="H361" i="3"/>
  <c r="H362" i="3"/>
  <c r="H363" i="3"/>
  <c r="H364" i="3"/>
  <c r="H365" i="3"/>
  <c r="H366" i="3"/>
  <c r="H367" i="3"/>
  <c r="H368" i="3"/>
  <c r="H369" i="3"/>
  <c r="H370" i="3"/>
  <c r="H371" i="3"/>
  <c r="H372" i="3"/>
  <c r="H373" i="3"/>
  <c r="H374" i="3"/>
  <c r="H375" i="3"/>
  <c r="H376" i="3"/>
  <c r="H377" i="3"/>
  <c r="H378" i="3"/>
  <c r="H379" i="3"/>
  <c r="H380" i="3"/>
  <c r="G382" i="3"/>
  <c r="I382" i="3"/>
  <c r="H388" i="3"/>
  <c r="G390" i="3"/>
  <c r="I390" i="3"/>
  <c r="G397" i="3"/>
  <c r="I397" i="3"/>
  <c r="H397" i="3"/>
  <c r="G401" i="3"/>
  <c r="I401" i="3"/>
  <c r="H401" i="3"/>
  <c r="G405" i="3"/>
  <c r="I405" i="3"/>
  <c r="H405" i="3"/>
  <c r="G409" i="3"/>
  <c r="I409" i="3"/>
  <c r="H409" i="3"/>
  <c r="G413" i="3"/>
  <c r="I413" i="3"/>
  <c r="H413" i="3"/>
  <c r="G417" i="3"/>
  <c r="I417" i="3"/>
  <c r="H417" i="3"/>
  <c r="G421" i="3"/>
  <c r="I421" i="3"/>
  <c r="H421" i="3"/>
  <c r="G425" i="3"/>
  <c r="I425" i="3"/>
  <c r="H425" i="3"/>
  <c r="G429" i="3"/>
  <c r="I429" i="3"/>
  <c r="H429" i="3"/>
  <c r="G433" i="3"/>
  <c r="I433" i="3"/>
  <c r="H433" i="3"/>
  <c r="G449" i="3"/>
  <c r="I449" i="3"/>
  <c r="H449" i="3"/>
  <c r="G465" i="3"/>
  <c r="I465" i="3"/>
  <c r="H465" i="3"/>
  <c r="G381" i="3"/>
  <c r="G383" i="3"/>
  <c r="G385" i="3"/>
  <c r="G387" i="3"/>
  <c r="G389" i="3"/>
  <c r="G391" i="3"/>
  <c r="G393" i="3"/>
  <c r="G395" i="3"/>
  <c r="G439" i="3"/>
  <c r="I439" i="3"/>
  <c r="G447" i="3"/>
  <c r="I447" i="3"/>
  <c r="G455" i="3"/>
  <c r="I455" i="3"/>
  <c r="G463" i="3"/>
  <c r="I463" i="3"/>
  <c r="G471" i="3"/>
  <c r="I471" i="3"/>
  <c r="G479" i="3"/>
  <c r="I479" i="3"/>
  <c r="H381" i="3"/>
  <c r="H383" i="3"/>
  <c r="H385" i="3"/>
  <c r="H387" i="3"/>
  <c r="H389" i="3"/>
  <c r="H391" i="3"/>
  <c r="H393" i="3"/>
  <c r="H395" i="3"/>
  <c r="G437" i="3"/>
  <c r="I437" i="3"/>
  <c r="G445" i="3"/>
  <c r="I445" i="3"/>
  <c r="G453" i="3"/>
  <c r="I453" i="3"/>
  <c r="G461" i="3"/>
  <c r="I461" i="3"/>
  <c r="G469" i="3"/>
  <c r="I469" i="3"/>
  <c r="G477" i="3"/>
  <c r="I477" i="3"/>
  <c r="G435" i="3"/>
  <c r="I435" i="3"/>
  <c r="G443" i="3"/>
  <c r="I443" i="3"/>
  <c r="G451" i="3"/>
  <c r="I451" i="3"/>
  <c r="G459" i="3"/>
  <c r="I459" i="3"/>
  <c r="G467" i="3"/>
  <c r="I467" i="3"/>
  <c r="G475" i="3"/>
  <c r="I475" i="3"/>
  <c r="G436" i="3"/>
  <c r="G438" i="3"/>
  <c r="G440" i="3"/>
  <c r="G442" i="3"/>
  <c r="G444" i="3"/>
  <c r="G446" i="3"/>
  <c r="G448" i="3"/>
  <c r="G450" i="3"/>
  <c r="G452" i="3"/>
  <c r="G454" i="3"/>
  <c r="G456" i="3"/>
  <c r="G458" i="3"/>
  <c r="G460" i="3"/>
  <c r="G462" i="3"/>
  <c r="G464" i="3"/>
  <c r="G466" i="3"/>
  <c r="G468" i="3"/>
  <c r="G470" i="3"/>
  <c r="G472" i="3"/>
  <c r="G474" i="3"/>
  <c r="G476" i="3"/>
  <c r="G478" i="3"/>
  <c r="G480" i="3"/>
  <c r="H436" i="3"/>
  <c r="H438" i="3"/>
  <c r="H440" i="3"/>
  <c r="H442" i="3"/>
  <c r="H444" i="3"/>
  <c r="H446" i="3"/>
  <c r="H448" i="3"/>
  <c r="H450" i="3"/>
  <c r="H452" i="3"/>
  <c r="H454" i="3"/>
  <c r="H456" i="3"/>
  <c r="H458" i="3"/>
  <c r="H460" i="3"/>
  <c r="H462" i="3"/>
  <c r="H464" i="3"/>
  <c r="H466" i="3"/>
  <c r="H468" i="3"/>
  <c r="H470" i="3"/>
  <c r="H472" i="3"/>
  <c r="H474" i="3"/>
  <c r="H476" i="3"/>
  <c r="H478" i="3"/>
  <c r="H480" i="3"/>
  <c r="H109" i="3"/>
  <c r="H119" i="3"/>
  <c r="G127" i="3"/>
  <c r="G135" i="3"/>
  <c r="G143" i="3"/>
  <c r="G151" i="3"/>
  <c r="H161" i="3"/>
  <c r="G162" i="3"/>
  <c r="H163" i="3"/>
  <c r="H177" i="3"/>
  <c r="G178" i="3"/>
  <c r="H179" i="3"/>
  <c r="G192" i="3"/>
  <c r="G200" i="3"/>
  <c r="G208" i="3"/>
  <c r="G216" i="3"/>
  <c r="G224" i="3"/>
  <c r="G232" i="3"/>
  <c r="G240" i="3"/>
  <c r="H121" i="3"/>
  <c r="H123" i="3"/>
  <c r="H125" i="3"/>
  <c r="H127" i="3"/>
  <c r="H129" i="3"/>
  <c r="H131" i="3"/>
  <c r="H133" i="3"/>
  <c r="H135" i="3"/>
  <c r="H137" i="3"/>
  <c r="H139" i="3"/>
  <c r="H141" i="3"/>
  <c r="H143" i="3"/>
  <c r="H145" i="3"/>
  <c r="H147" i="3"/>
  <c r="H149" i="3"/>
  <c r="H151" i="3"/>
  <c r="H153" i="3"/>
  <c r="H155" i="3"/>
  <c r="H158" i="3"/>
  <c r="H162" i="3"/>
  <c r="H166" i="3"/>
  <c r="H170" i="3"/>
  <c r="H174" i="3"/>
  <c r="H178" i="3"/>
  <c r="H182" i="3"/>
  <c r="H186" i="3"/>
  <c r="H122" i="3"/>
  <c r="H124" i="3"/>
  <c r="H126" i="3"/>
  <c r="H128" i="3"/>
  <c r="H130" i="3"/>
  <c r="H132" i="3"/>
  <c r="H134" i="3"/>
  <c r="H136" i="3"/>
  <c r="H138" i="3"/>
  <c r="H140" i="3"/>
  <c r="H142" i="3"/>
  <c r="H144" i="3"/>
  <c r="H146" i="3"/>
  <c r="H148" i="3"/>
  <c r="H150" i="3"/>
  <c r="H152" i="3"/>
  <c r="H154" i="3"/>
  <c r="H156" i="3"/>
  <c r="H160" i="3"/>
  <c r="H164" i="3"/>
  <c r="H168" i="3"/>
  <c r="H172" i="3"/>
  <c r="H176" i="3"/>
  <c r="H180" i="3"/>
  <c r="H184" i="3"/>
  <c r="G189" i="3"/>
  <c r="I189" i="3"/>
  <c r="G191" i="3"/>
  <c r="I191" i="3"/>
  <c r="G193" i="3"/>
  <c r="I193" i="3"/>
  <c r="G195" i="3"/>
  <c r="I195" i="3"/>
  <c r="G197" i="3"/>
  <c r="I197" i="3"/>
  <c r="G199" i="3"/>
  <c r="I199" i="3"/>
  <c r="G201" i="3"/>
  <c r="I201" i="3"/>
  <c r="G203" i="3"/>
  <c r="I203" i="3"/>
  <c r="G205" i="3"/>
  <c r="I205" i="3"/>
  <c r="G207" i="3"/>
  <c r="I207" i="3"/>
  <c r="G209" i="3"/>
  <c r="I209" i="3"/>
  <c r="G211" i="3"/>
  <c r="I211" i="3"/>
  <c r="G213" i="3"/>
  <c r="I213" i="3"/>
  <c r="G215" i="3"/>
  <c r="I215" i="3"/>
  <c r="G217" i="3"/>
  <c r="I217" i="3"/>
  <c r="G219" i="3"/>
  <c r="I219" i="3"/>
  <c r="G221" i="3"/>
  <c r="I221" i="3"/>
  <c r="G223" i="3"/>
  <c r="I223" i="3"/>
  <c r="G225" i="3"/>
  <c r="I225" i="3"/>
  <c r="G227" i="3"/>
  <c r="I227" i="3"/>
  <c r="G229" i="3"/>
  <c r="I229" i="3"/>
  <c r="G231" i="3"/>
  <c r="I231" i="3"/>
  <c r="G233" i="3"/>
  <c r="I233" i="3"/>
  <c r="G235" i="3"/>
  <c r="I235" i="3"/>
  <c r="G237" i="3"/>
  <c r="I237" i="3"/>
  <c r="G239" i="3"/>
  <c r="I239" i="3"/>
  <c r="I122" i="3"/>
  <c r="I124" i="3"/>
  <c r="I126" i="3"/>
  <c r="I128" i="3"/>
  <c r="I130" i="3"/>
  <c r="I132" i="3"/>
  <c r="I134" i="3"/>
  <c r="I136" i="3"/>
  <c r="I138" i="3"/>
  <c r="I140" i="3"/>
  <c r="I142" i="3"/>
  <c r="I144" i="3"/>
  <c r="I146" i="3"/>
  <c r="I148" i="3"/>
  <c r="I150" i="3"/>
  <c r="I152" i="3"/>
  <c r="I154" i="3"/>
  <c r="I157" i="3"/>
  <c r="I161" i="3"/>
  <c r="I165" i="3"/>
  <c r="I169" i="3"/>
  <c r="I173" i="3"/>
  <c r="I177" i="3"/>
  <c r="I181" i="3"/>
  <c r="I185" i="3"/>
  <c r="H111" i="3"/>
  <c r="H117" i="3"/>
  <c r="G156" i="3"/>
  <c r="I159" i="3"/>
  <c r="G160" i="3"/>
  <c r="I163" i="3"/>
  <c r="G164" i="3"/>
  <c r="I167" i="3"/>
  <c r="G168" i="3"/>
  <c r="I171" i="3"/>
  <c r="G172" i="3"/>
  <c r="I175" i="3"/>
  <c r="G176" i="3"/>
  <c r="I179" i="3"/>
  <c r="G180" i="3"/>
  <c r="I183" i="3"/>
  <c r="G184" i="3"/>
  <c r="I187" i="3"/>
  <c r="H189" i="3"/>
  <c r="H191" i="3"/>
  <c r="H193" i="3"/>
  <c r="H195" i="3"/>
  <c r="H197" i="3"/>
  <c r="H199" i="3"/>
  <c r="H201" i="3"/>
  <c r="H203" i="3"/>
  <c r="H205" i="3"/>
  <c r="H207" i="3"/>
  <c r="H209" i="3"/>
  <c r="H211" i="3"/>
  <c r="H213" i="3"/>
  <c r="H215" i="3"/>
  <c r="H217" i="3"/>
  <c r="H219" i="3"/>
  <c r="H221" i="3"/>
  <c r="H223" i="3"/>
  <c r="H225" i="3"/>
  <c r="H227" i="3"/>
  <c r="H229" i="3"/>
  <c r="H231" i="3"/>
  <c r="H233" i="3"/>
  <c r="H235" i="3"/>
  <c r="H237" i="3"/>
  <c r="H239" i="3"/>
  <c r="H188" i="3"/>
  <c r="H190" i="3"/>
  <c r="H192" i="3"/>
  <c r="H194" i="3"/>
  <c r="H196" i="3"/>
  <c r="H198" i="3"/>
  <c r="H200" i="3"/>
  <c r="H202" i="3"/>
  <c r="H204" i="3"/>
  <c r="H206" i="3"/>
  <c r="H208" i="3"/>
  <c r="H210" i="3"/>
  <c r="H212" i="3"/>
  <c r="H214" i="3"/>
  <c r="H216" i="3"/>
  <c r="H218" i="3"/>
  <c r="H220" i="3"/>
  <c r="H222" i="3"/>
  <c r="H224" i="3"/>
  <c r="H226" i="3"/>
  <c r="H228" i="3"/>
  <c r="H230" i="3"/>
  <c r="H232" i="3"/>
  <c r="H234" i="3"/>
  <c r="H236" i="3"/>
  <c r="H238" i="3"/>
  <c r="H240" i="3"/>
  <c r="H103" i="3"/>
  <c r="H101" i="3"/>
  <c r="H107" i="3"/>
  <c r="H105" i="3"/>
  <c r="H113" i="3"/>
  <c r="I101" i="3"/>
  <c r="G102" i="3"/>
  <c r="I103" i="3"/>
  <c r="G104" i="3"/>
  <c r="I105" i="3"/>
  <c r="G106" i="3"/>
  <c r="I107" i="3"/>
  <c r="G108" i="3"/>
  <c r="I109" i="3"/>
  <c r="G110" i="3"/>
  <c r="I111" i="3"/>
  <c r="G112" i="3"/>
  <c r="I113" i="3"/>
  <c r="G114" i="3"/>
  <c r="I115" i="3"/>
  <c r="G116" i="3"/>
  <c r="I117" i="3"/>
  <c r="G118" i="3"/>
  <c r="I119" i="3"/>
  <c r="G120" i="3"/>
  <c r="H102" i="3"/>
  <c r="H104" i="3"/>
  <c r="H106" i="3"/>
  <c r="H108" i="3"/>
  <c r="H110" i="3"/>
  <c r="H112" i="3"/>
  <c r="H114" i="3"/>
  <c r="H116" i="3"/>
  <c r="H118" i="3"/>
  <c r="H120" i="3"/>
  <c r="H63" i="3"/>
  <c r="H97" i="3"/>
  <c r="H75" i="3"/>
  <c r="H99" i="3"/>
  <c r="H69" i="3"/>
  <c r="I81" i="3"/>
  <c r="G82" i="3"/>
  <c r="I83" i="3"/>
  <c r="G84" i="3"/>
  <c r="I85" i="3"/>
  <c r="G86" i="3"/>
  <c r="I87" i="3"/>
  <c r="G88" i="3"/>
  <c r="I89" i="3"/>
  <c r="G90" i="3"/>
  <c r="I91" i="3"/>
  <c r="G92" i="3"/>
  <c r="I93" i="3"/>
  <c r="G94" i="3"/>
  <c r="I95" i="3"/>
  <c r="G96" i="3"/>
  <c r="I97" i="3"/>
  <c r="G98" i="3"/>
  <c r="I99" i="3"/>
  <c r="G100" i="3"/>
  <c r="H100" i="3"/>
  <c r="H81" i="3"/>
  <c r="H83" i="3"/>
  <c r="H85" i="3"/>
  <c r="H87" i="3"/>
  <c r="H89" i="3"/>
  <c r="H91" i="3"/>
  <c r="H93" i="3"/>
  <c r="H95" i="3"/>
  <c r="H82" i="3"/>
  <c r="H84" i="3"/>
  <c r="H86" i="3"/>
  <c r="H88" i="3"/>
  <c r="H90" i="3"/>
  <c r="H92" i="3"/>
  <c r="H94" i="3"/>
  <c r="H96" i="3"/>
  <c r="H98" i="3"/>
  <c r="H57" i="3"/>
  <c r="H47" i="3"/>
  <c r="H65" i="3"/>
  <c r="H71" i="3"/>
  <c r="H61" i="3"/>
  <c r="H73" i="3"/>
  <c r="H77" i="3"/>
  <c r="H79" i="3"/>
  <c r="H53" i="3"/>
  <c r="I61" i="3"/>
  <c r="G62" i="3"/>
  <c r="I63" i="3"/>
  <c r="G64" i="3"/>
  <c r="I65" i="3"/>
  <c r="G66" i="3"/>
  <c r="I67" i="3"/>
  <c r="G68" i="3"/>
  <c r="I69" i="3"/>
  <c r="G70" i="3"/>
  <c r="I71" i="3"/>
  <c r="G72" i="3"/>
  <c r="I73" i="3"/>
  <c r="G74" i="3"/>
  <c r="I75" i="3"/>
  <c r="G76" i="3"/>
  <c r="I77" i="3"/>
  <c r="G78" i="3"/>
  <c r="I79" i="3"/>
  <c r="G80" i="3"/>
  <c r="H62" i="3"/>
  <c r="H64" i="3"/>
  <c r="H66" i="3"/>
  <c r="H68" i="3"/>
  <c r="H70" i="3"/>
  <c r="H72" i="3"/>
  <c r="H74" i="3"/>
  <c r="H76" i="3"/>
  <c r="H78" i="3"/>
  <c r="H80" i="3"/>
  <c r="H67" i="3"/>
  <c r="H45" i="3"/>
  <c r="H43" i="3"/>
  <c r="H41" i="3"/>
  <c r="H49" i="3"/>
  <c r="H55" i="3"/>
  <c r="H51" i="3"/>
  <c r="H59" i="3"/>
  <c r="I41" i="3"/>
  <c r="G42" i="3"/>
  <c r="I43" i="3"/>
  <c r="G44" i="3"/>
  <c r="I45" i="3"/>
  <c r="G46" i="3"/>
  <c r="I47" i="3"/>
  <c r="G48" i="3"/>
  <c r="I49" i="3"/>
  <c r="G50" i="3"/>
  <c r="I51" i="3"/>
  <c r="G52" i="3"/>
  <c r="I53" i="3"/>
  <c r="G54" i="3"/>
  <c r="I55" i="3"/>
  <c r="G56" i="3"/>
  <c r="I57" i="3"/>
  <c r="G58" i="3"/>
  <c r="I59" i="3"/>
  <c r="G60" i="3"/>
  <c r="H42" i="3"/>
  <c r="H44" i="3"/>
  <c r="H46" i="3"/>
  <c r="H48" i="3"/>
  <c r="H50" i="3"/>
  <c r="H52" i="3"/>
  <c r="H54" i="3"/>
  <c r="H56" i="3"/>
  <c r="H58" i="3"/>
  <c r="H60" i="3"/>
  <c r="H30" i="3"/>
  <c r="I39" i="3"/>
  <c r="H28" i="3"/>
  <c r="H22" i="3"/>
  <c r="H21" i="3"/>
  <c r="H23" i="3"/>
  <c r="H25" i="3"/>
  <c r="H27" i="3"/>
  <c r="H29" i="3"/>
  <c r="H31" i="3"/>
  <c r="H33" i="3"/>
  <c r="H35" i="3"/>
  <c r="H37" i="3"/>
  <c r="H39" i="3"/>
  <c r="I21" i="3"/>
  <c r="G22" i="3"/>
  <c r="I23" i="3"/>
  <c r="G24" i="3"/>
  <c r="I25" i="3"/>
  <c r="G26" i="3"/>
  <c r="I27" i="3"/>
  <c r="G28" i="3"/>
  <c r="I29" i="3"/>
  <c r="G30" i="3"/>
  <c r="I31" i="3"/>
  <c r="G32" i="3"/>
  <c r="I33" i="3"/>
  <c r="G34" i="3"/>
  <c r="I35" i="3"/>
  <c r="G36" i="3"/>
  <c r="I37" i="3"/>
  <c r="G38" i="3"/>
  <c r="G40" i="3"/>
  <c r="H24" i="3"/>
  <c r="H32" i="3"/>
  <c r="H34" i="3"/>
  <c r="H36" i="3"/>
  <c r="H38" i="3"/>
  <c r="H40" i="3"/>
  <c r="H26" i="3"/>
  <c r="I16" i="3"/>
  <c r="I8" i="3"/>
  <c r="I7" i="3"/>
  <c r="I20" i="3"/>
  <c r="I12" i="3"/>
  <c r="I5" i="3"/>
  <c r="I15" i="3"/>
  <c r="I19" i="3"/>
  <c r="I11" i="3"/>
  <c r="I4" i="3"/>
  <c r="I18" i="3"/>
  <c r="I14" i="3"/>
  <c r="I10" i="3"/>
  <c r="I6" i="3"/>
  <c r="I3" i="3"/>
  <c r="I17" i="3"/>
  <c r="I13" i="3"/>
  <c r="I9" i="3"/>
  <c r="I2" i="3"/>
  <c r="H11" i="3"/>
  <c r="H16" i="3"/>
  <c r="H15" i="3"/>
  <c r="H20" i="3"/>
  <c r="H5" i="3"/>
  <c r="H19" i="3"/>
  <c r="H14" i="3"/>
  <c r="H8" i="3"/>
  <c r="H4" i="3"/>
  <c r="H6" i="3"/>
  <c r="H10" i="3"/>
  <c r="H18" i="3"/>
  <c r="H12" i="3"/>
  <c r="H7" i="3"/>
  <c r="H3" i="3"/>
  <c r="H17" i="3"/>
  <c r="H13" i="3"/>
  <c r="H9" i="3"/>
  <c r="H2"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<sst xmlns="http://schemas.openxmlformats.org/spreadsheetml/2006/main" count="2339" uniqueCount="161">
  <si>
    <t>Transaction ID</t>
  </si>
  <si>
    <t>Department</t>
  </si>
  <si>
    <t>Region</t>
  </si>
  <si>
    <t>Product</t>
  </si>
  <si>
    <t>Quantity</t>
  </si>
  <si>
    <t>Unit Price</t>
  </si>
  <si>
    <t>Discount %</t>
  </si>
  <si>
    <t>Total 
Sale</t>
  </si>
  <si>
    <t>Target</t>
  </si>
  <si>
    <t>Payment
 Mode</t>
  </si>
  <si>
    <t>TXN001</t>
  </si>
  <si>
    <t>John Smith</t>
  </si>
  <si>
    <t>Sales</t>
  </si>
  <si>
    <t>East</t>
  </si>
  <si>
    <t>05-Jan-2024</t>
  </si>
  <si>
    <t>Laptop</t>
  </si>
  <si>
    <t>Credit Card</t>
  </si>
  <si>
    <t>TXN002</t>
  </si>
  <si>
    <t>Sarah Johnson</t>
  </si>
  <si>
    <t>Marketing</t>
  </si>
  <si>
    <t>West</t>
  </si>
  <si>
    <t>12-Jan-2024</t>
  </si>
  <si>
    <t>Printer</t>
  </si>
  <si>
    <t>Cash</t>
  </si>
  <si>
    <t>TXN003</t>
  </si>
  <si>
    <t>David Lee</t>
  </si>
  <si>
    <t>Finance</t>
  </si>
  <si>
    <t>North</t>
  </si>
  <si>
    <t>18-Jan-2024</t>
  </si>
  <si>
    <t>Monitor</t>
  </si>
  <si>
    <t>UPI</t>
  </si>
  <si>
    <t>TXN004</t>
  </si>
  <si>
    <t>Emma Brown</t>
  </si>
  <si>
    <t>HR</t>
  </si>
  <si>
    <t>South</t>
  </si>
  <si>
    <t>22-Jan-2024</t>
  </si>
  <si>
    <t>TXN005</t>
  </si>
  <si>
    <t>Michael Davis</t>
  </si>
  <si>
    <t>25-Jan-2024</t>
  </si>
  <si>
    <t>Tablet</t>
  </si>
  <si>
    <t>TXN006</t>
  </si>
  <si>
    <t>Olivia Wilson</t>
  </si>
  <si>
    <t>29-Jan-2024</t>
  </si>
  <si>
    <t>Projector</t>
  </si>
  <si>
    <t>TXN007</t>
  </si>
  <si>
    <t>Daniel Miller</t>
  </si>
  <si>
    <t>IT</t>
  </si>
  <si>
    <t>03-Feb-2024</t>
  </si>
  <si>
    <t>Keyboard</t>
  </si>
  <si>
    <t>TXN008</t>
  </si>
  <si>
    <t>Ava Taylor</t>
  </si>
  <si>
    <t>06-Feb-2024</t>
  </si>
  <si>
    <t>Mouse</t>
  </si>
  <si>
    <t>TXN009</t>
  </si>
  <si>
    <t>Sophia White</t>
  </si>
  <si>
    <t>10-Feb-2024</t>
  </si>
  <si>
    <t>TXN010</t>
  </si>
  <si>
    <t>James Hall</t>
  </si>
  <si>
    <t>15-Feb-2024</t>
  </si>
  <si>
    <t>TXN011</t>
  </si>
  <si>
    <t>Mia Green</t>
  </si>
  <si>
    <t>20-Feb-2024</t>
  </si>
  <si>
    <t>TXN012</t>
  </si>
  <si>
    <t>Ethan Clark</t>
  </si>
  <si>
    <t>24-Feb-2024</t>
  </si>
  <si>
    <t>TXN013</t>
  </si>
  <si>
    <t>Lily Adams</t>
  </si>
  <si>
    <t>28-Feb-2024</t>
  </si>
  <si>
    <t>TXN014</t>
  </si>
  <si>
    <t>Noah Scott</t>
  </si>
  <si>
    <t>03-Mar-2024</t>
  </si>
  <si>
    <t>TXN015</t>
  </si>
  <si>
    <t>Grace Lewis</t>
  </si>
  <si>
    <t>08-Mar-2024</t>
  </si>
  <si>
    <t>TXN016</t>
  </si>
  <si>
    <t>Lucas Young</t>
  </si>
  <si>
    <t>12-Mar-2024</t>
  </si>
  <si>
    <t>TXN017</t>
  </si>
  <si>
    <t>Harper King</t>
  </si>
  <si>
    <t>17-Mar-2024</t>
  </si>
  <si>
    <t>TXN018</t>
  </si>
  <si>
    <t>Henry Baker</t>
  </si>
  <si>
    <t>21-Mar-2024</t>
  </si>
  <si>
    <t>TXN019</t>
  </si>
  <si>
    <t>Ella Turner</t>
  </si>
  <si>
    <t>25-Mar-2024</t>
  </si>
  <si>
    <t>TXN020</t>
  </si>
  <si>
    <t>Jack Hill</t>
  </si>
  <si>
    <t>29-Mar-2024</t>
  </si>
  <si>
    <t>Employee
 Name</t>
  </si>
  <si>
    <t>Transaction Date</t>
  </si>
  <si>
    <t>Employee
Length</t>
  </si>
  <si>
    <t>Last 3 Charcters</t>
  </si>
  <si>
    <t>ast</t>
  </si>
  <si>
    <t>est</t>
  </si>
  <si>
    <t>rth</t>
  </si>
  <si>
    <t>uth</t>
  </si>
  <si>
    <t>Last 3 charcters 
using Flash Fill</t>
  </si>
  <si>
    <t>Sales-East</t>
  </si>
  <si>
    <t>Marketing-West</t>
  </si>
  <si>
    <t>Finance-North</t>
  </si>
  <si>
    <t>HR-South</t>
  </si>
  <si>
    <t>IT-West</t>
  </si>
  <si>
    <t>Marketing-South</t>
  </si>
  <si>
    <t>HR-East</t>
  </si>
  <si>
    <t>Sales-West</t>
  </si>
  <si>
    <t>Finance-South</t>
  </si>
  <si>
    <t>Marketing-East</t>
  </si>
  <si>
    <t>HR-North</t>
  </si>
  <si>
    <t>Sales-South</t>
  </si>
  <si>
    <t>Finance-West</t>
  </si>
  <si>
    <t>IT-North</t>
  </si>
  <si>
    <t>Concat</t>
  </si>
  <si>
    <t>Flash Fill</t>
  </si>
  <si>
    <t>MID</t>
  </si>
  <si>
    <t>John Smith - East - Sales</t>
  </si>
  <si>
    <t>Sarah Johnson - West - Marketing</t>
  </si>
  <si>
    <t>David Lee - North - Finance</t>
  </si>
  <si>
    <t>Emma Brown - South - HR</t>
  </si>
  <si>
    <t>Michael Davis - East - Sales</t>
  </si>
  <si>
    <t>Olivia Wilson - North - Finance</t>
  </si>
  <si>
    <t>Daniel Miller - West - IT</t>
  </si>
  <si>
    <t>Ava Taylor - East - Sales</t>
  </si>
  <si>
    <t>Sophia White - South - Marketing</t>
  </si>
  <si>
    <t>James Hall - North - Finance</t>
  </si>
  <si>
    <t>Mia Green - East - HR</t>
  </si>
  <si>
    <t>Ethan Clark - West - Sales</t>
  </si>
  <si>
    <t>Lily Adams - South - Finance</t>
  </si>
  <si>
    <t>Noah Scott - East - Marketing</t>
  </si>
  <si>
    <t>Grace Lewis - North - HR</t>
  </si>
  <si>
    <t>Lucas Young - South - Sales</t>
  </si>
  <si>
    <t>Harper King - West - Finance</t>
  </si>
  <si>
    <t>Henry Baker - North - IT</t>
  </si>
  <si>
    <t>Ella Turner - East - Sales</t>
  </si>
  <si>
    <t>Jack Hill - South - Marketing</t>
  </si>
  <si>
    <t>Combined</t>
  </si>
  <si>
    <t>Transaction Id</t>
  </si>
  <si>
    <t>Today</t>
  </si>
  <si>
    <t>Now</t>
  </si>
  <si>
    <t>End of Transaction Month</t>
  </si>
  <si>
    <t>DAYS 
(Date diff in days)</t>
  </si>
  <si>
    <t>Net workdays(UAE)</t>
  </si>
  <si>
    <t>Net workdays (India)</t>
  </si>
  <si>
    <t>Median
of Sales</t>
  </si>
  <si>
    <t>CountIf</t>
  </si>
  <si>
    <t>Credit Card 
payment</t>
  </si>
  <si>
    <t>Average of Total  Sales</t>
  </si>
  <si>
    <t>Grand Total</t>
  </si>
  <si>
    <t>Max of Unit Price</t>
  </si>
  <si>
    <t>Median of 
Unit Price</t>
  </si>
  <si>
    <t>Count of Employee
 Name</t>
  </si>
  <si>
    <t>Products</t>
  </si>
  <si>
    <t>Count of Region</t>
  </si>
  <si>
    <t>(Multiple Items)</t>
  </si>
  <si>
    <t>Employees</t>
  </si>
  <si>
    <t>Target_Average</t>
  </si>
  <si>
    <t>Payment Mode</t>
  </si>
  <si>
    <t>Relative 
Referencing</t>
  </si>
  <si>
    <t>Absolute 
Referncing</t>
  </si>
  <si>
    <t>Mixed 
Referncing Pt 1</t>
  </si>
  <si>
    <t>Mixed 
Referncing Pt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</si>
</sst>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mm/yyyy"/>
    <numFmt numFmtId="165" formatCode="[$-F800]dddd\,\ mmmm\ dd\,\ yyyy"/>
    <numFmt numFmtId="166" formatCode="mmm/yyyy"/>
    <numFmt numFmtId="167" formatCode="dd/mmmm/yyyy"/>
    <numFmt numFmtId="168"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s>
  <fills count="2">
    <fill>
      <patternFill patternType="none"/>
    </fill>
    <fill>
      <patternFill patternType="gray125"/>
    </fill>
  </fills>
  <borders count="6">
    <border>
      <left/>
      <right/>
      <top/>
      <bottom/>
      <diagonal/>
    </border>
    <border>
      <left style="thin">
        <color auto="1"/>
      </left>
      <right style="thin">
        <color auto="1"/>
      </right>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9" fontId="3" fillId="0" borderId="0" applyFont="0" applyFill="0" applyBorder="0" applyAlignment="0" applyProtection="0"/>
  </cellStyleXfs>
  <cellXfs count="2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1" fillId="0" borderId="1" xfId="0" applyFont="1" applyBorder="1" applyAlignment="1">
      <alignment horizontal="center" vertical="center" wrapText="1"/>
    </xf>
    <xf numFmtId="0" fontId="0" fillId="0" borderId="0" xfId="0" applyAlignment="1">
      <alignment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 xfId="0" applyBorder="1" applyAlignment="1">
      <alignment vertical="center" wrapText="1"/>
    </xf>
    <xf numFmtId="0" fontId="1" fillId="0" borderId="4" xfId="0" applyFont="1" applyBorder="1" applyAlignment="1">
      <alignment horizontal="center" vertical="center" wrapText="1"/>
    </xf>
    <xf numFmtId="164" fontId="0" fillId="0" borderId="0" xfId="0" applyNumberFormat="1"/>
    <xf numFmtId="165" fontId="0" fillId="0" borderId="0" xfId="0" applyNumberFormat="1"/>
    <xf numFmtId="165" fontId="1" fillId="0" borderId="1" xfId="0" applyNumberFormat="1" applyFont="1" applyBorder="1" applyAlignment="1">
      <alignment horizontal="center" vertical="top" wrapText="1"/>
    </xf>
    <xf numFmtId="164" fontId="1" fillId="0" borderId="2" xfId="0" applyNumberFormat="1" applyFont="1" applyBorder="1" applyAlignment="1">
      <alignment horizontal="center" vertical="center" wrapText="1"/>
    </xf>
    <xf numFmtId="166" fontId="0" fillId="0" borderId="0" xfId="0" applyNumberFormat="1" applyAlignment="1">
      <alignment vertical="center"/>
    </xf>
    <xf numFmtId="22" fontId="0" fillId="0" borderId="0" xfId="0" applyNumberFormat="1"/>
    <xf numFmtId="14" fontId="1" fillId="0" borderId="1" xfId="1" applyNumberFormat="1" applyFont="1" applyBorder="1" applyAlignment="1">
      <alignment horizontal="center" vertical="top"/>
    </xf>
    <xf numFmtId="14" fontId="0" fillId="0" borderId="0" xfId="1" applyNumberFormat="1" applyFont="1"/>
    <xf numFmtId="167" fontId="1" fillId="0" borderId="1" xfId="0" applyNumberFormat="1" applyFont="1" applyBorder="1" applyAlignment="1">
      <alignment horizontal="center" vertical="top"/>
    </xf>
    <xf numFmtId="167" fontId="0" fillId="0" borderId="0" xfId="0" applyNumberFormat="1"/>
    <xf numFmtId="1" fontId="1" fillId="0" borderId="1" xfId="0" applyNumberFormat="1" applyFont="1" applyBorder="1" applyAlignment="1">
      <alignment horizontal="center" vertical="top" wrapText="1"/>
    </xf>
    <xf numFmtId="1" fontId="0" fillId="0" borderId="0" xfId="0" applyNumberFormat="1"/>
    <xf numFmtId="0" fontId="0" fillId="0" borderId="5" xfId="0" applyBorder="1"/>
    <xf numFmtId="0" fontId="0" fillId="0" borderId="0" xfId="0" applyNumberFormat="1"/>
    <xf numFmtId="168" fontId="0" fillId="0" borderId="0" xfId="0" applyNumberFormat="1"/>
    <xf numFmtId="0" fontId="0" fillId="0" borderId="0" xfId="0" pivotButton="1"/>
    <xf numFmtId="0" fontId="0" fillId="0" borderId="0" xfId="0" applyAlignment="1">
      <alignment wrapText="1"/>
    </xf>
  </cellXfs>
  <cellStyles count="2">
    <cellStyle name="Normal" xfId="0" builtinId="0"/>
    <cellStyle name="Percent" xfId="1" builtinId="5"/>
  </cellStyles>
  <dxfs count="59">
    <dxf>
      <font>
        <b/>
        <i/>
        <color theme="0"/>
      </font>
      <fill>
        <patternFill>
          <bgColor rgb="FFFF33CC"/>
        </patternFill>
      </fill>
    </dxf>
    <dxf>
      <font>
        <b/>
        <i/>
      </font>
      <fill>
        <patternFill>
          <bgColor rgb="FFCC9900"/>
        </patternFill>
      </fill>
    </dxf>
    <dxf>
      <fill>
        <patternFill>
          <bgColor rgb="FF00B0F0"/>
        </patternFill>
      </fill>
    </dxf>
    <dxf>
      <fill>
        <patternFill>
          <bgColor rgb="FF00B050"/>
        </patternFill>
      </fill>
    </dxf>
    <dxf>
      <numFmt numFmtId="0" formatCode="General"/>
    </dxf>
    <dxf>
      <numFmt numFmtId="0" formatCode="General"/>
    </dxf>
    <dxf>
      <numFmt numFmtId="0" formatCode="General"/>
    </dxf>
    <dxf>
      <numFmt numFmtId="165" formatCode="[$-F800]dddd\,\ mmmm\ dd\,\ yyyy"/>
    </dxf>
    <dxf>
      <border outline="0">
        <bottom style="thin">
          <color auto="1"/>
        </bottom>
      </border>
    </dxf>
    <dxf>
      <border outline="0">
        <top style="thin">
          <color auto="1"/>
        </top>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general" vertical="bottom" textRotation="0" wrapText="1" indent="0" justifyLastLine="0" shrinkToFit="0" readingOrder="0"/>
    </dxf>
    <dxf>
      <numFmt numFmtId="168" formatCode="0.0"/>
    </dxf>
    <dxf>
      <fill>
        <patternFill>
          <bgColor theme="2"/>
        </patternFill>
      </fill>
    </dxf>
    <dxf>
      <font>
        <b/>
        <i val="0"/>
      </font>
      <fill>
        <patternFill>
          <bgColor rgb="FF00B050"/>
        </patternFill>
      </fill>
    </dxf>
    <dxf>
      <font>
        <color theme="0"/>
      </font>
      <fill>
        <patternFill>
          <bgColor theme="8" tint="0.39994506668294322"/>
        </patternFill>
      </fill>
    </dxf>
    <dxf>
      <fill>
        <patternFill>
          <bgColor theme="0"/>
        </patternFill>
      </fill>
    </dxf>
    <dxf>
      <numFmt numFmtId="165" formatCode="[$-F800]dddd\,\ mmmm\ dd\,\ yyyy"/>
    </dxf>
    <dxf>
      <numFmt numFmtId="165" formatCode="[$-F800]dddd\,\ mmmm\ dd\,\ 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F800]dddd\,\ mmmm\ dd\,\ 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65" formatCode="[$-F800]dddd\,\ mmmm\ dd\,\ 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1" formatCode="0"/>
    </dxf>
    <dxf>
      <numFmt numFmtId="167" formatCode="dd/mmmm/yyyy"/>
    </dxf>
    <dxf>
      <numFmt numFmtId="27" formatCode="dd/mm/yyyy\ hh:mm"/>
    </dxf>
    <dxf>
      <numFmt numFmtId="19" formatCode="dd/mm/yyyy"/>
    </dxf>
    <dxf>
      <numFmt numFmtId="165" formatCode="[$-F800]dddd\,\ mmmm\ dd\,\ 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mm/yyyy"/>
      <alignment vertical="center" textRotation="0" indent="0" justifyLastLine="0" shrinkToFit="0" readingOrder="0"/>
    </dxf>
    <dxf>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numFmt numFmtId="0" formatCode="General"/>
      <alignment vertical="center" textRotation="0" indent="0" justifyLastLine="0" shrinkToFit="0" readingOrder="0"/>
    </dxf>
    <dxf>
      <numFmt numFmtId="0" formatCode="General"/>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165" formatCode="[$-F800]dddd\,\ mmmm\ dd\,\ 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rgb="FF92D050"/>
        </patternFill>
      </fill>
    </dxf>
  </dxfs>
  <tableStyles count="2" defaultTableStyle="TableStyleMedium2" defaultPivotStyle="PivotStyleLight16">
    <tableStyle name="Table Style 1" pivot="0" count="1" xr9:uid="{20F3DCE1-5976-4E93-B02C-9934FE131ADF}">
      <tableStyleElement type="firstRowStripe" size="2" dxfId="58"/>
    </tableStyle>
    <tableStyle name="Table Style 2" pivot="0" count="5" xr9:uid="{3D510DD3-2BA9-4C22-838E-6C52B0364BE0}">
      <tableStyleElement type="wholeTable" dxfId="16"/>
      <tableStyleElement type="headerRow" dxfId="15"/>
      <tableStyleElement type="firstRowStripe" dxfId="14"/>
      <tableStyleElement type="secondRowStripe" dxfId="13"/>
      <tableStyleElement type="firstColumnStripe" size="3"/>
    </tableStyle>
  </tableStyles>
  <colors>
    <mruColors>
      <color rgb="FFFF3399"/>
      <color rgb="FFFF33CC"/>
      <color rgb="FF66FF33"/>
      <color rgb="FFCC9900"/>
      <color rgb="FFFFFF66"/>
      <color rgb="FFFF66CC"/>
      <color rgb="FFD020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oneCell">
    <xdr:from>
      <xdr:col>22</xdr:col>
      <xdr:colOff>278295</xdr:colOff>
      <xdr:row>9</xdr:row>
      <xdr:rowOff>31805</xdr:rowOff>
    </xdr:from>
    <xdr:to>
      <xdr:col>25</xdr:col>
      <xdr:colOff>198782</xdr:colOff>
      <xdr:row>23</xdr:row>
      <xdr:rowOff>30884</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E2AA21DA-13F3-8B52-2737-BC0C8E4F01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156556" y="2321781"/>
              <a:ext cx="1828800" cy="2670717"/>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373711</xdr:colOff>
      <xdr:row>9</xdr:row>
      <xdr:rowOff>47706</xdr:rowOff>
    </xdr:from>
    <xdr:to>
      <xdr:col>28</xdr:col>
      <xdr:colOff>294198</xdr:colOff>
      <xdr:row>23</xdr:row>
      <xdr:rowOff>46785</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07B79ED6-A561-AAD5-6E9C-CF094D5FE1A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2160285" y="2337682"/>
              <a:ext cx="1828800" cy="2670717"/>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atan Khanolkar" refreshedDate="45968.481665740743" createdVersion="8" refreshedVersion="8" minRefreshableVersion="3" recordCount="20" xr:uid="{7EFD1F42-B14A-4BB5-95E9-88C6E1ABBA82}">
  <cacheSource type="worksheet">
    <worksheetSource name="Table1365"/>
  </cacheSource>
  <cacheFields count="12">
    <cacheField name="Transaction Id" numFmtId="0">
      <sharedItems count="20">
        <s v="TXN020"/>
        <s v="TXN006"/>
        <s v="TXN013"/>
        <s v="TXN019"/>
        <s v="TXN005"/>
        <s v="TXN012"/>
        <s v="TXN004"/>
        <s v="TXN018"/>
        <s v="TXN011"/>
        <s v="TXN003"/>
        <s v="TXN017"/>
        <s v="TXN010"/>
        <s v="TXN016"/>
        <s v="TXN002"/>
        <s v="TXN009"/>
        <s v="TXN015"/>
        <s v="TXN008"/>
        <s v="TXN001"/>
        <s v="TXN014"/>
        <s v="TXN007"/>
      </sharedItems>
    </cacheField>
    <cacheField name="Employee_x000a_ Name" numFmtId="0">
      <sharedItems count="20">
        <s v="Jack Hill"/>
        <s v="Olivia Wilson"/>
        <s v="Lily Adams"/>
        <s v="Ella Turner"/>
        <s v="Michael Davis"/>
        <s v="Ethan Clark"/>
        <s v="Emma Brown"/>
        <s v="Henry Baker"/>
        <s v="Mia Green"/>
        <s v="David Lee"/>
        <s v="Harper King"/>
        <s v="James Hall"/>
        <s v="Lucas Young"/>
        <s v="Sarah Johnson"/>
        <s v="Sophia White"/>
        <s v="Grace Lewis"/>
        <s v="Ava Taylor"/>
        <s v="John Smith"/>
        <s v="Noah Scott"/>
        <s v="Daniel Miller"/>
      </sharedItems>
    </cacheField>
    <cacheField name="Department" numFmtId="0">
      <sharedItems count="5">
        <s v="Marketing"/>
        <s v="Finance"/>
        <s v="Sales"/>
        <s v="HR"/>
        <s v="IT"/>
      </sharedItems>
    </cacheField>
    <cacheField name="Region" numFmtId="0">
      <sharedItems count="4">
        <s v="South"/>
        <s v="North"/>
        <s v="East"/>
        <s v="West"/>
      </sharedItems>
    </cacheField>
    <cacheField name="Transaction Date" numFmtId="165">
      <sharedItems count="20">
        <s v="29-Mar-2024"/>
        <s v="29-Jan-2024"/>
        <s v="28-Feb-2024"/>
        <s v="25-Mar-2024"/>
        <s v="25-Jan-2024"/>
        <s v="24-Feb-2024"/>
        <s v="22-Jan-2024"/>
        <s v="21-Mar-2024"/>
        <s v="20-Feb-2024"/>
        <s v="18-Jan-2024"/>
        <s v="17-Mar-2024"/>
        <s v="15-Feb-2024"/>
        <s v="12-Mar-2024"/>
        <s v="12-Jan-2024"/>
        <s v="10-Feb-2024"/>
        <s v="08-Mar-2024"/>
        <s v="06-Feb-2024"/>
        <s v="05-Jan-2024"/>
        <s v="03-Mar-2024"/>
        <s v="03-Feb-2024"/>
      </sharedItems>
    </cacheField>
    <cacheField name="Product" numFmtId="0">
      <sharedItems count="7">
        <s v="Tablet"/>
        <s v="Projector"/>
        <s v="Laptop"/>
        <s v="Monitor"/>
        <s v="Printer"/>
        <s v="Keyboard"/>
        <s v="Mouse"/>
      </sharedItems>
    </cacheField>
    <cacheField name="Quantity" numFmtId="0">
      <sharedItems containsSemiMixedTypes="0" containsString="0" containsNumber="1" containsInteger="1" minValue="1" maxValue="15"/>
    </cacheField>
    <cacheField name="Unit Price" numFmtId="0">
      <sharedItems containsSemiMixedTypes="0" containsString="0" containsNumber="1" containsInteger="1" minValue="25" maxValue="950"/>
    </cacheField>
    <cacheField name="Discount %" numFmtId="0">
      <sharedItems containsSemiMixedTypes="0" containsString="0" containsNumber="1" containsInteger="1" minValue="0" maxValue="15"/>
    </cacheField>
    <cacheField name="Total _x000a_Sale" numFmtId="0">
      <sharedItems containsSemiMixedTypes="0" containsString="0" containsNumber="1" minValue="250" maxValue="3610"/>
    </cacheField>
    <cacheField name="Target" numFmtId="0">
      <sharedItems containsSemiMixedTypes="0" containsString="0" containsNumber="1" containsInteger="1" minValue="200" maxValue="3600"/>
    </cacheField>
    <cacheField name="Payment_x000a_ Mode" numFmtId="0">
      <sharedItems/>
    </cacheField>
  </cacheFields>
  <extLst>
    <ext xmlns:x14="http://schemas.microsoft.com/office/spreadsheetml/2009/9/main" uri="{725AE2AE-9491-48be-B2B4-4EB974FC3084}">
      <x14:pivotCacheDefinition pivotCacheId="4648554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x v="0"/>
    <n v="6"/>
    <n v="350"/>
    <n v="5"/>
    <n v="1995"/>
    <n v="2100"/>
    <s v="Credit Card"/>
  </r>
  <r>
    <x v="1"/>
    <x v="1"/>
    <x v="1"/>
    <x v="1"/>
    <x v="1"/>
    <x v="1"/>
    <n v="1"/>
    <n v="700"/>
    <n v="15"/>
    <n v="595"/>
    <n v="700"/>
    <s v="UPI"/>
  </r>
  <r>
    <x v="2"/>
    <x v="2"/>
    <x v="1"/>
    <x v="0"/>
    <x v="2"/>
    <x v="1"/>
    <n v="2"/>
    <n v="700"/>
    <n v="10"/>
    <n v="1260"/>
    <n v="1400"/>
    <s v="Cash"/>
  </r>
  <r>
    <x v="3"/>
    <x v="3"/>
    <x v="2"/>
    <x v="2"/>
    <x v="3"/>
    <x v="1"/>
    <n v="3"/>
    <n v="700"/>
    <n v="10"/>
    <n v="1890"/>
    <n v="2000"/>
    <s v="Cash"/>
  </r>
  <r>
    <x v="4"/>
    <x v="4"/>
    <x v="2"/>
    <x v="2"/>
    <x v="4"/>
    <x v="0"/>
    <n v="4"/>
    <n v="350"/>
    <n v="5"/>
    <n v="1330"/>
    <n v="1500"/>
    <s v="Cash"/>
  </r>
  <r>
    <x v="5"/>
    <x v="5"/>
    <x v="2"/>
    <x v="3"/>
    <x v="5"/>
    <x v="2"/>
    <n v="4"/>
    <n v="950"/>
    <n v="5"/>
    <n v="3610"/>
    <n v="3600"/>
    <s v="UPI"/>
  </r>
  <r>
    <x v="6"/>
    <x v="6"/>
    <x v="3"/>
    <x v="0"/>
    <x v="6"/>
    <x v="2"/>
    <n v="2"/>
    <n v="950"/>
    <n v="0"/>
    <n v="1900"/>
    <n v="2000"/>
    <s v="Credit Card"/>
  </r>
  <r>
    <x v="7"/>
    <x v="7"/>
    <x v="4"/>
    <x v="1"/>
    <x v="7"/>
    <x v="3"/>
    <n v="2"/>
    <n v="180"/>
    <n v="0"/>
    <n v="360"/>
    <n v="400"/>
    <s v="UPI"/>
  </r>
  <r>
    <x v="8"/>
    <x v="8"/>
    <x v="3"/>
    <x v="2"/>
    <x v="8"/>
    <x v="0"/>
    <n v="5"/>
    <n v="350"/>
    <n v="5"/>
    <n v="1662.5"/>
    <n v="1700"/>
    <s v="Cash"/>
  </r>
  <r>
    <x v="9"/>
    <x v="9"/>
    <x v="1"/>
    <x v="1"/>
    <x v="9"/>
    <x v="3"/>
    <n v="5"/>
    <n v="180"/>
    <n v="10"/>
    <n v="810"/>
    <n v="900"/>
    <s v="UPI"/>
  </r>
  <r>
    <x v="10"/>
    <x v="10"/>
    <x v="1"/>
    <x v="3"/>
    <x v="10"/>
    <x v="4"/>
    <n v="4"/>
    <n v="400"/>
    <n v="5"/>
    <n v="1520"/>
    <n v="1600"/>
    <s v="Cash"/>
  </r>
  <r>
    <x v="11"/>
    <x v="11"/>
    <x v="1"/>
    <x v="1"/>
    <x v="11"/>
    <x v="3"/>
    <n v="3"/>
    <n v="180"/>
    <n v="10"/>
    <n v="486"/>
    <n v="600"/>
    <s v="Credit Card"/>
  </r>
  <r>
    <x v="12"/>
    <x v="12"/>
    <x v="2"/>
    <x v="0"/>
    <x v="12"/>
    <x v="2"/>
    <n v="2"/>
    <n v="950"/>
    <n v="10"/>
    <n v="1710"/>
    <n v="1900"/>
    <s v="Credit Card"/>
  </r>
  <r>
    <x v="13"/>
    <x v="13"/>
    <x v="0"/>
    <x v="3"/>
    <x v="13"/>
    <x v="4"/>
    <n v="2"/>
    <n v="400"/>
    <n v="0"/>
    <n v="800"/>
    <n v="1000"/>
    <s v="Cash"/>
  </r>
  <r>
    <x v="14"/>
    <x v="14"/>
    <x v="0"/>
    <x v="0"/>
    <x v="14"/>
    <x v="2"/>
    <n v="1"/>
    <n v="950"/>
    <n v="5"/>
    <n v="902.5"/>
    <n v="1000"/>
    <s v="UPI"/>
  </r>
  <r>
    <x v="15"/>
    <x v="15"/>
    <x v="3"/>
    <x v="1"/>
    <x v="15"/>
    <x v="5"/>
    <n v="8"/>
    <n v="60"/>
    <n v="5"/>
    <n v="456"/>
    <n v="500"/>
    <s v="UPI"/>
  </r>
  <r>
    <x v="16"/>
    <x v="16"/>
    <x v="2"/>
    <x v="2"/>
    <x v="16"/>
    <x v="6"/>
    <n v="10"/>
    <n v="25"/>
    <n v="0"/>
    <n v="250"/>
    <n v="200"/>
    <s v="Credit Card"/>
  </r>
  <r>
    <x v="17"/>
    <x v="17"/>
    <x v="2"/>
    <x v="2"/>
    <x v="17"/>
    <x v="2"/>
    <n v="3"/>
    <n v="950"/>
    <n v="5"/>
    <n v="2707.5"/>
    <n v="2500"/>
    <s v="Credit Card"/>
  </r>
  <r>
    <x v="18"/>
    <x v="18"/>
    <x v="0"/>
    <x v="2"/>
    <x v="18"/>
    <x v="6"/>
    <n v="15"/>
    <n v="25"/>
    <n v="0"/>
    <n v="375"/>
    <n v="350"/>
    <s v="Credit Card"/>
  </r>
  <r>
    <x v="19"/>
    <x v="19"/>
    <x v="4"/>
    <x v="3"/>
    <x v="19"/>
    <x v="5"/>
    <n v="6"/>
    <n v="60"/>
    <n v="0"/>
    <n v="360"/>
    <n v="500"/>
    <s v="Cas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1F6DBF-E773-4178-8992-84A69BC47B7B}" name="PivotTable5" cacheId="14"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U19:V26" firstHeaderRow="1" firstDataRow="1" firstDataCol="1" rowPageCount="1" colPageCount="1"/>
  <pivotFields count="12">
    <pivotField compact="0" showAll="0"/>
    <pivotField compact="0" showAll="0"/>
    <pivotField compact="0" showAll="0"/>
    <pivotField axis="axisPage" dataField="1" compact="0" multipleItemSelectionAllowed="1" showAll="0">
      <items count="5">
        <item x="2"/>
        <item x="1"/>
        <item h="1" x="0"/>
        <item h="1" x="3"/>
        <item t="default"/>
      </items>
    </pivotField>
    <pivotField compact="0" showAll="0"/>
    <pivotField axis="axisRow" compact="0" showAll="0">
      <items count="8">
        <item x="5"/>
        <item x="2"/>
        <item x="3"/>
        <item x="6"/>
        <item x="4"/>
        <item x="1"/>
        <item x="0"/>
        <item t="default"/>
      </items>
    </pivotField>
    <pivotField compact="0" showAll="0"/>
    <pivotField compact="0" showAll="0"/>
    <pivotField compact="0" showAll="0"/>
    <pivotField compact="0" showAll="0"/>
    <pivotField compact="0" showAll="0"/>
    <pivotField compact="0" showAll="0"/>
  </pivotFields>
  <rowFields count="1">
    <field x="5"/>
  </rowFields>
  <rowItems count="7">
    <i>
      <x/>
    </i>
    <i>
      <x v="1"/>
    </i>
    <i>
      <x v="2"/>
    </i>
    <i>
      <x v="3"/>
    </i>
    <i>
      <x v="5"/>
    </i>
    <i>
      <x v="6"/>
    </i>
    <i t="grand">
      <x/>
    </i>
  </rowItems>
  <colItems count="1">
    <i/>
  </colItems>
  <pageFields count="1">
    <pageField fld="3" hier="-1"/>
  </pageFields>
  <dataFields count="1">
    <dataField name="Count of Reg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61BBB0-CEB3-49F9-9CBD-D942A2A801C4}" name="PivotTable4" cacheId="14"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U8:V14" firstHeaderRow="1" firstDataRow="1" firstDataCol="1"/>
  <pivotFields count="12">
    <pivotField compact="0" outline="0" subtotalTop="0" showAll="0" defaultSubtotal="0"/>
    <pivotField dataField="1" compact="0" outline="0" subtotalTop="0" showAll="0" defaultSubtotal="0"/>
    <pivotField axis="axisRow" compact="0" outline="0" subtotalTop="0" showAll="0" defaultSubtotal="0">
      <items count="5">
        <item x="1"/>
        <item x="3"/>
        <item x="4"/>
        <item x="0"/>
        <item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2"/>
  </rowFields>
  <rowItems count="6">
    <i>
      <x/>
    </i>
    <i>
      <x v="1"/>
    </i>
    <i>
      <x v="2"/>
    </i>
    <i>
      <x v="3"/>
    </i>
    <i>
      <x v="4"/>
    </i>
    <i t="grand">
      <x/>
    </i>
  </rowItems>
  <colItems count="1">
    <i/>
  </colItems>
  <dataFields count="1">
    <dataField name="Count of Employee_x000a_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CB4E0C-3679-4CFF-9398-EB1E314A06F9}" name="PivotTable3" cacheId="1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P17:Q25" firstHeaderRow="1" firstDataRow="1" firstDataCol="1"/>
  <pivotFields count="12">
    <pivotField compact="0" outline="0" showAll="0"/>
    <pivotField dataField="1" compact="0" outline="0" showAll="0">
      <items count="21">
        <item x="16"/>
        <item x="19"/>
        <item x="9"/>
        <item x="3"/>
        <item x="6"/>
        <item x="5"/>
        <item x="15"/>
        <item x="10"/>
        <item x="7"/>
        <item x="0"/>
        <item x="11"/>
        <item x="17"/>
        <item x="2"/>
        <item x="12"/>
        <item x="8"/>
        <item x="4"/>
        <item x="18"/>
        <item x="1"/>
        <item x="13"/>
        <item x="14"/>
        <item t="default"/>
      </items>
    </pivotField>
    <pivotField compact="0" outline="0" showAll="0"/>
    <pivotField compact="0" outline="0" showAll="0"/>
    <pivotField compact="0" outline="0" showAll="0"/>
    <pivotField name="Products" axis="axisRow" compact="0" outline="0" showAll="0">
      <items count="8">
        <item x="5"/>
        <item x="2"/>
        <item x="3"/>
        <item x="6"/>
        <item x="4"/>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8">
    <i>
      <x/>
    </i>
    <i>
      <x v="1"/>
    </i>
    <i>
      <x v="2"/>
    </i>
    <i>
      <x v="3"/>
    </i>
    <i>
      <x v="4"/>
    </i>
    <i>
      <x v="5"/>
    </i>
    <i>
      <x v="6"/>
    </i>
    <i t="grand">
      <x/>
    </i>
  </rowItems>
  <colItems count="1">
    <i/>
  </colItems>
  <dataFields count="1">
    <dataField name="Count of Employee_x000a_ Name" fld="1" subtotal="count" baseField="0" baseItem="0"/>
  </dataField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9AA34D-FACE-46BD-BFDF-8F4E627FB6D7}"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1:R12" firstHeaderRow="1" firstDataRow="1" firstDataCol="0"/>
  <pivotFields count="12">
    <pivotField showAll="0">
      <items count="21">
        <item x="17"/>
        <item x="13"/>
        <item x="9"/>
        <item x="6"/>
        <item x="4"/>
        <item x="1"/>
        <item x="19"/>
        <item x="16"/>
        <item x="14"/>
        <item x="11"/>
        <item x="8"/>
        <item x="5"/>
        <item x="2"/>
        <item x="18"/>
        <item x="15"/>
        <item x="12"/>
        <item x="10"/>
        <item x="7"/>
        <item x="3"/>
        <item x="0"/>
        <item t="default"/>
      </items>
    </pivotField>
    <pivotField showAll="0"/>
    <pivotField showAll="0"/>
    <pivotField showAll="0"/>
    <pivotField showAll="0">
      <items count="21">
        <item x="19"/>
        <item x="18"/>
        <item x="17"/>
        <item x="16"/>
        <item x="15"/>
        <item x="14"/>
        <item x="13"/>
        <item x="12"/>
        <item x="11"/>
        <item x="10"/>
        <item x="9"/>
        <item x="8"/>
        <item x="7"/>
        <item x="6"/>
        <item x="5"/>
        <item x="4"/>
        <item x="3"/>
        <item x="2"/>
        <item x="1"/>
        <item x="0"/>
        <item t="default"/>
      </items>
    </pivotField>
    <pivotField showAll="0">
      <items count="8">
        <item x="5"/>
        <item x="2"/>
        <item x="3"/>
        <item x="6"/>
        <item x="4"/>
        <item x="1"/>
        <item x="0"/>
        <item t="default"/>
      </items>
    </pivotField>
    <pivotField showAll="0"/>
    <pivotField dataField="1" showAll="0"/>
    <pivotField showAll="0"/>
    <pivotField showAll="0"/>
    <pivotField showAll="0"/>
    <pivotField showAll="0"/>
  </pivotFields>
  <rowItems count="1">
    <i/>
  </rowItems>
  <colItems count="1">
    <i/>
  </colItems>
  <dataFields count="1">
    <dataField name="Max of Unit Price" fld="7"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19C329-FB4C-4FD1-A17C-A4549C818FBB}"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4:R5" firstHeaderRow="1" firstDataRow="1" firstDataCol="0"/>
  <pivotFields count="12">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Average of Total  Sales" fld="9" subtotal="average" baseField="0" baseItem="0" numFmtId="168"/>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AD0277-D9C9-48F4-B065-E83701C725CF}" sourceName="Region">
  <pivotTables>
    <pivotTable tabId="5" name="PivotTable5"/>
  </pivotTables>
  <data>
    <tabular pivotCacheId="464855412">
      <items count="4">
        <i x="2" s="1"/>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54B81B2-6A7A-487B-A0EF-B413ECEAD701}" sourceName="Product">
  <pivotTables>
    <pivotTable tabId="5" name="PivotTable5"/>
  </pivotTables>
  <data>
    <tabular pivotCacheId="464855412">
      <items count="7">
        <i x="5" s="1"/>
        <i x="2" s="1"/>
        <i x="3" s="1"/>
        <i x="6" s="1"/>
        <i x="1" s="1"/>
        <i x="0"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C39FF38-86EF-41D4-BD08-9B8AA97EF621}" cache="Slicer_Region" caption="Region" style="SlicerStyleOther2" rowHeight="257588"/>
  <slicer name="Product" xr10:uid="{338D3B46-900E-4E18-ADAD-43A71EAA52E6}" cache="Slicer_Product" caption="Product" style="SlicerStyleLight3" rowHeight="25758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EFA261-010C-4C26-A6C9-7AB2EAEF293D}" name="Table1" displayName="Table1" ref="A1:L21" totalsRowShown="0" headerRowDxfId="57" headerRowBorderDxfId="56" tableBorderDxfId="55">
  <autoFilter ref="A1:L21" xr:uid="{48EFA261-010C-4C26-A6C9-7AB2EAEF293D}"/>
  <tableColumns count="12">
    <tableColumn id="1" xr3:uid="{0D6DE8C9-A2AE-45C2-8FCD-9D4A5FE175EF}" name="Transaction ID"/>
    <tableColumn id="2" xr3:uid="{BF9BDEC9-E412-4E4A-B12C-5B3AE7A47EB6}" name="Employee_x000a_ Name"/>
    <tableColumn id="3" xr3:uid="{447F8DA3-48A7-4126-A3EF-49CEA28D4C95}" name="Department"/>
    <tableColumn id="4" xr3:uid="{C705E7FF-0D64-49AB-A690-A52C122F3276}" name="Region"/>
    <tableColumn id="5" xr3:uid="{40482BDC-693D-4362-B679-DD6313C4BCB5}" name="Transaction Date" dataDxfId="54"/>
    <tableColumn id="6" xr3:uid="{8451A926-A76C-4087-A484-F83B7763D863}" name="Product"/>
    <tableColumn id="7" xr3:uid="{1E2ABD07-7DE6-4EFE-9D96-0F862E6D7D2F}" name="Quantity"/>
    <tableColumn id="8" xr3:uid="{FF734D23-CDEC-402B-8DFF-869C037ACA99}" name="Unit Price"/>
    <tableColumn id="9" xr3:uid="{F4352201-94E5-4757-AD6B-70C0869A09F3}" name="Discount %"/>
    <tableColumn id="10" xr3:uid="{B5F88548-EE1F-442C-9D35-62E74028811E}" name="Total _x000a_Sale"/>
    <tableColumn id="11" xr3:uid="{CFB2FD8D-43A5-44FB-ABB2-2F5DB0AC119D}" name="Target"/>
    <tableColumn id="12" xr3:uid="{90A5E00D-2040-4B06-BEBF-9754DDA96216}" name="Payment_x000a_ Mode"/>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D09D91-C1C3-45D3-8F22-F961EEF95DCA}" name="Table3" displayName="Table3" ref="A1:K21" totalsRowShown="0" headerRowDxfId="53" dataDxfId="51" headerRowBorderDxfId="52">
  <autoFilter ref="A1:K21" xr:uid="{F9D09D91-C1C3-45D3-8F22-F961EEF95DCA}"/>
  <tableColumns count="11">
    <tableColumn id="1" xr3:uid="{B226AFED-77F6-472E-8D17-09BD111300F8}" name="Employee_x000a_ Name" dataDxfId="50"/>
    <tableColumn id="2" xr3:uid="{99E2058D-2546-4FBC-B52D-13260F861007}" name="Employee_x000a_Length" dataDxfId="49">
      <calculatedColumnFormula>LEN(Table3[[#This Row],[Employee
 Name]])</calculatedColumnFormula>
    </tableColumn>
    <tableColumn id="3" xr3:uid="{CFE7DBAC-AAE7-412B-8DDB-3A458024DE63}" name="Region"/>
    <tableColumn id="4" xr3:uid="{6FD8565B-2E4F-48E7-A7B8-E76F50398C34}" name="Last 3 Charcters" dataDxfId="48">
      <calculatedColumnFormula>RIGHT(Table3[[#This Row],[Region]],3)</calculatedColumnFormula>
    </tableColumn>
    <tableColumn id="5" xr3:uid="{7A65C10E-F5B0-4436-9AC8-BEB34BE991C9}" name="Last 3 charcters _x000a_using Flash Fill" dataDxfId="47"/>
    <tableColumn id="6" xr3:uid="{3B1010F0-E4CA-44C4-B325-10DE09CE65B7}" name="Department" dataDxfId="46"/>
    <tableColumn id="7" xr3:uid="{767F7D51-F4DF-4EAD-A6A8-EC9BFCC57015}" name="Flash Fill" dataDxfId="45"/>
    <tableColumn id="8" xr3:uid="{B39354D3-D0CF-4B29-BB10-B8C32A437C40}" name="Concat" dataDxfId="44">
      <calculatedColumnFormula>_xlfn.CONCAT(Table3[[#This Row],[Department]],Table3[[#This Row],[Region]])</calculatedColumnFormula>
    </tableColumn>
    <tableColumn id="9" xr3:uid="{D7B89F58-0324-47A2-92B4-694B7EB7E392}" name="MID" dataDxfId="43">
      <calculatedColumnFormula>MID(Table3[[#This Row],[Concat]],1,5)</calculatedColumnFormula>
    </tableColumn>
    <tableColumn id="12" xr3:uid="{7493F65C-691A-450A-A1D4-D200C553EA11}" name="Combined" dataDxfId="42"/>
    <tableColumn id="14" xr3:uid="{76591B50-0AD2-4D60-BDFE-1FBA461E966A}" name="Transaction Date" dataDxfId="4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9A493C-C2BD-4324-95C8-601E725BD6C1}" name="Table13" displayName="Table13" ref="A1:I480" totalsRowShown="0" headerRowDxfId="40" headerRowBorderDxfId="39" tableBorderDxfId="38">
  <sortState xmlns:xlrd2="http://schemas.microsoft.com/office/spreadsheetml/2017/richdata2" ref="A2:C20">
    <sortCondition descending="1" ref="C1:C20"/>
  </sortState>
  <tableColumns count="9">
    <tableColumn id="1" xr3:uid="{516BE89F-9975-4B45-AF31-B2D45380B601}" name="Transaction Id"/>
    <tableColumn id="2" xr3:uid="{08F80B92-CB45-4BE6-B8A6-32770222C233}" name="Employee_x000a_ Name"/>
    <tableColumn id="5" xr3:uid="{830BDAED-B299-4715-A01A-836786BE6B55}" name="Transaction Date" dataDxfId="37"/>
    <tableColumn id="6" xr3:uid="{F88DC982-1CDE-48D0-A6C4-84F8D142050F}" name="Today" dataDxfId="36" dataCellStyle="Percent">
      <calculatedColumnFormula>TODAY()</calculatedColumnFormula>
    </tableColumn>
    <tableColumn id="7" xr3:uid="{96D351A7-6485-4B39-822D-1312C3AFC8E1}" name="Now" dataDxfId="35">
      <calculatedColumnFormula>NOW()</calculatedColumnFormula>
    </tableColumn>
    <tableColumn id="8" xr3:uid="{6A354360-FEBF-4B8A-A292-9B266D377985}" name="End of Transaction Month" dataDxfId="34">
      <calculatedColumnFormula>EOMONTH(Table13[[#This Row],[Transaction Date]],0)</calculatedColumnFormula>
    </tableColumn>
    <tableColumn id="3" xr3:uid="{85845BF8-63C9-4E65-BEA7-8127D3779F3D}" name="DAYS _x000a_(Date diff in days)" dataDxfId="33">
      <calculatedColumnFormula>_xlfn.DAYS(Table13[[#This Row],[Today]],Table13[[#This Row],[Transaction Date]])</calculatedColumnFormula>
    </tableColumn>
    <tableColumn id="4" xr3:uid="{B3C6D3DC-C67D-4BDE-981E-1436B40A5468}" name="Net workdays(UAE)" dataDxfId="32">
      <calculatedColumnFormula>NETWORKDAYS.INTL(Table13[[#This Row],[Transaction Date]],Table13[[#This Row],[Today]],)</calculatedColumnFormula>
    </tableColumn>
    <tableColumn id="9" xr3:uid="{9A7A41FD-E66A-4B96-A661-810715591E11}" name="Net workdays (India)" dataDxfId="31">
      <calculatedColumnFormula>NETWORKDAYS(Table13[[#This Row],[Transaction Date]],Table13[[#This Row],[Today]])</calculatedColumnFormula>
    </tableColumn>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A9759E-88E2-4672-B36B-6DE92C6EE5CA}" name="Table136" displayName="Table136" ref="A1:O22" totalsRowCount="1" headerRowDxfId="30" headerRowBorderDxfId="29" tableBorderDxfId="28">
  <autoFilter ref="A1:O21" xr:uid="{A7A9759E-88E2-4672-B36B-6DE92C6EE5CA}"/>
  <sortState xmlns:xlrd2="http://schemas.microsoft.com/office/spreadsheetml/2017/richdata2" ref="A2:L21">
    <sortCondition descending="1" ref="E1:E21"/>
  </sortState>
  <tableColumns count="15">
    <tableColumn id="1" xr3:uid="{052243A5-C666-4C43-98B3-AEB3FC4FB4C4}" name="Transaction Id"/>
    <tableColumn id="2" xr3:uid="{641FC350-321D-4684-9E61-D7DC52103787}" name="Employee_x000a_ Name"/>
    <tableColumn id="3" xr3:uid="{06FC3A3F-68D1-491A-A4C8-F64EE5A0828B}" name="Department"/>
    <tableColumn id="4" xr3:uid="{F04CAE6E-1FE8-45AF-B187-AAE4D4799168}" name="Region"/>
    <tableColumn id="5" xr3:uid="{755FE434-436A-4DCF-AA26-967386B7CA32}" name="Transaction Date" dataDxfId="27" totalsRowDxfId="17"/>
    <tableColumn id="6" xr3:uid="{BA6B3154-0540-423F-82F9-BBC90FA34523}" name="Product"/>
    <tableColumn id="7" xr3:uid="{8DCA9D1D-1965-4611-943E-EB58110B0EBF}" name="Quantity"/>
    <tableColumn id="8" xr3:uid="{04F62CC0-46F6-41D8-8D3E-81C8A2C2F9BB}" name="Unit Price"/>
    <tableColumn id="9" xr3:uid="{7C706A77-E489-468D-9717-2D6DA33CDCF1}" name="Discount %"/>
    <tableColumn id="10" xr3:uid="{1C171020-DAA4-4FFB-894C-C7DE33F41DF0}" name="Sales"/>
    <tableColumn id="11" xr3:uid="{3095BB21-B2DF-4063-BD4A-6769C6F36B13}" name="Target"/>
    <tableColumn id="12" xr3:uid="{C9275505-CAD1-497D-AF8A-50E020BD9176}" name="Payment_x000a_ Mode"/>
    <tableColumn id="14" xr3:uid="{BF321B9C-9841-4306-88B6-C17258FBF64D}" name="Median_x000a_of Sales" totalsRowFunction="custom">
      <totalsRowFormula>MEDIAN(Table136[Sales])</totalsRowFormula>
    </tableColumn>
    <tableColumn id="15" xr3:uid="{192F9900-3BBD-40D9-A05F-2D205C534CA4}" name="CountIf" totalsRowFunction="custom" dataDxfId="26">
      <totalsRowFormula array="1">COUNTIF(Sales_Range,"Sales")</totalsRowFormula>
    </tableColumn>
    <tableColumn id="17" xr3:uid="{9788D90A-CD2A-4EB1-9037-128D1BDF955C}" name="Credit Card _x000a_payment" totalsRowFunction="custom">
      <totalsRowFormula array="1">COUNTIF(Credit,"Credit Card")</totalsRowFormula>
    </tableColumn>
  </tableColumns>
  <tableStyleInfo name="TableStyleMedium1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740F603-14D3-49C5-B0F6-C2B4F80EA598}" name="Table1365" displayName="Table1365" ref="A1:L21" totalsRowShown="0" headerRowDxfId="25" headerRowBorderDxfId="24" tableBorderDxfId="23">
  <autoFilter ref="A1:L21" xr:uid="{6740F603-14D3-49C5-B0F6-C2B4F80EA598}"/>
  <sortState xmlns:xlrd2="http://schemas.microsoft.com/office/spreadsheetml/2017/richdata2" ref="A2:L21">
    <sortCondition descending="1" ref="E1:E21"/>
  </sortState>
  <tableColumns count="12">
    <tableColumn id="1" xr3:uid="{39AC4C34-EFD1-463A-9728-03D24B84F272}" name="Transaction Id"/>
    <tableColumn id="2" xr3:uid="{A6A180AA-FFE5-42E7-B87D-68D6BD6D4A0E}" name="Employee_x000a_ Name"/>
    <tableColumn id="3" xr3:uid="{D9DEBC4C-F9D8-4936-9942-96E2F0819009}" name="Department"/>
    <tableColumn id="4" xr3:uid="{DDCB7260-3366-4520-ABF4-197E5401AB44}" name="Region"/>
    <tableColumn id="5" xr3:uid="{8E53DC5A-7207-4990-830E-FE2E59FFF47F}" name="Transaction Date" dataDxfId="22"/>
    <tableColumn id="6" xr3:uid="{8971267B-037C-4E71-BEF8-3698F3F33620}" name="Product"/>
    <tableColumn id="7" xr3:uid="{59B0CE88-6AE8-49C8-B3AA-7C6A4D575068}" name="Quantity"/>
    <tableColumn id="8" xr3:uid="{21671222-1065-44A4-9C2A-94B9C7C027AB}" name="Unit Price"/>
    <tableColumn id="9" xr3:uid="{DAF1AA04-435F-4D87-A1E9-CF2D17CB8CAF}" name="Discount %"/>
    <tableColumn id="10" xr3:uid="{954EA77B-71C4-4074-907F-02976CF65755}" name="Total _x000a_Sale"/>
    <tableColumn id="11" xr3:uid="{233F16CA-CBE3-4E89-B5C9-0B43A5DD24DC}" name="Target"/>
    <tableColumn id="12" xr3:uid="{A1FA6984-EA72-4D4E-94A5-36EBF0215CE8}" name="Payment_x000a_ Mode"/>
  </tableColumns>
  <tableStyleInfo name="TableStyleMedium1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0B60041-7878-4741-8C17-D3A81C3BAD18}" name="Table8" displayName="Table8" ref="P9:P10" totalsRowShown="0" headerRowDxfId="11">
  <autoFilter ref="P9:P10" xr:uid="{50B60041-7878-4741-8C17-D3A81C3BAD18}"/>
  <tableColumns count="1">
    <tableColumn id="1" xr3:uid="{94A620F3-5FC3-451F-B3F7-F38BB8989736}" name="Median of _x000a_Unit Price">
      <calculatedColumnFormula>MEDIAN(Table1365[Unit Price])</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6B0715-9E85-412C-BC82-93BF56E35123}" name="Table1367" displayName="Table1367" ref="A1:L21" totalsRowShown="0" headerRowDxfId="21" headerRowBorderDxfId="20" tableBorderDxfId="19">
  <autoFilter ref="A1:L21" xr:uid="{F26B0715-9E85-412C-BC82-93BF56E35123}"/>
  <sortState xmlns:xlrd2="http://schemas.microsoft.com/office/spreadsheetml/2017/richdata2" ref="A2:L21">
    <sortCondition descending="1" ref="E1:E21"/>
  </sortState>
  <tableColumns count="12">
    <tableColumn id="1" xr3:uid="{638D6C87-EFCF-430D-9C23-A40E0A4E54C3}" name="Transaction Id"/>
    <tableColumn id="2" xr3:uid="{A8EC6D7C-A378-4486-A1BA-BA8262E16919}" name="Employee_x000a_ Name"/>
    <tableColumn id="3" xr3:uid="{82D87B0D-F95A-4C6D-A70A-40B8D4A6AEDF}" name="Department"/>
    <tableColumn id="4" xr3:uid="{3FF778FF-1789-4858-B161-05230778EACD}" name="Region"/>
    <tableColumn id="5" xr3:uid="{F5C821E7-8F71-4D57-AD8D-2D824BC0162F}" name="Transaction Date" dataDxfId="18"/>
    <tableColumn id="6" xr3:uid="{F1A0FAA2-995E-4202-926F-6F3CE26FADAA}" name="Product"/>
    <tableColumn id="7" xr3:uid="{87F965F1-6750-4E39-9CC5-972BA3165972}" name="Quantity"/>
    <tableColumn id="8" xr3:uid="{0D1DC52B-DAB1-4DFF-83CB-00317B1EA77C}" name="Unit Price"/>
    <tableColumn id="9" xr3:uid="{A65FA816-3D6D-4498-97C4-9E91000A58E1}" name="Discount %"/>
    <tableColumn id="10" xr3:uid="{9F8F2A00-4032-487F-B05E-D348A2647FD4}" name="Total _x000a_Sale"/>
    <tableColumn id="11" xr3:uid="{CD6874D0-3B44-4871-965E-F015D8CD0D8C}" name="Target"/>
    <tableColumn id="12" xr3:uid="{52240A65-7596-4D8C-99B4-F73637F41BAA}" name="Payment_x000a_ Mode"/>
  </tableColumns>
  <tableStyleInfo name="Table Style 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C834B10-B35D-4EE9-8EE6-511570D9B7C7}" name="Table136711" displayName="Table136711" ref="A1:M21" totalsRowShown="0" headerRowDxfId="10" headerRowBorderDxfId="8" tableBorderDxfId="9">
  <autoFilter ref="A1:M21" xr:uid="{5C834B10-B35D-4EE9-8EE6-511570D9B7C7}"/>
  <sortState xmlns:xlrd2="http://schemas.microsoft.com/office/spreadsheetml/2017/richdata2" ref="A2:J21">
    <sortCondition descending="1" ref="C1:C21"/>
  </sortState>
  <tableColumns count="13">
    <tableColumn id="1" xr3:uid="{FF9DE116-2DB5-43A6-A56C-BF439D77D587}" name="Transaction Id"/>
    <tableColumn id="4" xr3:uid="{0A6BC522-6406-4976-9D2D-AD48FE95FBAE}" name="Region"/>
    <tableColumn id="5" xr3:uid="{33B3A0E5-B659-44F7-BE10-8AFC450ECC92}" name="Transaction Date" dataDxfId="7"/>
    <tableColumn id="6" xr3:uid="{34AFF28B-5371-498A-9369-79E081A8E0F7}" name="Product"/>
    <tableColumn id="7" xr3:uid="{8BD33D25-370F-4C13-BAE1-1661E603FD54}" name="Quantity"/>
    <tableColumn id="8" xr3:uid="{76B8D3B3-5D23-4D1A-BE64-D28684A9B6ED}" name="Unit Price"/>
    <tableColumn id="9" xr3:uid="{7A7B7E6B-A813-4F3C-A758-125B8368C8C6}" name="Discount %"/>
    <tableColumn id="10" xr3:uid="{D8D9BE82-CA9F-419C-9551-6F5F7B35FB14}" name="Total _x000a_Sale"/>
    <tableColumn id="11" xr3:uid="{22C4986E-8308-4605-87BD-E1AB21D174D9}" name="Target"/>
    <tableColumn id="12" xr3:uid="{AAC97532-3425-4057-A281-DC0167813088}" name="Payment_x000a_ Mode"/>
    <tableColumn id="13" xr3:uid="{41934BAE-182D-4F0E-B35E-6340093FBF26}" name="Relative _x000a_Referencing" dataDxfId="6">
      <calculatedColumnFormula>Table136711[[#This Row],[Unit Price]]*Table136711[[#This Row],[Discount %]]</calculatedColumnFormula>
    </tableColumn>
    <tableColumn id="14" xr3:uid="{06EBC342-F3E0-4F4E-A737-6293BC6394DE}" name="Absolute _x000a_Referncing" dataDxfId="5">
      <calculatedColumnFormula>Table136711[[#This Row],[Unit Price]]*$G$2</calculatedColumnFormula>
    </tableColumn>
    <tableColumn id="15" xr3:uid="{3324130B-0E2B-4D95-AFDD-FBE7F8790491}" name="Mixed _x000a_Referncing Pt 1" dataDxfId="4">
      <calculatedColumnFormula>Table136711[[#This Row],[Unit Price]]*$G2</calculatedColumnFormula>
    </tableColumn>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pivotTable" Target="../pivotTables/pivotTable3.xml"/><Relationship Id="rId7" Type="http://schemas.openxmlformats.org/officeDocument/2006/relationships/table" Target="../tables/table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18868-3376-4D2F-97F0-484D61B431C7}">
  <dimension ref="A1:L21"/>
  <sheetViews>
    <sheetView workbookViewId="0"/>
  </sheetViews>
  <sheetFormatPr defaultRowHeight="15.05" x14ac:dyDescent="0.3"/>
  <cols>
    <col min="1" max="1" width="15.77734375" customWidth="1"/>
    <col min="2" max="2" width="15.109375" customWidth="1"/>
    <col min="3" max="3" width="13.44140625" customWidth="1"/>
    <col min="5" max="5" width="16.6640625" style="10" customWidth="1"/>
    <col min="6" max="6" width="13.109375" customWidth="1"/>
    <col min="7" max="7" width="14.33203125" customWidth="1"/>
    <col min="8" max="8" width="13.88671875" customWidth="1"/>
    <col min="9" max="9" width="12.5546875" customWidth="1"/>
    <col min="12" max="12" width="14.44140625" customWidth="1"/>
  </cols>
  <sheetData>
    <row r="1" spans="1:12" ht="30.05" x14ac:dyDescent="0.3">
      <c r="A1" s="1" t="s">
        <v>0</v>
      </c>
      <c r="B1" s="2" t="s">
        <v>89</v>
      </c>
      <c r="C1" s="1" t="s">
        <v>1</v>
      </c>
      <c r="D1" s="1" t="s">
        <v>2</v>
      </c>
      <c r="E1" s="11" t="s">
        <v>90</v>
      </c>
      <c r="F1" s="1" t="s">
        <v>3</v>
      </c>
      <c r="G1" s="1" t="s">
        <v>4</v>
      </c>
      <c r="H1" s="1" t="s">
        <v>5</v>
      </c>
      <c r="I1" s="1" t="s">
        <v>6</v>
      </c>
      <c r="J1" s="2" t="s">
        <v>7</v>
      </c>
      <c r="K1" s="1" t="s">
        <v>8</v>
      </c>
      <c r="L1" s="2" t="s">
        <v>9</v>
      </c>
    </row>
    <row r="2" spans="1:12" x14ac:dyDescent="0.3">
      <c r="A2" t="s">
        <v>10</v>
      </c>
      <c r="B2" t="s">
        <v>11</v>
      </c>
      <c r="C2" t="s">
        <v>12</v>
      </c>
      <c r="D2" t="s">
        <v>13</v>
      </c>
      <c r="E2" s="10" t="s">
        <v>14</v>
      </c>
      <c r="F2" t="s">
        <v>15</v>
      </c>
      <c r="G2">
        <v>3</v>
      </c>
      <c r="H2">
        <v>950</v>
      </c>
      <c r="I2">
        <v>5</v>
      </c>
      <c r="J2">
        <v>2707.5</v>
      </c>
      <c r="K2">
        <v>2500</v>
      </c>
      <c r="L2" t="s">
        <v>16</v>
      </c>
    </row>
    <row r="3" spans="1:12" x14ac:dyDescent="0.3">
      <c r="A3" t="s">
        <v>17</v>
      </c>
      <c r="B3" t="s">
        <v>18</v>
      </c>
      <c r="C3" t="s">
        <v>19</v>
      </c>
      <c r="D3" t="s">
        <v>20</v>
      </c>
      <c r="E3" s="10" t="s">
        <v>21</v>
      </c>
      <c r="F3" t="s">
        <v>22</v>
      </c>
      <c r="G3">
        <v>2</v>
      </c>
      <c r="H3">
        <v>400</v>
      </c>
      <c r="I3">
        <v>0</v>
      </c>
      <c r="J3">
        <v>800</v>
      </c>
      <c r="K3">
        <v>1000</v>
      </c>
      <c r="L3" t="s">
        <v>23</v>
      </c>
    </row>
    <row r="4" spans="1:12" x14ac:dyDescent="0.3">
      <c r="A4" t="s">
        <v>24</v>
      </c>
      <c r="B4" t="s">
        <v>25</v>
      </c>
      <c r="C4" t="s">
        <v>26</v>
      </c>
      <c r="D4" t="s">
        <v>27</v>
      </c>
      <c r="E4" s="10" t="s">
        <v>28</v>
      </c>
      <c r="F4" t="s">
        <v>29</v>
      </c>
      <c r="G4">
        <v>5</v>
      </c>
      <c r="H4">
        <v>180</v>
      </c>
      <c r="I4">
        <v>10</v>
      </c>
      <c r="J4">
        <v>810</v>
      </c>
      <c r="K4">
        <v>900</v>
      </c>
      <c r="L4" t="s">
        <v>30</v>
      </c>
    </row>
    <row r="5" spans="1:12" x14ac:dyDescent="0.3">
      <c r="A5" t="s">
        <v>31</v>
      </c>
      <c r="B5" t="s">
        <v>32</v>
      </c>
      <c r="C5" t="s">
        <v>33</v>
      </c>
      <c r="D5" t="s">
        <v>34</v>
      </c>
      <c r="E5" s="10" t="s">
        <v>35</v>
      </c>
      <c r="F5" t="s">
        <v>15</v>
      </c>
      <c r="G5">
        <v>2</v>
      </c>
      <c r="H5">
        <v>950</v>
      </c>
      <c r="I5">
        <v>0</v>
      </c>
      <c r="J5">
        <v>1900</v>
      </c>
      <c r="K5">
        <v>2000</v>
      </c>
      <c r="L5" t="s">
        <v>16</v>
      </c>
    </row>
    <row r="6" spans="1:12" x14ac:dyDescent="0.3">
      <c r="A6" t="s">
        <v>36</v>
      </c>
      <c r="B6" t="s">
        <v>37</v>
      </c>
      <c r="C6" t="s">
        <v>12</v>
      </c>
      <c r="D6" t="s">
        <v>13</v>
      </c>
      <c r="E6" s="10" t="s">
        <v>38</v>
      </c>
      <c r="F6" t="s">
        <v>39</v>
      </c>
      <c r="G6">
        <v>4</v>
      </c>
      <c r="H6">
        <v>350</v>
      </c>
      <c r="I6">
        <v>5</v>
      </c>
      <c r="J6">
        <v>1330</v>
      </c>
      <c r="K6">
        <v>1500</v>
      </c>
      <c r="L6" t="s">
        <v>23</v>
      </c>
    </row>
    <row r="7" spans="1:12" x14ac:dyDescent="0.3">
      <c r="A7" t="s">
        <v>40</v>
      </c>
      <c r="B7" t="s">
        <v>41</v>
      </c>
      <c r="C7" t="s">
        <v>26</v>
      </c>
      <c r="D7" t="s">
        <v>27</v>
      </c>
      <c r="E7" s="10" t="s">
        <v>42</v>
      </c>
      <c r="F7" t="s">
        <v>43</v>
      </c>
      <c r="G7">
        <v>1</v>
      </c>
      <c r="H7">
        <v>700</v>
      </c>
      <c r="I7">
        <v>15</v>
      </c>
      <c r="J7">
        <v>595</v>
      </c>
      <c r="K7">
        <v>700</v>
      </c>
      <c r="L7" t="s">
        <v>30</v>
      </c>
    </row>
    <row r="8" spans="1:12" x14ac:dyDescent="0.3">
      <c r="A8" t="s">
        <v>44</v>
      </c>
      <c r="B8" t="s">
        <v>45</v>
      </c>
      <c r="C8" t="s">
        <v>46</v>
      </c>
      <c r="D8" t="s">
        <v>20</v>
      </c>
      <c r="E8" s="10" t="s">
        <v>47</v>
      </c>
      <c r="F8" t="s">
        <v>48</v>
      </c>
      <c r="G8">
        <v>6</v>
      </c>
      <c r="H8">
        <v>60</v>
      </c>
      <c r="I8">
        <v>0</v>
      </c>
      <c r="J8">
        <v>360</v>
      </c>
      <c r="K8">
        <v>500</v>
      </c>
      <c r="L8" t="s">
        <v>23</v>
      </c>
    </row>
    <row r="9" spans="1:12" x14ac:dyDescent="0.3">
      <c r="A9" t="s">
        <v>49</v>
      </c>
      <c r="B9" t="s">
        <v>50</v>
      </c>
      <c r="C9" t="s">
        <v>12</v>
      </c>
      <c r="D9" t="s">
        <v>13</v>
      </c>
      <c r="E9" s="10" t="s">
        <v>51</v>
      </c>
      <c r="F9" t="s">
        <v>52</v>
      </c>
      <c r="G9">
        <v>10</v>
      </c>
      <c r="H9">
        <v>25</v>
      </c>
      <c r="I9">
        <v>0</v>
      </c>
      <c r="J9">
        <v>250</v>
      </c>
      <c r="K9">
        <v>200</v>
      </c>
      <c r="L9" t="s">
        <v>16</v>
      </c>
    </row>
    <row r="10" spans="1:12" x14ac:dyDescent="0.3">
      <c r="A10" t="s">
        <v>53</v>
      </c>
      <c r="B10" t="s">
        <v>54</v>
      </c>
      <c r="C10" t="s">
        <v>19</v>
      </c>
      <c r="D10" t="s">
        <v>34</v>
      </c>
      <c r="E10" s="10" t="s">
        <v>55</v>
      </c>
      <c r="F10" t="s">
        <v>15</v>
      </c>
      <c r="G10">
        <v>1</v>
      </c>
      <c r="H10">
        <v>950</v>
      </c>
      <c r="I10">
        <v>5</v>
      </c>
      <c r="J10">
        <v>902.5</v>
      </c>
      <c r="K10">
        <v>1000</v>
      </c>
      <c r="L10" t="s">
        <v>30</v>
      </c>
    </row>
    <row r="11" spans="1:12" x14ac:dyDescent="0.3">
      <c r="A11" t="s">
        <v>56</v>
      </c>
      <c r="B11" t="s">
        <v>57</v>
      </c>
      <c r="C11" t="s">
        <v>26</v>
      </c>
      <c r="D11" t="s">
        <v>27</v>
      </c>
      <c r="E11" s="10" t="s">
        <v>58</v>
      </c>
      <c r="F11" t="s">
        <v>29</v>
      </c>
      <c r="G11">
        <v>3</v>
      </c>
      <c r="H11">
        <v>180</v>
      </c>
      <c r="I11">
        <v>10</v>
      </c>
      <c r="J11">
        <v>486</v>
      </c>
      <c r="K11">
        <v>600</v>
      </c>
      <c r="L11" t="s">
        <v>16</v>
      </c>
    </row>
    <row r="12" spans="1:12" x14ac:dyDescent="0.3">
      <c r="A12" t="s">
        <v>59</v>
      </c>
      <c r="B12" t="s">
        <v>60</v>
      </c>
      <c r="C12" t="s">
        <v>33</v>
      </c>
      <c r="D12" t="s">
        <v>13</v>
      </c>
      <c r="E12" s="10" t="s">
        <v>61</v>
      </c>
      <c r="F12" t="s">
        <v>39</v>
      </c>
      <c r="G12">
        <v>5</v>
      </c>
      <c r="H12">
        <v>350</v>
      </c>
      <c r="I12">
        <v>5</v>
      </c>
      <c r="J12">
        <v>1662.5</v>
      </c>
      <c r="K12">
        <v>1700</v>
      </c>
      <c r="L12" t="s">
        <v>23</v>
      </c>
    </row>
    <row r="13" spans="1:12" x14ac:dyDescent="0.3">
      <c r="A13" t="s">
        <v>62</v>
      </c>
      <c r="B13" t="s">
        <v>63</v>
      </c>
      <c r="C13" t="s">
        <v>12</v>
      </c>
      <c r="D13" t="s">
        <v>20</v>
      </c>
      <c r="E13" s="10" t="s">
        <v>64</v>
      </c>
      <c r="F13" t="s">
        <v>15</v>
      </c>
      <c r="G13">
        <v>4</v>
      </c>
      <c r="H13">
        <v>950</v>
      </c>
      <c r="I13">
        <v>5</v>
      </c>
      <c r="J13">
        <v>3610</v>
      </c>
      <c r="K13">
        <v>3600</v>
      </c>
      <c r="L13" t="s">
        <v>30</v>
      </c>
    </row>
    <row r="14" spans="1:12" x14ac:dyDescent="0.3">
      <c r="A14" t="s">
        <v>65</v>
      </c>
      <c r="B14" t="s">
        <v>66</v>
      </c>
      <c r="C14" t="s">
        <v>26</v>
      </c>
      <c r="D14" t="s">
        <v>34</v>
      </c>
      <c r="E14" s="10" t="s">
        <v>67</v>
      </c>
      <c r="F14" t="s">
        <v>43</v>
      </c>
      <c r="G14">
        <v>2</v>
      </c>
      <c r="H14">
        <v>700</v>
      </c>
      <c r="I14">
        <v>10</v>
      </c>
      <c r="J14">
        <v>1260</v>
      </c>
      <c r="K14">
        <v>1400</v>
      </c>
      <c r="L14" t="s">
        <v>23</v>
      </c>
    </row>
    <row r="15" spans="1:12" x14ac:dyDescent="0.3">
      <c r="A15" t="s">
        <v>68</v>
      </c>
      <c r="B15" t="s">
        <v>69</v>
      </c>
      <c r="C15" t="s">
        <v>19</v>
      </c>
      <c r="D15" t="s">
        <v>13</v>
      </c>
      <c r="E15" s="10" t="s">
        <v>70</v>
      </c>
      <c r="F15" t="s">
        <v>52</v>
      </c>
      <c r="G15">
        <v>15</v>
      </c>
      <c r="H15">
        <v>25</v>
      </c>
      <c r="I15">
        <v>0</v>
      </c>
      <c r="J15">
        <v>375</v>
      </c>
      <c r="K15">
        <v>350</v>
      </c>
      <c r="L15" t="s">
        <v>16</v>
      </c>
    </row>
    <row r="16" spans="1:12" x14ac:dyDescent="0.3">
      <c r="A16" t="s">
        <v>71</v>
      </c>
      <c r="B16" t="s">
        <v>72</v>
      </c>
      <c r="C16" t="s">
        <v>33</v>
      </c>
      <c r="D16" t="s">
        <v>27</v>
      </c>
      <c r="E16" s="10" t="s">
        <v>73</v>
      </c>
      <c r="F16" t="s">
        <v>48</v>
      </c>
      <c r="G16">
        <v>8</v>
      </c>
      <c r="H16">
        <v>60</v>
      </c>
      <c r="I16">
        <v>5</v>
      </c>
      <c r="J16">
        <v>456</v>
      </c>
      <c r="K16">
        <v>500</v>
      </c>
      <c r="L16" t="s">
        <v>30</v>
      </c>
    </row>
    <row r="17" spans="1:12" x14ac:dyDescent="0.3">
      <c r="A17" t="s">
        <v>74</v>
      </c>
      <c r="B17" t="s">
        <v>75</v>
      </c>
      <c r="C17" t="s">
        <v>12</v>
      </c>
      <c r="D17" t="s">
        <v>34</v>
      </c>
      <c r="E17" s="10" t="s">
        <v>76</v>
      </c>
      <c r="F17" t="s">
        <v>15</v>
      </c>
      <c r="G17">
        <v>2</v>
      </c>
      <c r="H17">
        <v>950</v>
      </c>
      <c r="I17">
        <v>10</v>
      </c>
      <c r="J17">
        <v>1710</v>
      </c>
      <c r="K17">
        <v>1900</v>
      </c>
      <c r="L17" t="s">
        <v>16</v>
      </c>
    </row>
    <row r="18" spans="1:12" x14ac:dyDescent="0.3">
      <c r="A18" t="s">
        <v>77</v>
      </c>
      <c r="B18" t="s">
        <v>78</v>
      </c>
      <c r="C18" t="s">
        <v>26</v>
      </c>
      <c r="D18" t="s">
        <v>20</v>
      </c>
      <c r="E18" s="10" t="s">
        <v>79</v>
      </c>
      <c r="F18" t="s">
        <v>22</v>
      </c>
      <c r="G18">
        <v>4</v>
      </c>
      <c r="H18">
        <v>400</v>
      </c>
      <c r="I18">
        <v>5</v>
      </c>
      <c r="J18">
        <v>1520</v>
      </c>
      <c r="K18">
        <v>1600</v>
      </c>
      <c r="L18" t="s">
        <v>23</v>
      </c>
    </row>
    <row r="19" spans="1:12" x14ac:dyDescent="0.3">
      <c r="A19" t="s">
        <v>80</v>
      </c>
      <c r="B19" t="s">
        <v>81</v>
      </c>
      <c r="C19" t="s">
        <v>46</v>
      </c>
      <c r="D19" t="s">
        <v>27</v>
      </c>
      <c r="E19" s="10" t="s">
        <v>82</v>
      </c>
      <c r="F19" t="s">
        <v>29</v>
      </c>
      <c r="G19">
        <v>2</v>
      </c>
      <c r="H19">
        <v>180</v>
      </c>
      <c r="I19">
        <v>0</v>
      </c>
      <c r="J19">
        <v>360</v>
      </c>
      <c r="K19">
        <v>400</v>
      </c>
      <c r="L19" t="s">
        <v>30</v>
      </c>
    </row>
    <row r="20" spans="1:12" x14ac:dyDescent="0.3">
      <c r="A20" t="s">
        <v>83</v>
      </c>
      <c r="B20" t="s">
        <v>84</v>
      </c>
      <c r="C20" t="s">
        <v>12</v>
      </c>
      <c r="D20" t="s">
        <v>13</v>
      </c>
      <c r="E20" s="10" t="s">
        <v>85</v>
      </c>
      <c r="F20" t="s">
        <v>43</v>
      </c>
      <c r="G20">
        <v>3</v>
      </c>
      <c r="H20">
        <v>700</v>
      </c>
      <c r="I20">
        <v>10</v>
      </c>
      <c r="J20">
        <v>1890</v>
      </c>
      <c r="K20">
        <v>2000</v>
      </c>
      <c r="L20" t="s">
        <v>23</v>
      </c>
    </row>
    <row r="21" spans="1:12" x14ac:dyDescent="0.3">
      <c r="A21" t="s">
        <v>86</v>
      </c>
      <c r="B21" t="s">
        <v>87</v>
      </c>
      <c r="C21" t="s">
        <v>19</v>
      </c>
      <c r="D21" t="s">
        <v>34</v>
      </c>
      <c r="E21" s="10" t="s">
        <v>88</v>
      </c>
      <c r="F21" t="s">
        <v>39</v>
      </c>
      <c r="G21">
        <v>6</v>
      </c>
      <c r="H21">
        <v>350</v>
      </c>
      <c r="I21">
        <v>5</v>
      </c>
      <c r="J21">
        <v>1995</v>
      </c>
      <c r="K21">
        <v>2100</v>
      </c>
      <c r="L21"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8A6A1-6EE3-472C-B005-067FB3B0EA7C}">
  <dimension ref="A1:K21"/>
  <sheetViews>
    <sheetView workbookViewId="0">
      <selection activeCell="L7" sqref="L7"/>
    </sheetView>
  </sheetViews>
  <sheetFormatPr defaultRowHeight="15.05" x14ac:dyDescent="0.3"/>
  <cols>
    <col min="1" max="1" width="20.88671875" customWidth="1"/>
    <col min="2" max="2" width="12.21875" customWidth="1"/>
    <col min="3" max="3" width="13.77734375" customWidth="1"/>
    <col min="4" max="4" width="11.88671875" customWidth="1"/>
    <col min="5" max="5" width="15.109375" customWidth="1"/>
    <col min="6" max="6" width="12.44140625" customWidth="1"/>
    <col min="7" max="7" width="14" customWidth="1"/>
    <col min="8" max="8" width="15.21875" customWidth="1"/>
    <col min="10" max="10" width="30.33203125" customWidth="1"/>
    <col min="11" max="11" width="17.21875" style="9" customWidth="1"/>
  </cols>
  <sheetData>
    <row r="1" spans="1:11" ht="88.3" customHeight="1" x14ac:dyDescent="0.3">
      <c r="A1" s="3" t="s">
        <v>89</v>
      </c>
      <c r="B1" s="5" t="s">
        <v>91</v>
      </c>
      <c r="C1" s="6" t="s">
        <v>2</v>
      </c>
      <c r="D1" s="5" t="s">
        <v>92</v>
      </c>
      <c r="E1" s="5" t="s">
        <v>97</v>
      </c>
      <c r="F1" s="8" t="s">
        <v>1</v>
      </c>
      <c r="G1" s="5" t="s">
        <v>113</v>
      </c>
      <c r="H1" s="5" t="s">
        <v>112</v>
      </c>
      <c r="I1" s="5" t="s">
        <v>114</v>
      </c>
      <c r="J1" s="5" t="s">
        <v>135</v>
      </c>
      <c r="K1" s="12" t="s">
        <v>90</v>
      </c>
    </row>
    <row r="2" spans="1:11" x14ac:dyDescent="0.3">
      <c r="A2" s="4" t="s">
        <v>11</v>
      </c>
      <c r="B2" s="4">
        <f>LEN(Table3[[#This Row],[Employee
 Name]])</f>
        <v>10</v>
      </c>
      <c r="C2" s="7" t="s">
        <v>13</v>
      </c>
      <c r="D2" s="4" t="str">
        <f>RIGHT(Table3[[#This Row],[Region]],3)</f>
        <v>ast</v>
      </c>
      <c r="E2" s="4" t="s">
        <v>93</v>
      </c>
      <c r="F2" s="4" t="s">
        <v>12</v>
      </c>
      <c r="G2" s="4" t="s">
        <v>98</v>
      </c>
      <c r="H2" s="4" t="str">
        <f>_xlfn.CONCAT(Table3[[#This Row],[Department]],Table3[[#This Row],[Region]])</f>
        <v>SalesEast</v>
      </c>
      <c r="I2" s="4" t="str">
        <f>MID(Table3[[#This Row],[Concat]],1,5)</f>
        <v>Sales</v>
      </c>
      <c r="J2" s="4" t="s">
        <v>115</v>
      </c>
      <c r="K2" s="13">
        <v>45296</v>
      </c>
    </row>
    <row r="3" spans="1:11" x14ac:dyDescent="0.3">
      <c r="A3" s="4" t="s">
        <v>18</v>
      </c>
      <c r="B3" s="4">
        <f>LEN(Table3[[#This Row],[Employee
 Name]])</f>
        <v>13</v>
      </c>
      <c r="C3" s="7" t="s">
        <v>20</v>
      </c>
      <c r="D3" s="4" t="str">
        <f>RIGHT(Table3[[#This Row],[Region]],3)</f>
        <v>est</v>
      </c>
      <c r="E3" s="4" t="s">
        <v>94</v>
      </c>
      <c r="F3" s="4" t="s">
        <v>19</v>
      </c>
      <c r="G3" s="4" t="s">
        <v>99</v>
      </c>
      <c r="H3" s="4" t="str">
        <f>_xlfn.CONCAT(Table3[[#This Row],[Department]],Table3[[#This Row],[Region]])</f>
        <v>MarketingWest</v>
      </c>
      <c r="I3" s="4" t="str">
        <f>MID(Table3[[#This Row],[Concat]],1,5)</f>
        <v>Marke</v>
      </c>
      <c r="J3" s="4" t="s">
        <v>116</v>
      </c>
      <c r="K3" s="13">
        <v>45327</v>
      </c>
    </row>
    <row r="4" spans="1:11" x14ac:dyDescent="0.3">
      <c r="A4" s="4" t="s">
        <v>25</v>
      </c>
      <c r="B4" s="4">
        <f>LEN(Table3[[#This Row],[Employee
 Name]])</f>
        <v>9</v>
      </c>
      <c r="C4" s="7" t="s">
        <v>27</v>
      </c>
      <c r="D4" s="4" t="str">
        <f>RIGHT(Table3[[#This Row],[Region]],3)</f>
        <v>rth</v>
      </c>
      <c r="E4" s="4" t="s">
        <v>95</v>
      </c>
      <c r="F4" s="4" t="s">
        <v>26</v>
      </c>
      <c r="G4" s="4" t="s">
        <v>100</v>
      </c>
      <c r="H4" s="4" t="str">
        <f>_xlfn.CONCAT(Table3[[#This Row],[Department]],Table3[[#This Row],[Region]])</f>
        <v>FinanceNorth</v>
      </c>
      <c r="I4" s="4" t="str">
        <f>MID(Table3[[#This Row],[Concat]],1,5)</f>
        <v>Finan</v>
      </c>
      <c r="J4" s="4" t="s">
        <v>117</v>
      </c>
      <c r="K4" s="13">
        <v>45356</v>
      </c>
    </row>
    <row r="5" spans="1:11" x14ac:dyDescent="0.3">
      <c r="A5" s="4" t="s">
        <v>32</v>
      </c>
      <c r="B5" s="4">
        <f>LEN(Table3[[#This Row],[Employee
 Name]])</f>
        <v>10</v>
      </c>
      <c r="C5" s="7" t="s">
        <v>34</v>
      </c>
      <c r="D5" s="4" t="str">
        <f>RIGHT(Table3[[#This Row],[Region]],3)</f>
        <v>uth</v>
      </c>
      <c r="E5" s="4" t="s">
        <v>96</v>
      </c>
      <c r="F5" s="4" t="s">
        <v>33</v>
      </c>
      <c r="G5" s="4" t="s">
        <v>101</v>
      </c>
      <c r="H5" s="4" t="str">
        <f>_xlfn.CONCAT(Table3[[#This Row],[Department]],Table3[[#This Row],[Region]])</f>
        <v>HRSouth</v>
      </c>
      <c r="I5" s="4" t="str">
        <f>MID(Table3[[#This Row],[Concat]],1,5)</f>
        <v>HRSou</v>
      </c>
      <c r="J5" s="4" t="s">
        <v>118</v>
      </c>
      <c r="K5" s="13">
        <v>45387</v>
      </c>
    </row>
    <row r="6" spans="1:11" x14ac:dyDescent="0.3">
      <c r="A6" s="4" t="s">
        <v>37</v>
      </c>
      <c r="B6" s="4">
        <f>LEN(Table3[[#This Row],[Employee
 Name]])</f>
        <v>13</v>
      </c>
      <c r="C6" s="7" t="s">
        <v>13</v>
      </c>
      <c r="D6" s="4" t="str">
        <f>RIGHT(Table3[[#This Row],[Region]],3)</f>
        <v>ast</v>
      </c>
      <c r="E6" s="4" t="s">
        <v>93</v>
      </c>
      <c r="F6" s="4" t="s">
        <v>12</v>
      </c>
      <c r="G6" s="4" t="s">
        <v>98</v>
      </c>
      <c r="H6" s="4" t="str">
        <f>_xlfn.CONCAT(Table3[[#This Row],[Department]],Table3[[#This Row],[Region]])</f>
        <v>SalesEast</v>
      </c>
      <c r="I6" s="4" t="str">
        <f>MID(Table3[[#This Row],[Concat]],1,5)</f>
        <v>Sales</v>
      </c>
      <c r="J6" s="4" t="s">
        <v>119</v>
      </c>
      <c r="K6" s="13">
        <v>45417</v>
      </c>
    </row>
    <row r="7" spans="1:11" x14ac:dyDescent="0.3">
      <c r="A7" s="4" t="s">
        <v>41</v>
      </c>
      <c r="B7" s="4">
        <f>LEN(Table3[[#This Row],[Employee
 Name]])</f>
        <v>13</v>
      </c>
      <c r="C7" s="7" t="s">
        <v>27</v>
      </c>
      <c r="D7" s="4" t="str">
        <f>RIGHT(Table3[[#This Row],[Region]],3)</f>
        <v>rth</v>
      </c>
      <c r="E7" s="4" t="s">
        <v>95</v>
      </c>
      <c r="F7" s="4" t="s">
        <v>26</v>
      </c>
      <c r="G7" s="4" t="s">
        <v>100</v>
      </c>
      <c r="H7" s="4" t="str">
        <f>_xlfn.CONCAT(Table3[[#This Row],[Department]],Table3[[#This Row],[Region]])</f>
        <v>FinanceNorth</v>
      </c>
      <c r="I7" s="4" t="str">
        <f>MID(Table3[[#This Row],[Concat]],1,5)</f>
        <v>Finan</v>
      </c>
      <c r="J7" s="4" t="s">
        <v>120</v>
      </c>
      <c r="K7" s="13">
        <v>45448</v>
      </c>
    </row>
    <row r="8" spans="1:11" x14ac:dyDescent="0.3">
      <c r="A8" s="4" t="s">
        <v>45</v>
      </c>
      <c r="B8" s="4">
        <f>LEN(Table3[[#This Row],[Employee
 Name]])</f>
        <v>13</v>
      </c>
      <c r="C8" s="7" t="s">
        <v>20</v>
      </c>
      <c r="D8" s="4" t="str">
        <f>RIGHT(Table3[[#This Row],[Region]],3)</f>
        <v>est</v>
      </c>
      <c r="E8" s="4" t="s">
        <v>94</v>
      </c>
      <c r="F8" s="4" t="s">
        <v>46</v>
      </c>
      <c r="G8" s="4" t="s">
        <v>102</v>
      </c>
      <c r="H8" s="4" t="str">
        <f>_xlfn.CONCAT(Table3[[#This Row],[Department]],Table3[[#This Row],[Region]])</f>
        <v>ITWest</v>
      </c>
      <c r="I8" s="4" t="str">
        <f>MID(Table3[[#This Row],[Concat]],1,5)</f>
        <v>ITWes</v>
      </c>
      <c r="J8" s="4" t="s">
        <v>121</v>
      </c>
      <c r="K8" s="13">
        <v>45478</v>
      </c>
    </row>
    <row r="9" spans="1:11" x14ac:dyDescent="0.3">
      <c r="A9" s="4" t="s">
        <v>50</v>
      </c>
      <c r="B9" s="4">
        <f>LEN(Table3[[#This Row],[Employee
 Name]])</f>
        <v>10</v>
      </c>
      <c r="C9" s="7" t="s">
        <v>13</v>
      </c>
      <c r="D9" s="4" t="str">
        <f>RIGHT(Table3[[#This Row],[Region]],3)</f>
        <v>ast</v>
      </c>
      <c r="E9" s="4" t="s">
        <v>93</v>
      </c>
      <c r="F9" s="4" t="s">
        <v>12</v>
      </c>
      <c r="G9" s="4" t="s">
        <v>98</v>
      </c>
      <c r="H9" s="4" t="str">
        <f>_xlfn.CONCAT(Table3[[#This Row],[Department]],Table3[[#This Row],[Region]])</f>
        <v>SalesEast</v>
      </c>
      <c r="I9" s="4" t="str">
        <f>MID(Table3[[#This Row],[Concat]],1,5)</f>
        <v>Sales</v>
      </c>
      <c r="J9" s="4" t="s">
        <v>122</v>
      </c>
      <c r="K9" s="13">
        <v>45509</v>
      </c>
    </row>
    <row r="10" spans="1:11" x14ac:dyDescent="0.3">
      <c r="A10" s="4" t="s">
        <v>54</v>
      </c>
      <c r="B10" s="4">
        <f>LEN(Table3[[#This Row],[Employee
 Name]])</f>
        <v>12</v>
      </c>
      <c r="C10" s="7" t="s">
        <v>34</v>
      </c>
      <c r="D10" s="4" t="str">
        <f>RIGHT(Table3[[#This Row],[Region]],3)</f>
        <v>uth</v>
      </c>
      <c r="E10" s="4" t="s">
        <v>96</v>
      </c>
      <c r="F10" s="4" t="s">
        <v>19</v>
      </c>
      <c r="G10" s="4" t="s">
        <v>103</v>
      </c>
      <c r="H10" s="4" t="str">
        <f>_xlfn.CONCAT(Table3[[#This Row],[Department]],Table3[[#This Row],[Region]])</f>
        <v>MarketingSouth</v>
      </c>
      <c r="I10" s="4" t="str">
        <f>MID(Table3[[#This Row],[Concat]],1,5)</f>
        <v>Marke</v>
      </c>
      <c r="J10" s="4" t="s">
        <v>123</v>
      </c>
      <c r="K10" s="13">
        <v>45540</v>
      </c>
    </row>
    <row r="11" spans="1:11" x14ac:dyDescent="0.3">
      <c r="A11" s="4" t="s">
        <v>57</v>
      </c>
      <c r="B11" s="4">
        <f>LEN(Table3[[#This Row],[Employee
 Name]])</f>
        <v>10</v>
      </c>
      <c r="C11" s="7" t="s">
        <v>27</v>
      </c>
      <c r="D11" s="4" t="str">
        <f>RIGHT(Table3[[#This Row],[Region]],3)</f>
        <v>rth</v>
      </c>
      <c r="E11" s="4" t="s">
        <v>95</v>
      </c>
      <c r="F11" s="4" t="s">
        <v>26</v>
      </c>
      <c r="G11" s="4" t="s">
        <v>100</v>
      </c>
      <c r="H11" s="4" t="str">
        <f>_xlfn.CONCAT(Table3[[#This Row],[Department]],Table3[[#This Row],[Region]])</f>
        <v>FinanceNorth</v>
      </c>
      <c r="I11" s="4" t="str">
        <f>MID(Table3[[#This Row],[Concat]],1,5)</f>
        <v>Finan</v>
      </c>
      <c r="J11" s="4" t="s">
        <v>124</v>
      </c>
      <c r="K11" s="13">
        <v>45570</v>
      </c>
    </row>
    <row r="12" spans="1:11" x14ac:dyDescent="0.3">
      <c r="A12" s="4" t="s">
        <v>60</v>
      </c>
      <c r="B12" s="4">
        <f>LEN(Table3[[#This Row],[Employee
 Name]])</f>
        <v>9</v>
      </c>
      <c r="C12" s="7" t="s">
        <v>13</v>
      </c>
      <c r="D12" s="4" t="str">
        <f>RIGHT(Table3[[#This Row],[Region]],3)</f>
        <v>ast</v>
      </c>
      <c r="E12" s="4" t="s">
        <v>93</v>
      </c>
      <c r="F12" s="4" t="s">
        <v>33</v>
      </c>
      <c r="G12" s="4" t="s">
        <v>104</v>
      </c>
      <c r="H12" s="4" t="str">
        <f>_xlfn.CONCAT(Table3[[#This Row],[Department]],Table3[[#This Row],[Region]])</f>
        <v>HREast</v>
      </c>
      <c r="I12" s="4" t="str">
        <f>MID(Table3[[#This Row],[Concat]],1,5)</f>
        <v>HREas</v>
      </c>
      <c r="J12" s="4" t="s">
        <v>125</v>
      </c>
      <c r="K12" s="13">
        <v>45601</v>
      </c>
    </row>
    <row r="13" spans="1:11" x14ac:dyDescent="0.3">
      <c r="A13" s="4" t="s">
        <v>63</v>
      </c>
      <c r="B13" s="4">
        <f>LEN(Table3[[#This Row],[Employee
 Name]])</f>
        <v>11</v>
      </c>
      <c r="C13" s="7" t="s">
        <v>20</v>
      </c>
      <c r="D13" s="4" t="str">
        <f>RIGHT(Table3[[#This Row],[Region]],3)</f>
        <v>est</v>
      </c>
      <c r="E13" s="4" t="s">
        <v>94</v>
      </c>
      <c r="F13" s="4" t="s">
        <v>12</v>
      </c>
      <c r="G13" s="4" t="s">
        <v>105</v>
      </c>
      <c r="H13" s="4" t="str">
        <f>_xlfn.CONCAT(Table3[[#This Row],[Department]],Table3[[#This Row],[Region]])</f>
        <v>SalesWest</v>
      </c>
      <c r="I13" s="4" t="str">
        <f>MID(Table3[[#This Row],[Concat]],1,5)</f>
        <v>Sales</v>
      </c>
      <c r="J13" s="4" t="s">
        <v>126</v>
      </c>
      <c r="K13" s="13">
        <v>45631</v>
      </c>
    </row>
    <row r="14" spans="1:11" x14ac:dyDescent="0.3">
      <c r="A14" s="4" t="s">
        <v>66</v>
      </c>
      <c r="B14" s="4">
        <f>LEN(Table3[[#This Row],[Employee
 Name]])</f>
        <v>10</v>
      </c>
      <c r="C14" s="7" t="s">
        <v>34</v>
      </c>
      <c r="D14" s="4" t="str">
        <f>RIGHT(Table3[[#This Row],[Region]],3)</f>
        <v>uth</v>
      </c>
      <c r="E14" s="4" t="s">
        <v>96</v>
      </c>
      <c r="F14" s="4" t="s">
        <v>26</v>
      </c>
      <c r="G14" s="4" t="s">
        <v>106</v>
      </c>
      <c r="H14" s="4" t="str">
        <f>_xlfn.CONCAT(Table3[[#This Row],[Department]],Table3[[#This Row],[Region]])</f>
        <v>FinanceSouth</v>
      </c>
      <c r="I14" s="4" t="str">
        <f>MID(Table3[[#This Row],[Concat]],1,5)</f>
        <v>Finan</v>
      </c>
      <c r="J14" s="4" t="s">
        <v>127</v>
      </c>
      <c r="K14" s="13">
        <v>45662</v>
      </c>
    </row>
    <row r="15" spans="1:11" x14ac:dyDescent="0.3">
      <c r="A15" s="4" t="s">
        <v>69</v>
      </c>
      <c r="B15" s="4">
        <f>LEN(Table3[[#This Row],[Employee
 Name]])</f>
        <v>10</v>
      </c>
      <c r="C15" s="7" t="s">
        <v>13</v>
      </c>
      <c r="D15" s="4" t="str">
        <f>RIGHT(Table3[[#This Row],[Region]],3)</f>
        <v>ast</v>
      </c>
      <c r="E15" s="4" t="s">
        <v>93</v>
      </c>
      <c r="F15" s="4" t="s">
        <v>19</v>
      </c>
      <c r="G15" s="4" t="s">
        <v>107</v>
      </c>
      <c r="H15" s="4" t="str">
        <f>_xlfn.CONCAT(Table3[[#This Row],[Department]],Table3[[#This Row],[Region]])</f>
        <v>MarketingEast</v>
      </c>
      <c r="I15" s="4" t="str">
        <f>MID(Table3[[#This Row],[Concat]],1,5)</f>
        <v>Marke</v>
      </c>
      <c r="J15" s="4" t="s">
        <v>128</v>
      </c>
      <c r="K15" s="13">
        <v>45693</v>
      </c>
    </row>
    <row r="16" spans="1:11" x14ac:dyDescent="0.3">
      <c r="A16" s="4" t="s">
        <v>72</v>
      </c>
      <c r="B16" s="4">
        <f>LEN(Table3[[#This Row],[Employee
 Name]])</f>
        <v>11</v>
      </c>
      <c r="C16" s="7" t="s">
        <v>27</v>
      </c>
      <c r="D16" s="4" t="str">
        <f>RIGHT(Table3[[#This Row],[Region]],3)</f>
        <v>rth</v>
      </c>
      <c r="E16" s="4" t="s">
        <v>95</v>
      </c>
      <c r="F16" s="4" t="s">
        <v>33</v>
      </c>
      <c r="G16" s="4" t="s">
        <v>108</v>
      </c>
      <c r="H16" s="4" t="str">
        <f>_xlfn.CONCAT(Table3[[#This Row],[Department]],Table3[[#This Row],[Region]])</f>
        <v>HRNorth</v>
      </c>
      <c r="I16" s="4" t="str">
        <f>MID(Table3[[#This Row],[Concat]],1,5)</f>
        <v>HRNor</v>
      </c>
      <c r="J16" s="4" t="s">
        <v>129</v>
      </c>
      <c r="K16" s="13">
        <v>45721</v>
      </c>
    </row>
    <row r="17" spans="1:11" x14ac:dyDescent="0.3">
      <c r="A17" s="4" t="s">
        <v>75</v>
      </c>
      <c r="B17" s="4">
        <f>LEN(Table3[[#This Row],[Employee
 Name]])</f>
        <v>11</v>
      </c>
      <c r="C17" s="7" t="s">
        <v>34</v>
      </c>
      <c r="D17" s="4" t="str">
        <f>RIGHT(Table3[[#This Row],[Region]],3)</f>
        <v>uth</v>
      </c>
      <c r="E17" s="4" t="s">
        <v>96</v>
      </c>
      <c r="F17" s="4" t="s">
        <v>12</v>
      </c>
      <c r="G17" s="4" t="s">
        <v>109</v>
      </c>
      <c r="H17" s="4" t="str">
        <f>_xlfn.CONCAT(Table3[[#This Row],[Department]],Table3[[#This Row],[Region]])</f>
        <v>SalesSouth</v>
      </c>
      <c r="I17" s="4" t="str">
        <f>MID(Table3[[#This Row],[Concat]],1,5)</f>
        <v>Sales</v>
      </c>
      <c r="J17" s="4" t="s">
        <v>130</v>
      </c>
      <c r="K17" s="13">
        <v>45752</v>
      </c>
    </row>
    <row r="18" spans="1:11" x14ac:dyDescent="0.3">
      <c r="A18" s="4" t="s">
        <v>78</v>
      </c>
      <c r="B18" s="4">
        <f>LEN(Table3[[#This Row],[Employee
 Name]])</f>
        <v>11</v>
      </c>
      <c r="C18" s="7" t="s">
        <v>20</v>
      </c>
      <c r="D18" s="4" t="str">
        <f>RIGHT(Table3[[#This Row],[Region]],3)</f>
        <v>est</v>
      </c>
      <c r="E18" s="4" t="s">
        <v>94</v>
      </c>
      <c r="F18" s="4" t="s">
        <v>26</v>
      </c>
      <c r="G18" s="4" t="s">
        <v>110</v>
      </c>
      <c r="H18" s="4" t="str">
        <f>_xlfn.CONCAT(Table3[[#This Row],[Department]],Table3[[#This Row],[Region]])</f>
        <v>FinanceWest</v>
      </c>
      <c r="I18" s="4" t="str">
        <f>MID(Table3[[#This Row],[Concat]],1,5)</f>
        <v>Finan</v>
      </c>
      <c r="J18" s="4" t="s">
        <v>131</v>
      </c>
      <c r="K18" s="13">
        <v>45782</v>
      </c>
    </row>
    <row r="19" spans="1:11" x14ac:dyDescent="0.3">
      <c r="A19" s="4" t="s">
        <v>81</v>
      </c>
      <c r="B19" s="4">
        <f>LEN(Table3[[#This Row],[Employee
 Name]])</f>
        <v>11</v>
      </c>
      <c r="C19" s="7" t="s">
        <v>27</v>
      </c>
      <c r="D19" s="4" t="str">
        <f>RIGHT(Table3[[#This Row],[Region]],3)</f>
        <v>rth</v>
      </c>
      <c r="E19" s="4" t="s">
        <v>95</v>
      </c>
      <c r="F19" s="4" t="s">
        <v>46</v>
      </c>
      <c r="G19" s="4" t="s">
        <v>111</v>
      </c>
      <c r="H19" s="4" t="str">
        <f>_xlfn.CONCAT(Table3[[#This Row],[Department]],Table3[[#This Row],[Region]])</f>
        <v>ITNorth</v>
      </c>
      <c r="I19" s="4" t="str">
        <f>MID(Table3[[#This Row],[Concat]],1,5)</f>
        <v>ITNor</v>
      </c>
      <c r="J19" s="4" t="s">
        <v>132</v>
      </c>
      <c r="K19" s="13">
        <v>45813</v>
      </c>
    </row>
    <row r="20" spans="1:11" x14ac:dyDescent="0.3">
      <c r="A20" s="4" t="s">
        <v>84</v>
      </c>
      <c r="B20" s="4">
        <f>LEN(Table3[[#This Row],[Employee
 Name]])</f>
        <v>11</v>
      </c>
      <c r="C20" s="7" t="s">
        <v>13</v>
      </c>
      <c r="D20" s="4" t="str">
        <f>RIGHT(Table3[[#This Row],[Region]],3)</f>
        <v>ast</v>
      </c>
      <c r="E20" s="4" t="s">
        <v>93</v>
      </c>
      <c r="F20" s="4" t="s">
        <v>12</v>
      </c>
      <c r="G20" s="4" t="s">
        <v>98</v>
      </c>
      <c r="H20" s="4" t="str">
        <f>_xlfn.CONCAT(Table3[[#This Row],[Department]],Table3[[#This Row],[Region]])</f>
        <v>SalesEast</v>
      </c>
      <c r="I20" s="4" t="str">
        <f>MID(Table3[[#This Row],[Concat]],1,5)</f>
        <v>Sales</v>
      </c>
      <c r="J20" s="4" t="s">
        <v>133</v>
      </c>
      <c r="K20" s="13">
        <v>45843</v>
      </c>
    </row>
    <row r="21" spans="1:11" x14ac:dyDescent="0.3">
      <c r="A21" s="4" t="s">
        <v>87</v>
      </c>
      <c r="B21" s="4">
        <f>LEN(Table3[[#This Row],[Employee
 Name]])</f>
        <v>9</v>
      </c>
      <c r="C21" s="7" t="s">
        <v>34</v>
      </c>
      <c r="D21" s="4" t="str">
        <f>RIGHT(Table3[[#This Row],[Region]],3)</f>
        <v>uth</v>
      </c>
      <c r="E21" s="4" t="s">
        <v>96</v>
      </c>
      <c r="F21" s="4" t="s">
        <v>19</v>
      </c>
      <c r="G21" s="4" t="s">
        <v>103</v>
      </c>
      <c r="H21" s="4" t="str">
        <f>_xlfn.CONCAT(Table3[[#This Row],[Department]],Table3[[#This Row],[Region]])</f>
        <v>MarketingSouth</v>
      </c>
      <c r="I21" s="4" t="str">
        <f>MID(Table3[[#This Row],[Concat]],1,5)</f>
        <v>Marke</v>
      </c>
      <c r="J21" s="4" t="s">
        <v>134</v>
      </c>
      <c r="K21" s="13">
        <v>45874</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EB279-8E0B-42E9-8D32-B81447F03D46}">
  <dimension ref="A1:Z480"/>
  <sheetViews>
    <sheetView topLeftCell="A48" workbookViewId="0">
      <selection activeCell="B2" sqref="B2:B480"/>
    </sheetView>
  </sheetViews>
  <sheetFormatPr defaultRowHeight="15.05" x14ac:dyDescent="0.3"/>
  <cols>
    <col min="1" max="1" width="16.77734375" customWidth="1"/>
    <col min="2" max="2" width="13.88671875" customWidth="1"/>
    <col min="3" max="3" width="15.44140625" customWidth="1"/>
    <col min="4" max="4" width="16.88671875" style="16" customWidth="1"/>
    <col min="5" max="5" width="18.5546875" customWidth="1"/>
    <col min="6" max="6" width="22.88671875" style="18" customWidth="1"/>
    <col min="7" max="7" width="19.109375" style="20" customWidth="1"/>
    <col min="8" max="8" width="16.33203125" customWidth="1"/>
    <col min="9" max="9" width="20.44140625" customWidth="1"/>
    <col min="11" max="11" width="14.6640625" customWidth="1"/>
    <col min="12" max="12" width="13.5546875" customWidth="1"/>
    <col min="26" max="26" width="14.77734375" customWidth="1"/>
  </cols>
  <sheetData>
    <row r="1" spans="1:26" ht="30.05" x14ac:dyDescent="0.3">
      <c r="A1" s="1" t="s">
        <v>136</v>
      </c>
      <c r="B1" s="2" t="s">
        <v>89</v>
      </c>
      <c r="C1" s="11" t="s">
        <v>90</v>
      </c>
      <c r="D1" s="15" t="s">
        <v>137</v>
      </c>
      <c r="E1" s="1" t="s">
        <v>138</v>
      </c>
      <c r="F1" s="17" t="s">
        <v>139</v>
      </c>
      <c r="G1" s="19" t="s">
        <v>140</v>
      </c>
      <c r="H1" s="1" t="s">
        <v>141</v>
      </c>
      <c r="I1" s="1" t="s">
        <v>142</v>
      </c>
    </row>
    <row r="2" spans="1:26" x14ac:dyDescent="0.3">
      <c r="A2" s="21" t="s">
        <v>62</v>
      </c>
      <c r="B2" t="s">
        <v>87</v>
      </c>
      <c r="C2" s="10" t="s">
        <v>88</v>
      </c>
      <c r="D2" s="16">
        <f ca="1">TODAY()</f>
        <v>45968</v>
      </c>
      <c r="E2" s="14">
        <f t="shared" ref="E2:E40" ca="1" si="0">NOW()</f>
        <v>45968.535908912039</v>
      </c>
      <c r="F2" s="18">
        <f>EOMONTH(Table13[[#This Row],[Transaction Date]],0)</f>
        <v>45382</v>
      </c>
      <c r="G2" s="20">
        <f ca="1">_xlfn.DAYS(Table13[[#This Row],[Today]],Table13[[#This Row],[Transaction Date]])</f>
        <v>588</v>
      </c>
      <c r="H2">
        <f ca="1">NETWORKDAYS.INTL(Table13[[#This Row],[Transaction Date]],Table13[[#This Row],[Today]],)</f>
        <v>421</v>
      </c>
      <c r="I2">
        <f ca="1">NETWORKDAYS(Table13[[#This Row],[Transaction Date]],Table13[[#This Row],[Today]])</f>
        <v>421</v>
      </c>
    </row>
    <row r="3" spans="1:26" x14ac:dyDescent="0.3">
      <c r="A3" t="s">
        <v>40</v>
      </c>
      <c r="B3" t="s">
        <v>41</v>
      </c>
      <c r="C3" s="10" t="s">
        <v>42</v>
      </c>
      <c r="D3" s="16">
        <f t="shared" ref="D3:D40" ca="1" si="1">TODAY()</f>
        <v>45968</v>
      </c>
      <c r="E3" s="14">
        <f t="shared" ca="1" si="0"/>
        <v>45968.535908912039</v>
      </c>
      <c r="F3" s="18">
        <f>EOMONTH(Table13[[#This Row],[Transaction Date]],0)</f>
        <v>45322</v>
      </c>
      <c r="G3" s="20">
        <f ca="1">_xlfn.DAYS(Table13[[#This Row],[Today]],Table13[[#This Row],[Transaction Date]])</f>
        <v>648</v>
      </c>
      <c r="H3">
        <f ca="1">NETWORKDAYS.INTL(Table13[[#This Row],[Transaction Date]],Table13[[#This Row],[Today]],)</f>
        <v>465</v>
      </c>
      <c r="I3">
        <f ca="1">NETWORKDAYS(Table13[[#This Row],[Transaction Date]],Table13[[#This Row],[Today]])</f>
        <v>465</v>
      </c>
    </row>
    <row r="4" spans="1:26" x14ac:dyDescent="0.3">
      <c r="A4" t="s">
        <v>65</v>
      </c>
      <c r="B4" t="s">
        <v>66</v>
      </c>
      <c r="C4" s="10" t="s">
        <v>67</v>
      </c>
      <c r="D4" s="16">
        <f t="shared" ca="1" si="1"/>
        <v>45968</v>
      </c>
      <c r="E4" s="14">
        <f t="shared" ca="1" si="0"/>
        <v>45968.535908912039</v>
      </c>
      <c r="F4" s="18">
        <f>EOMONTH(Table13[[#This Row],[Transaction Date]],0)</f>
        <v>45351</v>
      </c>
      <c r="G4" s="20">
        <f ca="1">_xlfn.DAYS(Table13[[#This Row],[Today]],Table13[[#This Row],[Transaction Date]])</f>
        <v>618</v>
      </c>
      <c r="H4">
        <f ca="1">NETWORKDAYS.INTL(Table13[[#This Row],[Transaction Date]],Table13[[#This Row],[Today]],)</f>
        <v>443</v>
      </c>
      <c r="I4">
        <f ca="1">NETWORKDAYS(Table13[[#This Row],[Transaction Date]],Table13[[#This Row],[Today]])</f>
        <v>443</v>
      </c>
      <c r="Z4" t="str" cm="1">
        <f t="array" ref="Z4:Z23">_xlfn.UNIQUE(Names)</f>
        <v>Jack Hill</v>
      </c>
    </row>
    <row r="5" spans="1:26" x14ac:dyDescent="0.3">
      <c r="A5" t="s">
        <v>83</v>
      </c>
      <c r="B5" t="s">
        <v>84</v>
      </c>
      <c r="C5" s="10" t="s">
        <v>85</v>
      </c>
      <c r="D5" s="16">
        <f t="shared" ca="1" si="1"/>
        <v>45968</v>
      </c>
      <c r="E5" s="14">
        <f t="shared" ca="1" si="0"/>
        <v>45968.535908912039</v>
      </c>
      <c r="F5" s="18">
        <f>EOMONTH(Table13[[#This Row],[Transaction Date]],0)</f>
        <v>45382</v>
      </c>
      <c r="G5" s="20">
        <f ca="1">_xlfn.DAYS(Table13[[#This Row],[Today]],Table13[[#This Row],[Transaction Date]])</f>
        <v>592</v>
      </c>
      <c r="H5">
        <f ca="1">NETWORKDAYS.INTL(Table13[[#This Row],[Transaction Date]],Table13[[#This Row],[Today]],)</f>
        <v>425</v>
      </c>
      <c r="I5">
        <f ca="1">NETWORKDAYS(Table13[[#This Row],[Transaction Date]],Table13[[#This Row],[Today]])</f>
        <v>425</v>
      </c>
      <c r="Z5" t="str">
        <v>Olivia Wilson</v>
      </c>
    </row>
    <row r="6" spans="1:26" x14ac:dyDescent="0.3">
      <c r="A6" t="s">
        <v>62</v>
      </c>
      <c r="B6" t="s">
        <v>63</v>
      </c>
      <c r="C6" s="10" t="s">
        <v>64</v>
      </c>
      <c r="D6" s="16">
        <f t="shared" ca="1" si="1"/>
        <v>45968</v>
      </c>
      <c r="E6" s="14">
        <f t="shared" ca="1" si="0"/>
        <v>45968.535908912039</v>
      </c>
      <c r="F6" s="18">
        <f>EOMONTH(Table13[[#This Row],[Transaction Date]],0)</f>
        <v>45351</v>
      </c>
      <c r="G6" s="20">
        <f ca="1">_xlfn.DAYS(Table13[[#This Row],[Today]],Table13[[#This Row],[Transaction Date]])</f>
        <v>622</v>
      </c>
      <c r="H6">
        <f ca="1">NETWORKDAYS.INTL(Table13[[#This Row],[Transaction Date]],Table13[[#This Row],[Today]],)</f>
        <v>445</v>
      </c>
      <c r="I6">
        <f ca="1">NETWORKDAYS(Table13[[#This Row],[Transaction Date]],Table13[[#This Row],[Today]])</f>
        <v>445</v>
      </c>
      <c r="L6" t="s">
        <v>84</v>
      </c>
      <c r="Z6" t="str">
        <v>Lily Adams</v>
      </c>
    </row>
    <row r="7" spans="1:26" x14ac:dyDescent="0.3">
      <c r="A7" t="s">
        <v>31</v>
      </c>
      <c r="B7" t="s">
        <v>32</v>
      </c>
      <c r="C7" s="10" t="s">
        <v>35</v>
      </c>
      <c r="D7" s="16">
        <f t="shared" ca="1" si="1"/>
        <v>45968</v>
      </c>
      <c r="E7" s="14">
        <f t="shared" ca="1" si="0"/>
        <v>45968.535908912039</v>
      </c>
      <c r="F7" s="18">
        <f>EOMONTH(Table13[[#This Row],[Transaction Date]],0)</f>
        <v>45322</v>
      </c>
      <c r="G7" s="20">
        <f ca="1">_xlfn.DAYS(Table13[[#This Row],[Today]],Table13[[#This Row],[Transaction Date]])</f>
        <v>655</v>
      </c>
      <c r="H7">
        <f ca="1">NETWORKDAYS.INTL(Table13[[#This Row],[Transaction Date]],Table13[[#This Row],[Today]],)</f>
        <v>470</v>
      </c>
      <c r="I7">
        <f ca="1">NETWORKDAYS(Table13[[#This Row],[Transaction Date]],Table13[[#This Row],[Today]])</f>
        <v>470</v>
      </c>
      <c r="Z7" t="str">
        <v>Ella Turner</v>
      </c>
    </row>
    <row r="8" spans="1:26" x14ac:dyDescent="0.3">
      <c r="A8" t="s">
        <v>80</v>
      </c>
      <c r="B8" t="s">
        <v>81</v>
      </c>
      <c r="C8" s="10" t="s">
        <v>35</v>
      </c>
      <c r="D8" s="16">
        <f t="shared" ca="1" si="1"/>
        <v>45968</v>
      </c>
      <c r="E8" s="14">
        <f t="shared" ca="1" si="0"/>
        <v>45968.535908912039</v>
      </c>
      <c r="F8" s="18">
        <f>EOMONTH(Table13[[#This Row],[Transaction Date]],0)</f>
        <v>45322</v>
      </c>
      <c r="G8" s="20">
        <f ca="1">_xlfn.DAYS(Table13[[#This Row],[Today]],Table13[[#This Row],[Transaction Date]])</f>
        <v>655</v>
      </c>
      <c r="H8">
        <f ca="1">NETWORKDAYS.INTL(Table13[[#This Row],[Transaction Date]],Table13[[#This Row],[Today]],)</f>
        <v>470</v>
      </c>
      <c r="I8">
        <f ca="1">NETWORKDAYS(Table13[[#This Row],[Transaction Date]],Table13[[#This Row],[Today]])</f>
        <v>470</v>
      </c>
      <c r="Z8" t="str">
        <v>Ethan Clark</v>
      </c>
    </row>
    <row r="9" spans="1:26" x14ac:dyDescent="0.3">
      <c r="A9" t="s">
        <v>59</v>
      </c>
      <c r="B9" t="s">
        <v>60</v>
      </c>
      <c r="C9" s="10" t="s">
        <v>35</v>
      </c>
      <c r="D9" s="16">
        <f t="shared" ca="1" si="1"/>
        <v>45968</v>
      </c>
      <c r="E9" s="14">
        <f t="shared" ca="1" si="0"/>
        <v>45968.535908912039</v>
      </c>
      <c r="F9" s="18">
        <f>EOMONTH(Table13[[#This Row],[Transaction Date]],0)</f>
        <v>45322</v>
      </c>
      <c r="G9" s="20">
        <f ca="1">_xlfn.DAYS(Table13[[#This Row],[Today]],Table13[[#This Row],[Transaction Date]])</f>
        <v>655</v>
      </c>
      <c r="H9">
        <f ca="1">NETWORKDAYS.INTL(Table13[[#This Row],[Transaction Date]],Table13[[#This Row],[Today]],)</f>
        <v>470</v>
      </c>
      <c r="I9">
        <f ca="1">NETWORKDAYS(Table13[[#This Row],[Transaction Date]],Table13[[#This Row],[Today]])</f>
        <v>470</v>
      </c>
      <c r="Z9" t="str">
        <v>Emma Brown</v>
      </c>
    </row>
    <row r="10" spans="1:26" x14ac:dyDescent="0.3">
      <c r="A10" t="s">
        <v>24</v>
      </c>
      <c r="B10" t="s">
        <v>25</v>
      </c>
      <c r="C10" s="10" t="s">
        <v>35</v>
      </c>
      <c r="D10" s="16">
        <f t="shared" ca="1" si="1"/>
        <v>45968</v>
      </c>
      <c r="E10" s="14">
        <f t="shared" ca="1" si="0"/>
        <v>45968.535908912039</v>
      </c>
      <c r="F10" s="18">
        <f>EOMONTH(Table13[[#This Row],[Transaction Date]],0)</f>
        <v>45322</v>
      </c>
      <c r="G10" s="20">
        <f ca="1">_xlfn.DAYS(Table13[[#This Row],[Today]],Table13[[#This Row],[Transaction Date]])</f>
        <v>655</v>
      </c>
      <c r="H10">
        <f ca="1">NETWORKDAYS.INTL(Table13[[#This Row],[Transaction Date]],Table13[[#This Row],[Today]],)</f>
        <v>470</v>
      </c>
      <c r="I10">
        <f ca="1">NETWORKDAYS(Table13[[#This Row],[Transaction Date]],Table13[[#This Row],[Today]])</f>
        <v>470</v>
      </c>
      <c r="Z10" t="str">
        <v>Henry Baker</v>
      </c>
    </row>
    <row r="11" spans="1:26" x14ac:dyDescent="0.3">
      <c r="A11" t="s">
        <v>77</v>
      </c>
      <c r="B11" t="s">
        <v>78</v>
      </c>
      <c r="C11" s="10" t="s">
        <v>35</v>
      </c>
      <c r="D11" s="16">
        <f t="shared" ca="1" si="1"/>
        <v>45968</v>
      </c>
      <c r="E11" s="14">
        <f t="shared" ca="1" si="0"/>
        <v>45968.535908912039</v>
      </c>
      <c r="F11" s="18">
        <f>EOMONTH(Table13[[#This Row],[Transaction Date]],0)</f>
        <v>45322</v>
      </c>
      <c r="G11" s="20">
        <f ca="1">_xlfn.DAYS(Table13[[#This Row],[Today]],Table13[[#This Row],[Transaction Date]])</f>
        <v>655</v>
      </c>
      <c r="H11">
        <f ca="1">NETWORKDAYS.INTL(Table13[[#This Row],[Transaction Date]],Table13[[#This Row],[Today]],)</f>
        <v>470</v>
      </c>
      <c r="I11">
        <f ca="1">NETWORKDAYS(Table13[[#This Row],[Transaction Date]],Table13[[#This Row],[Today]])</f>
        <v>470</v>
      </c>
      <c r="Z11" t="str">
        <v>Mia Green</v>
      </c>
    </row>
    <row r="12" spans="1:26" x14ac:dyDescent="0.3">
      <c r="A12" t="s">
        <v>56</v>
      </c>
      <c r="B12" t="s">
        <v>57</v>
      </c>
      <c r="C12" s="10" t="s">
        <v>35</v>
      </c>
      <c r="D12" s="16">
        <f t="shared" ca="1" si="1"/>
        <v>45968</v>
      </c>
      <c r="E12" s="14">
        <f t="shared" ca="1" si="0"/>
        <v>45968.535908912039</v>
      </c>
      <c r="F12" s="18">
        <f>EOMONTH(Table13[[#This Row],[Transaction Date]],0)</f>
        <v>45322</v>
      </c>
      <c r="G12" s="20">
        <f ca="1">_xlfn.DAYS(Table13[[#This Row],[Today]],Table13[[#This Row],[Transaction Date]])</f>
        <v>655</v>
      </c>
      <c r="H12">
        <f ca="1">NETWORKDAYS.INTL(Table13[[#This Row],[Transaction Date]],Table13[[#This Row],[Today]],)</f>
        <v>470</v>
      </c>
      <c r="I12">
        <f ca="1">NETWORKDAYS(Table13[[#This Row],[Transaction Date]],Table13[[#This Row],[Today]])</f>
        <v>470</v>
      </c>
      <c r="Z12" t="str">
        <v>David Lee</v>
      </c>
    </row>
    <row r="13" spans="1:26" x14ac:dyDescent="0.3">
      <c r="A13" t="s">
        <v>74</v>
      </c>
      <c r="B13" t="s">
        <v>75</v>
      </c>
      <c r="C13" s="10" t="s">
        <v>35</v>
      </c>
      <c r="D13" s="16">
        <f t="shared" ca="1" si="1"/>
        <v>45968</v>
      </c>
      <c r="E13" s="14">
        <f t="shared" ca="1" si="0"/>
        <v>45968.535908912039</v>
      </c>
      <c r="F13" s="18">
        <f>EOMONTH(Table13[[#This Row],[Transaction Date]],0)</f>
        <v>45322</v>
      </c>
      <c r="G13" s="20">
        <f ca="1">_xlfn.DAYS(Table13[[#This Row],[Today]],Table13[[#This Row],[Transaction Date]])</f>
        <v>655</v>
      </c>
      <c r="H13">
        <f ca="1">NETWORKDAYS.INTL(Table13[[#This Row],[Transaction Date]],Table13[[#This Row],[Today]],)</f>
        <v>470</v>
      </c>
      <c r="I13">
        <f ca="1">NETWORKDAYS(Table13[[#This Row],[Transaction Date]],Table13[[#This Row],[Today]])</f>
        <v>470</v>
      </c>
      <c r="Z13" t="str">
        <v>Harper King</v>
      </c>
    </row>
    <row r="14" spans="1:26" x14ac:dyDescent="0.3">
      <c r="A14" t="s">
        <v>17</v>
      </c>
      <c r="B14" t="s">
        <v>18</v>
      </c>
      <c r="C14" s="10" t="s">
        <v>35</v>
      </c>
      <c r="D14" s="16">
        <f t="shared" ca="1" si="1"/>
        <v>45968</v>
      </c>
      <c r="E14" s="14">
        <f t="shared" ca="1" si="0"/>
        <v>45968.535908912039</v>
      </c>
      <c r="F14" s="18">
        <f>EOMONTH(Table13[[#This Row],[Transaction Date]],0)</f>
        <v>45322</v>
      </c>
      <c r="G14" s="20">
        <f ca="1">_xlfn.DAYS(Table13[[#This Row],[Today]],Table13[[#This Row],[Transaction Date]])</f>
        <v>655</v>
      </c>
      <c r="H14">
        <f ca="1">NETWORKDAYS.INTL(Table13[[#This Row],[Transaction Date]],Table13[[#This Row],[Today]],)</f>
        <v>470</v>
      </c>
      <c r="I14">
        <f ca="1">NETWORKDAYS(Table13[[#This Row],[Transaction Date]],Table13[[#This Row],[Today]])</f>
        <v>470</v>
      </c>
      <c r="Z14" t="str">
        <v>James Hall</v>
      </c>
    </row>
    <row r="15" spans="1:26" x14ac:dyDescent="0.3">
      <c r="A15" t="s">
        <v>53</v>
      </c>
      <c r="B15" t="s">
        <v>54</v>
      </c>
      <c r="C15" s="10" t="s">
        <v>35</v>
      </c>
      <c r="D15" s="16">
        <f t="shared" ca="1" si="1"/>
        <v>45968</v>
      </c>
      <c r="E15" s="14">
        <f t="shared" ca="1" si="0"/>
        <v>45968.535908912039</v>
      </c>
      <c r="F15" s="18">
        <f>EOMONTH(Table13[[#This Row],[Transaction Date]],0)</f>
        <v>45322</v>
      </c>
      <c r="G15" s="20">
        <f ca="1">_xlfn.DAYS(Table13[[#This Row],[Today]],Table13[[#This Row],[Transaction Date]])</f>
        <v>655</v>
      </c>
      <c r="H15">
        <f ca="1">NETWORKDAYS.INTL(Table13[[#This Row],[Transaction Date]],Table13[[#This Row],[Today]],)</f>
        <v>470</v>
      </c>
      <c r="I15">
        <f ca="1">NETWORKDAYS(Table13[[#This Row],[Transaction Date]],Table13[[#This Row],[Today]])</f>
        <v>470</v>
      </c>
      <c r="Z15" t="str">
        <v>Lucas Young</v>
      </c>
    </row>
    <row r="16" spans="1:26" x14ac:dyDescent="0.3">
      <c r="A16" t="s">
        <v>71</v>
      </c>
      <c r="B16" t="s">
        <v>72</v>
      </c>
      <c r="C16" s="10" t="s">
        <v>35</v>
      </c>
      <c r="D16" s="16">
        <f t="shared" ca="1" si="1"/>
        <v>45968</v>
      </c>
      <c r="E16" s="14">
        <f t="shared" ca="1" si="0"/>
        <v>45968.535908912039</v>
      </c>
      <c r="F16" s="18">
        <f>EOMONTH(Table13[[#This Row],[Transaction Date]],0)</f>
        <v>45322</v>
      </c>
      <c r="G16" s="20">
        <f ca="1">_xlfn.DAYS(Table13[[#This Row],[Today]],Table13[[#This Row],[Transaction Date]])</f>
        <v>655</v>
      </c>
      <c r="H16">
        <f ca="1">NETWORKDAYS.INTL(Table13[[#This Row],[Transaction Date]],Table13[[#This Row],[Today]],)</f>
        <v>470</v>
      </c>
      <c r="I16">
        <f ca="1">NETWORKDAYS(Table13[[#This Row],[Transaction Date]],Table13[[#This Row],[Today]])</f>
        <v>470</v>
      </c>
      <c r="Z16" t="str">
        <v>Sarah Johnson</v>
      </c>
    </row>
    <row r="17" spans="1:26" x14ac:dyDescent="0.3">
      <c r="A17" t="s">
        <v>49</v>
      </c>
      <c r="B17" t="s">
        <v>50</v>
      </c>
      <c r="C17" s="10" t="s">
        <v>35</v>
      </c>
      <c r="D17" s="16">
        <f t="shared" ca="1" si="1"/>
        <v>45968</v>
      </c>
      <c r="E17" s="14">
        <f t="shared" ca="1" si="0"/>
        <v>45968.535908912039</v>
      </c>
      <c r="F17" s="18">
        <f>EOMONTH(Table13[[#This Row],[Transaction Date]],0)</f>
        <v>45322</v>
      </c>
      <c r="G17" s="20">
        <f ca="1">_xlfn.DAYS(Table13[[#This Row],[Today]],Table13[[#This Row],[Transaction Date]])</f>
        <v>655</v>
      </c>
      <c r="H17">
        <f ca="1">NETWORKDAYS.INTL(Table13[[#This Row],[Transaction Date]],Table13[[#This Row],[Today]],)</f>
        <v>470</v>
      </c>
      <c r="I17">
        <f ca="1">NETWORKDAYS(Table13[[#This Row],[Transaction Date]],Table13[[#This Row],[Today]])</f>
        <v>470</v>
      </c>
      <c r="Z17" t="str">
        <v>Sophia White</v>
      </c>
    </row>
    <row r="18" spans="1:26" x14ac:dyDescent="0.3">
      <c r="A18" t="s">
        <v>10</v>
      </c>
      <c r="B18" t="s">
        <v>11</v>
      </c>
      <c r="C18" s="10" t="s">
        <v>35</v>
      </c>
      <c r="D18" s="16">
        <f t="shared" ca="1" si="1"/>
        <v>45968</v>
      </c>
      <c r="E18" s="14">
        <f t="shared" ca="1" si="0"/>
        <v>45968.535908912039</v>
      </c>
      <c r="F18" s="18">
        <f>EOMONTH(Table13[[#This Row],[Transaction Date]],0)</f>
        <v>45322</v>
      </c>
      <c r="G18" s="20">
        <f ca="1">_xlfn.DAYS(Table13[[#This Row],[Today]],Table13[[#This Row],[Transaction Date]])</f>
        <v>655</v>
      </c>
      <c r="H18">
        <f ca="1">NETWORKDAYS.INTL(Table13[[#This Row],[Transaction Date]],Table13[[#This Row],[Today]],)</f>
        <v>470</v>
      </c>
      <c r="I18">
        <f ca="1">NETWORKDAYS(Table13[[#This Row],[Transaction Date]],Table13[[#This Row],[Today]])</f>
        <v>470</v>
      </c>
      <c r="Z18" t="str">
        <v>Grace Lewis</v>
      </c>
    </row>
    <row r="19" spans="1:26" x14ac:dyDescent="0.3">
      <c r="A19" t="s">
        <v>68</v>
      </c>
      <c r="B19" t="s">
        <v>69</v>
      </c>
      <c r="C19" s="10" t="s">
        <v>35</v>
      </c>
      <c r="D19" s="16">
        <f t="shared" ca="1" si="1"/>
        <v>45968</v>
      </c>
      <c r="E19" s="14">
        <f t="shared" ca="1" si="0"/>
        <v>45968.535908912039</v>
      </c>
      <c r="F19" s="18">
        <f>EOMONTH(Table13[[#This Row],[Transaction Date]],0)</f>
        <v>45322</v>
      </c>
      <c r="G19" s="20">
        <f ca="1">_xlfn.DAYS(Table13[[#This Row],[Today]],Table13[[#This Row],[Transaction Date]])</f>
        <v>655</v>
      </c>
      <c r="H19">
        <f ca="1">NETWORKDAYS.INTL(Table13[[#This Row],[Transaction Date]],Table13[[#This Row],[Today]],)</f>
        <v>470</v>
      </c>
      <c r="I19">
        <f ca="1">NETWORKDAYS(Table13[[#This Row],[Transaction Date]],Table13[[#This Row],[Today]])</f>
        <v>470</v>
      </c>
      <c r="Z19" t="str">
        <v>Ava Taylor</v>
      </c>
    </row>
    <row r="20" spans="1:26" x14ac:dyDescent="0.3">
      <c r="A20" t="s">
        <v>44</v>
      </c>
      <c r="B20" t="s">
        <v>45</v>
      </c>
      <c r="C20" s="10" t="s">
        <v>35</v>
      </c>
      <c r="D20" s="16">
        <f t="shared" ca="1" si="1"/>
        <v>45968</v>
      </c>
      <c r="E20" s="14">
        <f t="shared" ca="1" si="0"/>
        <v>45968.535908912039</v>
      </c>
      <c r="F20" s="18">
        <f>EOMONTH(Table13[[#This Row],[Transaction Date]],0)</f>
        <v>45322</v>
      </c>
      <c r="G20" s="20">
        <f ca="1">_xlfn.DAYS(Table13[[#This Row],[Today]],Table13[[#This Row],[Transaction Date]])</f>
        <v>655</v>
      </c>
      <c r="H20">
        <f ca="1">NETWORKDAYS.INTL(Table13[[#This Row],[Transaction Date]],Table13[[#This Row],[Today]],)</f>
        <v>470</v>
      </c>
      <c r="I20">
        <f ca="1">NETWORKDAYS(Table13[[#This Row],[Transaction Date]],Table13[[#This Row],[Today]])</f>
        <v>470</v>
      </c>
      <c r="Z20" t="str">
        <v>John Smith</v>
      </c>
    </row>
    <row r="21" spans="1:26" x14ac:dyDescent="0.3">
      <c r="A21" t="s">
        <v>86</v>
      </c>
      <c r="B21" t="s">
        <v>87</v>
      </c>
      <c r="C21" s="10" t="s">
        <v>35</v>
      </c>
      <c r="D21" s="16">
        <f ca="1">TODAY()</f>
        <v>45968</v>
      </c>
      <c r="E21" s="14">
        <f t="shared" ca="1" si="0"/>
        <v>45968.535908912039</v>
      </c>
      <c r="F21" s="18">
        <f>EOMONTH(Table13[[#This Row],[Transaction Date]],0)</f>
        <v>45322</v>
      </c>
      <c r="G21" s="20">
        <f ca="1">_xlfn.DAYS(Table13[[#This Row],[Today]],Table13[[#This Row],[Transaction Date]])</f>
        <v>655</v>
      </c>
      <c r="H21">
        <f ca="1">NETWORKDAYS.INTL(Table13[[#This Row],[Transaction Date]],Table13[[#This Row],[Today]],)</f>
        <v>470</v>
      </c>
      <c r="I21">
        <f ca="1">NETWORKDAYS(Table13[[#This Row],[Transaction Date]],Table13[[#This Row],[Today]])</f>
        <v>470</v>
      </c>
      <c r="Z21" t="str">
        <v>Noah Scott</v>
      </c>
    </row>
    <row r="22" spans="1:26" x14ac:dyDescent="0.3">
      <c r="A22" t="s">
        <v>40</v>
      </c>
      <c r="B22" t="s">
        <v>41</v>
      </c>
      <c r="C22" s="10" t="s">
        <v>35</v>
      </c>
      <c r="D22" s="16">
        <f t="shared" ca="1" si="1"/>
        <v>45968</v>
      </c>
      <c r="E22" s="14">
        <f t="shared" ca="1" si="0"/>
        <v>45968.535908912039</v>
      </c>
      <c r="F22" s="18">
        <f>EOMONTH(Table13[[#This Row],[Transaction Date]],0)</f>
        <v>45322</v>
      </c>
      <c r="G22" s="20">
        <f ca="1">_xlfn.DAYS(Table13[[#This Row],[Today]],Table13[[#This Row],[Transaction Date]])</f>
        <v>655</v>
      </c>
      <c r="H22">
        <f ca="1">NETWORKDAYS.INTL(Table13[[#This Row],[Transaction Date]],Table13[[#This Row],[Today]],)</f>
        <v>470</v>
      </c>
      <c r="I22">
        <f ca="1">NETWORKDAYS(Table13[[#This Row],[Transaction Date]],Table13[[#This Row],[Today]])</f>
        <v>470</v>
      </c>
      <c r="Z22" t="str">
        <v>Daniel Miller</v>
      </c>
    </row>
    <row r="23" spans="1:26" x14ac:dyDescent="0.3">
      <c r="A23" t="s">
        <v>65</v>
      </c>
      <c r="B23" t="s">
        <v>66</v>
      </c>
      <c r="C23" s="10" t="s">
        <v>35</v>
      </c>
      <c r="D23" s="16">
        <f t="shared" ca="1" si="1"/>
        <v>45968</v>
      </c>
      <c r="E23" s="14">
        <f t="shared" ca="1" si="0"/>
        <v>45968.535908912039</v>
      </c>
      <c r="F23" s="18">
        <f>EOMONTH(Table13[[#This Row],[Transaction Date]],0)</f>
        <v>45322</v>
      </c>
      <c r="G23" s="20">
        <f ca="1">_xlfn.DAYS(Table13[[#This Row],[Today]],Table13[[#This Row],[Transaction Date]])</f>
        <v>655</v>
      </c>
      <c r="H23">
        <f ca="1">NETWORKDAYS.INTL(Table13[[#This Row],[Transaction Date]],Table13[[#This Row],[Today]],)</f>
        <v>470</v>
      </c>
      <c r="I23">
        <f ca="1">NETWORKDAYS(Table13[[#This Row],[Transaction Date]],Table13[[#This Row],[Today]])</f>
        <v>470</v>
      </c>
      <c r="Z23" t="str">
        <v>Michael Davis</v>
      </c>
    </row>
    <row r="24" spans="1:26" x14ac:dyDescent="0.3">
      <c r="A24" t="s">
        <v>83</v>
      </c>
      <c r="B24" t="s">
        <v>84</v>
      </c>
      <c r="C24" s="10" t="s">
        <v>35</v>
      </c>
      <c r="D24" s="16">
        <f t="shared" ca="1" si="1"/>
        <v>45968</v>
      </c>
      <c r="E24" s="14">
        <f t="shared" ca="1" si="0"/>
        <v>45968.535908912039</v>
      </c>
      <c r="F24" s="18">
        <f>EOMONTH(Table13[[#This Row],[Transaction Date]],0)</f>
        <v>45322</v>
      </c>
      <c r="G24" s="20">
        <f ca="1">_xlfn.DAYS(Table13[[#This Row],[Today]],Table13[[#This Row],[Transaction Date]])</f>
        <v>655</v>
      </c>
      <c r="H24">
        <f ca="1">NETWORKDAYS.INTL(Table13[[#This Row],[Transaction Date]],Table13[[#This Row],[Today]],)</f>
        <v>470</v>
      </c>
      <c r="I24">
        <f ca="1">NETWORKDAYS(Table13[[#This Row],[Transaction Date]],Table13[[#This Row],[Today]])</f>
        <v>470</v>
      </c>
    </row>
    <row r="25" spans="1:26" x14ac:dyDescent="0.3">
      <c r="A25" t="s">
        <v>36</v>
      </c>
      <c r="B25" t="s">
        <v>37</v>
      </c>
      <c r="C25" s="10" t="s">
        <v>35</v>
      </c>
      <c r="D25" s="16">
        <f t="shared" ca="1" si="1"/>
        <v>45968</v>
      </c>
      <c r="E25" s="14">
        <f t="shared" ca="1" si="0"/>
        <v>45968.535908912039</v>
      </c>
      <c r="F25" s="18">
        <f>EOMONTH(Table13[[#This Row],[Transaction Date]],0)</f>
        <v>45322</v>
      </c>
      <c r="G25" s="20">
        <f ca="1">_xlfn.DAYS(Table13[[#This Row],[Today]],Table13[[#This Row],[Transaction Date]])</f>
        <v>655</v>
      </c>
      <c r="H25">
        <f ca="1">NETWORKDAYS.INTL(Table13[[#This Row],[Transaction Date]],Table13[[#This Row],[Today]],)</f>
        <v>470</v>
      </c>
      <c r="I25">
        <f ca="1">NETWORKDAYS(Table13[[#This Row],[Transaction Date]],Table13[[#This Row],[Today]])</f>
        <v>470</v>
      </c>
    </row>
    <row r="26" spans="1:26" x14ac:dyDescent="0.3">
      <c r="A26" t="s">
        <v>62</v>
      </c>
      <c r="B26" t="s">
        <v>63</v>
      </c>
      <c r="C26" s="10" t="s">
        <v>35</v>
      </c>
      <c r="D26" s="16">
        <f t="shared" ca="1" si="1"/>
        <v>45968</v>
      </c>
      <c r="E26" s="14">
        <f t="shared" ca="1" si="0"/>
        <v>45968.535908912039</v>
      </c>
      <c r="F26" s="18">
        <f>EOMONTH(Table13[[#This Row],[Transaction Date]],0)</f>
        <v>45322</v>
      </c>
      <c r="G26" s="20">
        <f ca="1">_xlfn.DAYS(Table13[[#This Row],[Today]],Table13[[#This Row],[Transaction Date]])</f>
        <v>655</v>
      </c>
      <c r="H26">
        <f ca="1">NETWORKDAYS.INTL(Table13[[#This Row],[Transaction Date]],Table13[[#This Row],[Today]],)</f>
        <v>470</v>
      </c>
      <c r="I26">
        <f ca="1">NETWORKDAYS(Table13[[#This Row],[Transaction Date]],Table13[[#This Row],[Today]])</f>
        <v>470</v>
      </c>
    </row>
    <row r="27" spans="1:26" x14ac:dyDescent="0.3">
      <c r="A27" t="s">
        <v>31</v>
      </c>
      <c r="B27" t="s">
        <v>32</v>
      </c>
      <c r="C27" s="10" t="s">
        <v>35</v>
      </c>
      <c r="D27" s="16">
        <f t="shared" ca="1" si="1"/>
        <v>45968</v>
      </c>
      <c r="E27" s="14">
        <f t="shared" ca="1" si="0"/>
        <v>45968.535908912039</v>
      </c>
      <c r="F27" s="18">
        <f>EOMONTH(Table13[[#This Row],[Transaction Date]],0)</f>
        <v>45322</v>
      </c>
      <c r="G27" s="20">
        <f ca="1">_xlfn.DAYS(Table13[[#This Row],[Today]],Table13[[#This Row],[Transaction Date]])</f>
        <v>655</v>
      </c>
      <c r="H27">
        <f ca="1">NETWORKDAYS.INTL(Table13[[#This Row],[Transaction Date]],Table13[[#This Row],[Today]],)</f>
        <v>470</v>
      </c>
      <c r="I27">
        <f ca="1">NETWORKDAYS(Table13[[#This Row],[Transaction Date]],Table13[[#This Row],[Today]])</f>
        <v>470</v>
      </c>
    </row>
    <row r="28" spans="1:26" x14ac:dyDescent="0.3">
      <c r="A28" t="s">
        <v>80</v>
      </c>
      <c r="B28" t="s">
        <v>81</v>
      </c>
      <c r="C28" s="10" t="s">
        <v>35</v>
      </c>
      <c r="D28" s="16">
        <f t="shared" ca="1" si="1"/>
        <v>45968</v>
      </c>
      <c r="E28" s="14">
        <f t="shared" ca="1" si="0"/>
        <v>45968.535908912039</v>
      </c>
      <c r="F28" s="18">
        <f>EOMONTH(Table13[[#This Row],[Transaction Date]],0)</f>
        <v>45322</v>
      </c>
      <c r="G28" s="20">
        <f ca="1">_xlfn.DAYS(Table13[[#This Row],[Today]],Table13[[#This Row],[Transaction Date]])</f>
        <v>655</v>
      </c>
      <c r="H28">
        <f ca="1">NETWORKDAYS.INTL(Table13[[#This Row],[Transaction Date]],Table13[[#This Row],[Today]],)</f>
        <v>470</v>
      </c>
      <c r="I28">
        <f ca="1">NETWORKDAYS(Table13[[#This Row],[Transaction Date]],Table13[[#This Row],[Today]])</f>
        <v>470</v>
      </c>
    </row>
    <row r="29" spans="1:26" x14ac:dyDescent="0.3">
      <c r="A29" t="s">
        <v>59</v>
      </c>
      <c r="B29" t="s">
        <v>60</v>
      </c>
      <c r="C29" s="10" t="s">
        <v>35</v>
      </c>
      <c r="D29" s="16">
        <f t="shared" ca="1" si="1"/>
        <v>45968</v>
      </c>
      <c r="E29" s="14">
        <f t="shared" ca="1" si="0"/>
        <v>45968.535908912039</v>
      </c>
      <c r="F29" s="18">
        <f>EOMONTH(Table13[[#This Row],[Transaction Date]],0)</f>
        <v>45322</v>
      </c>
      <c r="G29" s="20">
        <f ca="1">_xlfn.DAYS(Table13[[#This Row],[Today]],Table13[[#This Row],[Transaction Date]])</f>
        <v>655</v>
      </c>
      <c r="H29">
        <f ca="1">NETWORKDAYS.INTL(Table13[[#This Row],[Transaction Date]],Table13[[#This Row],[Today]],)</f>
        <v>470</v>
      </c>
      <c r="I29">
        <f ca="1">NETWORKDAYS(Table13[[#This Row],[Transaction Date]],Table13[[#This Row],[Today]])</f>
        <v>470</v>
      </c>
    </row>
    <row r="30" spans="1:26" x14ac:dyDescent="0.3">
      <c r="A30" t="s">
        <v>24</v>
      </c>
      <c r="B30" t="s">
        <v>25</v>
      </c>
      <c r="C30" s="10" t="s">
        <v>35</v>
      </c>
      <c r="D30" s="16">
        <f t="shared" ca="1" si="1"/>
        <v>45968</v>
      </c>
      <c r="E30" s="14">
        <f t="shared" ca="1" si="0"/>
        <v>45968.535908912039</v>
      </c>
      <c r="F30" s="18">
        <f>EOMONTH(Table13[[#This Row],[Transaction Date]],0)</f>
        <v>45322</v>
      </c>
      <c r="G30" s="20">
        <f ca="1">_xlfn.DAYS(Table13[[#This Row],[Today]],Table13[[#This Row],[Transaction Date]])</f>
        <v>655</v>
      </c>
      <c r="H30">
        <f ca="1">NETWORKDAYS.INTL(Table13[[#This Row],[Transaction Date]],Table13[[#This Row],[Today]],)</f>
        <v>470</v>
      </c>
      <c r="I30">
        <f ca="1">NETWORKDAYS(Table13[[#This Row],[Transaction Date]],Table13[[#This Row],[Today]])</f>
        <v>470</v>
      </c>
    </row>
    <row r="31" spans="1:26" x14ac:dyDescent="0.3">
      <c r="A31" t="s">
        <v>77</v>
      </c>
      <c r="B31" t="s">
        <v>78</v>
      </c>
      <c r="C31" s="10" t="s">
        <v>35</v>
      </c>
      <c r="D31" s="16">
        <f t="shared" ca="1" si="1"/>
        <v>45968</v>
      </c>
      <c r="E31" s="14">
        <f t="shared" ca="1" si="0"/>
        <v>45968.535908912039</v>
      </c>
      <c r="F31" s="18">
        <f>EOMONTH(Table13[[#This Row],[Transaction Date]],0)</f>
        <v>45322</v>
      </c>
      <c r="G31" s="20">
        <f ca="1">_xlfn.DAYS(Table13[[#This Row],[Today]],Table13[[#This Row],[Transaction Date]])</f>
        <v>655</v>
      </c>
      <c r="H31">
        <f ca="1">NETWORKDAYS.INTL(Table13[[#This Row],[Transaction Date]],Table13[[#This Row],[Today]],)</f>
        <v>470</v>
      </c>
      <c r="I31">
        <f ca="1">NETWORKDAYS(Table13[[#This Row],[Transaction Date]],Table13[[#This Row],[Today]])</f>
        <v>470</v>
      </c>
    </row>
    <row r="32" spans="1:26" x14ac:dyDescent="0.3">
      <c r="A32" t="s">
        <v>56</v>
      </c>
      <c r="B32" t="s">
        <v>57</v>
      </c>
      <c r="C32" s="10" t="s">
        <v>35</v>
      </c>
      <c r="D32" s="16">
        <f t="shared" ca="1" si="1"/>
        <v>45968</v>
      </c>
      <c r="E32" s="14">
        <f t="shared" ca="1" si="0"/>
        <v>45968.535908912039</v>
      </c>
      <c r="F32" s="18">
        <f>EOMONTH(Table13[[#This Row],[Transaction Date]],0)</f>
        <v>45322</v>
      </c>
      <c r="G32" s="20">
        <f ca="1">_xlfn.DAYS(Table13[[#This Row],[Today]],Table13[[#This Row],[Transaction Date]])</f>
        <v>655</v>
      </c>
      <c r="H32">
        <f ca="1">NETWORKDAYS.INTL(Table13[[#This Row],[Transaction Date]],Table13[[#This Row],[Today]],)</f>
        <v>470</v>
      </c>
      <c r="I32">
        <f ca="1">NETWORKDAYS(Table13[[#This Row],[Transaction Date]],Table13[[#This Row],[Today]])</f>
        <v>470</v>
      </c>
    </row>
    <row r="33" spans="1:9" x14ac:dyDescent="0.3">
      <c r="A33" t="s">
        <v>74</v>
      </c>
      <c r="B33" t="s">
        <v>75</v>
      </c>
      <c r="C33" s="10" t="s">
        <v>35</v>
      </c>
      <c r="D33" s="16">
        <f t="shared" ca="1" si="1"/>
        <v>45968</v>
      </c>
      <c r="E33" s="14">
        <f t="shared" ca="1" si="0"/>
        <v>45968.535908912039</v>
      </c>
      <c r="F33" s="18">
        <f>EOMONTH(Table13[[#This Row],[Transaction Date]],0)</f>
        <v>45322</v>
      </c>
      <c r="G33" s="20">
        <f ca="1">_xlfn.DAYS(Table13[[#This Row],[Today]],Table13[[#This Row],[Transaction Date]])</f>
        <v>655</v>
      </c>
      <c r="H33">
        <f ca="1">NETWORKDAYS.INTL(Table13[[#This Row],[Transaction Date]],Table13[[#This Row],[Today]],)</f>
        <v>470</v>
      </c>
      <c r="I33">
        <f ca="1">NETWORKDAYS(Table13[[#This Row],[Transaction Date]],Table13[[#This Row],[Today]])</f>
        <v>470</v>
      </c>
    </row>
    <row r="34" spans="1:9" x14ac:dyDescent="0.3">
      <c r="A34" t="s">
        <v>17</v>
      </c>
      <c r="B34" t="s">
        <v>18</v>
      </c>
      <c r="C34" s="10" t="s">
        <v>35</v>
      </c>
      <c r="D34" s="16">
        <f t="shared" ca="1" si="1"/>
        <v>45968</v>
      </c>
      <c r="E34" s="14">
        <f t="shared" ca="1" si="0"/>
        <v>45968.535908912039</v>
      </c>
      <c r="F34" s="18">
        <f>EOMONTH(Table13[[#This Row],[Transaction Date]],0)</f>
        <v>45322</v>
      </c>
      <c r="G34" s="20">
        <f ca="1">_xlfn.DAYS(Table13[[#This Row],[Today]],Table13[[#This Row],[Transaction Date]])</f>
        <v>655</v>
      </c>
      <c r="H34">
        <f ca="1">NETWORKDAYS.INTL(Table13[[#This Row],[Transaction Date]],Table13[[#This Row],[Today]],)</f>
        <v>470</v>
      </c>
      <c r="I34">
        <f ca="1">NETWORKDAYS(Table13[[#This Row],[Transaction Date]],Table13[[#This Row],[Today]])</f>
        <v>470</v>
      </c>
    </row>
    <row r="35" spans="1:9" x14ac:dyDescent="0.3">
      <c r="A35" t="s">
        <v>53</v>
      </c>
      <c r="B35" t="s">
        <v>54</v>
      </c>
      <c r="C35" s="10" t="s">
        <v>35</v>
      </c>
      <c r="D35" s="16">
        <f t="shared" ca="1" si="1"/>
        <v>45968</v>
      </c>
      <c r="E35" s="14">
        <f t="shared" ca="1" si="0"/>
        <v>45968.535908912039</v>
      </c>
      <c r="F35" s="18">
        <f>EOMONTH(Table13[[#This Row],[Transaction Date]],0)</f>
        <v>45322</v>
      </c>
      <c r="G35" s="20">
        <f ca="1">_xlfn.DAYS(Table13[[#This Row],[Today]],Table13[[#This Row],[Transaction Date]])</f>
        <v>655</v>
      </c>
      <c r="H35">
        <f ca="1">NETWORKDAYS.INTL(Table13[[#This Row],[Transaction Date]],Table13[[#This Row],[Today]],)</f>
        <v>470</v>
      </c>
      <c r="I35">
        <f ca="1">NETWORKDAYS(Table13[[#This Row],[Transaction Date]],Table13[[#This Row],[Today]])</f>
        <v>470</v>
      </c>
    </row>
    <row r="36" spans="1:9" x14ac:dyDescent="0.3">
      <c r="A36" t="s">
        <v>71</v>
      </c>
      <c r="B36" t="s">
        <v>72</v>
      </c>
      <c r="C36" s="10" t="s">
        <v>35</v>
      </c>
      <c r="D36" s="16">
        <f t="shared" ca="1" si="1"/>
        <v>45968</v>
      </c>
      <c r="E36" s="14">
        <f t="shared" ca="1" si="0"/>
        <v>45968.535908912039</v>
      </c>
      <c r="F36" s="18">
        <f>EOMONTH(Table13[[#This Row],[Transaction Date]],0)</f>
        <v>45322</v>
      </c>
      <c r="G36" s="20">
        <f ca="1">_xlfn.DAYS(Table13[[#This Row],[Today]],Table13[[#This Row],[Transaction Date]])</f>
        <v>655</v>
      </c>
      <c r="H36">
        <f ca="1">NETWORKDAYS.INTL(Table13[[#This Row],[Transaction Date]],Table13[[#This Row],[Today]],)</f>
        <v>470</v>
      </c>
      <c r="I36">
        <f ca="1">NETWORKDAYS(Table13[[#This Row],[Transaction Date]],Table13[[#This Row],[Today]])</f>
        <v>470</v>
      </c>
    </row>
    <row r="37" spans="1:9" x14ac:dyDescent="0.3">
      <c r="A37" t="s">
        <v>49</v>
      </c>
      <c r="B37" t="s">
        <v>50</v>
      </c>
      <c r="C37" s="10" t="s">
        <v>35</v>
      </c>
      <c r="D37" s="16">
        <f t="shared" ca="1" si="1"/>
        <v>45968</v>
      </c>
      <c r="E37" s="14">
        <f t="shared" ca="1" si="0"/>
        <v>45968.535908912039</v>
      </c>
      <c r="F37" s="18">
        <f>EOMONTH(Table13[[#This Row],[Transaction Date]],0)</f>
        <v>45322</v>
      </c>
      <c r="G37" s="20">
        <f ca="1">_xlfn.DAYS(Table13[[#This Row],[Today]],Table13[[#This Row],[Transaction Date]])</f>
        <v>655</v>
      </c>
      <c r="H37">
        <f ca="1">NETWORKDAYS.INTL(Table13[[#This Row],[Transaction Date]],Table13[[#This Row],[Today]],)</f>
        <v>470</v>
      </c>
      <c r="I37">
        <f ca="1">NETWORKDAYS(Table13[[#This Row],[Transaction Date]],Table13[[#This Row],[Today]])</f>
        <v>470</v>
      </c>
    </row>
    <row r="38" spans="1:9" x14ac:dyDescent="0.3">
      <c r="A38" t="s">
        <v>10</v>
      </c>
      <c r="B38" t="s">
        <v>11</v>
      </c>
      <c r="C38" s="10" t="s">
        <v>35</v>
      </c>
      <c r="D38" s="16">
        <f t="shared" ca="1" si="1"/>
        <v>45968</v>
      </c>
      <c r="E38" s="14">
        <f t="shared" ca="1" si="0"/>
        <v>45968.535908912039</v>
      </c>
      <c r="F38" s="18">
        <f>EOMONTH(Table13[[#This Row],[Transaction Date]],0)</f>
        <v>45322</v>
      </c>
      <c r="G38" s="20">
        <f ca="1">_xlfn.DAYS(Table13[[#This Row],[Today]],Table13[[#This Row],[Transaction Date]])</f>
        <v>655</v>
      </c>
      <c r="H38">
        <f ca="1">NETWORKDAYS.INTL(Table13[[#This Row],[Transaction Date]],Table13[[#This Row],[Today]],)</f>
        <v>470</v>
      </c>
      <c r="I38">
        <f ca="1">NETWORKDAYS(Table13[[#This Row],[Transaction Date]],Table13[[#This Row],[Today]])</f>
        <v>470</v>
      </c>
    </row>
    <row r="39" spans="1:9" x14ac:dyDescent="0.3">
      <c r="A39" t="s">
        <v>68</v>
      </c>
      <c r="B39" t="s">
        <v>69</v>
      </c>
      <c r="C39" s="10" t="s">
        <v>35</v>
      </c>
      <c r="D39" s="16">
        <f t="shared" ca="1" si="1"/>
        <v>45968</v>
      </c>
      <c r="E39" s="14">
        <f t="shared" ca="1" si="0"/>
        <v>45968.535908912039</v>
      </c>
      <c r="F39" s="18">
        <f>EOMONTH(Table13[[#This Row],[Transaction Date]],0)</f>
        <v>45322</v>
      </c>
      <c r="G39" s="20">
        <f ca="1">_xlfn.DAYS(Table13[[#This Row],[Today]],Table13[[#This Row],[Transaction Date]])</f>
        <v>655</v>
      </c>
      <c r="H39">
        <f ca="1">NETWORKDAYS.INTL(Table13[[#This Row],[Transaction Date]],Table13[[#This Row],[Today]],)</f>
        <v>470</v>
      </c>
      <c r="I39">
        <f ca="1">NETWORKDAYS(Table13[[#This Row],[Transaction Date]],Table13[[#This Row],[Today]])</f>
        <v>470</v>
      </c>
    </row>
    <row r="40" spans="1:9" x14ac:dyDescent="0.3">
      <c r="A40" t="s">
        <v>44</v>
      </c>
      <c r="B40" t="s">
        <v>45</v>
      </c>
      <c r="C40" s="10" t="s">
        <v>35</v>
      </c>
      <c r="D40" s="16">
        <f t="shared" ca="1" si="1"/>
        <v>45968</v>
      </c>
      <c r="E40" s="14">
        <f t="shared" ca="1" si="0"/>
        <v>45968.535908912039</v>
      </c>
      <c r="F40" s="18">
        <f>EOMONTH(Table13[[#This Row],[Transaction Date]],0)</f>
        <v>45322</v>
      </c>
      <c r="G40" s="20">
        <f ca="1">_xlfn.DAYS(Table13[[#This Row],[Today]],Table13[[#This Row],[Transaction Date]])</f>
        <v>655</v>
      </c>
      <c r="H40">
        <f ca="1">NETWORKDAYS.INTL(Table13[[#This Row],[Transaction Date]],Table13[[#This Row],[Today]],)</f>
        <v>470</v>
      </c>
      <c r="I40">
        <f ca="1">NETWORKDAYS(Table13[[#This Row],[Transaction Date]],Table13[[#This Row],[Today]])</f>
        <v>470</v>
      </c>
    </row>
    <row r="41" spans="1:9" x14ac:dyDescent="0.3">
      <c r="A41" t="s">
        <v>86</v>
      </c>
      <c r="B41" t="s">
        <v>87</v>
      </c>
      <c r="C41" s="10" t="s">
        <v>35</v>
      </c>
      <c r="D41" s="16">
        <f ca="1">TODAY()</f>
        <v>45968</v>
      </c>
      <c r="E41" s="14">
        <f t="shared" ref="E41:E104" ca="1" si="2">NOW()</f>
        <v>45968.535908912039</v>
      </c>
      <c r="F41" s="18">
        <f>EOMONTH(Table13[[#This Row],[Transaction Date]],0)</f>
        <v>45322</v>
      </c>
      <c r="G41" s="20">
        <f ca="1">_xlfn.DAYS(Table13[[#This Row],[Today]],Table13[[#This Row],[Transaction Date]])</f>
        <v>655</v>
      </c>
      <c r="H41">
        <f ca="1">NETWORKDAYS.INTL(Table13[[#This Row],[Transaction Date]],Table13[[#This Row],[Today]],)</f>
        <v>470</v>
      </c>
      <c r="I41">
        <f ca="1">NETWORKDAYS(Table13[[#This Row],[Transaction Date]],Table13[[#This Row],[Today]])</f>
        <v>470</v>
      </c>
    </row>
    <row r="42" spans="1:9" x14ac:dyDescent="0.3">
      <c r="A42" t="s">
        <v>40</v>
      </c>
      <c r="B42" t="s">
        <v>41</v>
      </c>
      <c r="C42" s="10" t="s">
        <v>35</v>
      </c>
      <c r="D42" s="16">
        <f t="shared" ref="D42:D60" ca="1" si="3">TODAY()</f>
        <v>45968</v>
      </c>
      <c r="E42" s="14">
        <f t="shared" ca="1" si="2"/>
        <v>45968.535908912039</v>
      </c>
      <c r="F42" s="18">
        <f>EOMONTH(Table13[[#This Row],[Transaction Date]],0)</f>
        <v>45322</v>
      </c>
      <c r="G42" s="20">
        <f ca="1">_xlfn.DAYS(Table13[[#This Row],[Today]],Table13[[#This Row],[Transaction Date]])</f>
        <v>655</v>
      </c>
      <c r="H42">
        <f ca="1">NETWORKDAYS.INTL(Table13[[#This Row],[Transaction Date]],Table13[[#This Row],[Today]],)</f>
        <v>470</v>
      </c>
      <c r="I42">
        <f ca="1">NETWORKDAYS(Table13[[#This Row],[Transaction Date]],Table13[[#This Row],[Today]])</f>
        <v>470</v>
      </c>
    </row>
    <row r="43" spans="1:9" x14ac:dyDescent="0.3">
      <c r="A43" t="s">
        <v>65</v>
      </c>
      <c r="B43" t="s">
        <v>66</v>
      </c>
      <c r="C43" s="10" t="s">
        <v>35</v>
      </c>
      <c r="D43" s="16">
        <f t="shared" ca="1" si="3"/>
        <v>45968</v>
      </c>
      <c r="E43" s="14">
        <f t="shared" ca="1" si="2"/>
        <v>45968.535908912039</v>
      </c>
      <c r="F43" s="18">
        <f>EOMONTH(Table13[[#This Row],[Transaction Date]],0)</f>
        <v>45322</v>
      </c>
      <c r="G43" s="20">
        <f ca="1">_xlfn.DAYS(Table13[[#This Row],[Today]],Table13[[#This Row],[Transaction Date]])</f>
        <v>655</v>
      </c>
      <c r="H43">
        <f ca="1">NETWORKDAYS.INTL(Table13[[#This Row],[Transaction Date]],Table13[[#This Row],[Today]],)</f>
        <v>470</v>
      </c>
      <c r="I43">
        <f ca="1">NETWORKDAYS(Table13[[#This Row],[Transaction Date]],Table13[[#This Row],[Today]])</f>
        <v>470</v>
      </c>
    </row>
    <row r="44" spans="1:9" x14ac:dyDescent="0.3">
      <c r="A44" t="s">
        <v>83</v>
      </c>
      <c r="B44" t="s">
        <v>84</v>
      </c>
      <c r="C44" s="10" t="s">
        <v>35</v>
      </c>
      <c r="D44" s="16">
        <f t="shared" ca="1" si="3"/>
        <v>45968</v>
      </c>
      <c r="E44" s="14">
        <f t="shared" ca="1" si="2"/>
        <v>45968.535908912039</v>
      </c>
      <c r="F44" s="18">
        <f>EOMONTH(Table13[[#This Row],[Transaction Date]],0)</f>
        <v>45322</v>
      </c>
      <c r="G44" s="20">
        <f ca="1">_xlfn.DAYS(Table13[[#This Row],[Today]],Table13[[#This Row],[Transaction Date]])</f>
        <v>655</v>
      </c>
      <c r="H44">
        <f ca="1">NETWORKDAYS.INTL(Table13[[#This Row],[Transaction Date]],Table13[[#This Row],[Today]],)</f>
        <v>470</v>
      </c>
      <c r="I44">
        <f ca="1">NETWORKDAYS(Table13[[#This Row],[Transaction Date]],Table13[[#This Row],[Today]])</f>
        <v>470</v>
      </c>
    </row>
    <row r="45" spans="1:9" x14ac:dyDescent="0.3">
      <c r="A45" t="s">
        <v>36</v>
      </c>
      <c r="B45" t="s">
        <v>37</v>
      </c>
      <c r="C45" s="10" t="s">
        <v>35</v>
      </c>
      <c r="D45" s="16">
        <f t="shared" ca="1" si="3"/>
        <v>45968</v>
      </c>
      <c r="E45" s="14">
        <f t="shared" ca="1" si="2"/>
        <v>45968.535908912039</v>
      </c>
      <c r="F45" s="18">
        <f>EOMONTH(Table13[[#This Row],[Transaction Date]],0)</f>
        <v>45322</v>
      </c>
      <c r="G45" s="20">
        <f ca="1">_xlfn.DAYS(Table13[[#This Row],[Today]],Table13[[#This Row],[Transaction Date]])</f>
        <v>655</v>
      </c>
      <c r="H45">
        <f ca="1">NETWORKDAYS.INTL(Table13[[#This Row],[Transaction Date]],Table13[[#This Row],[Today]],)</f>
        <v>470</v>
      </c>
      <c r="I45">
        <f ca="1">NETWORKDAYS(Table13[[#This Row],[Transaction Date]],Table13[[#This Row],[Today]])</f>
        <v>470</v>
      </c>
    </row>
    <row r="46" spans="1:9" x14ac:dyDescent="0.3">
      <c r="A46" t="s">
        <v>62</v>
      </c>
      <c r="B46" t="s">
        <v>63</v>
      </c>
      <c r="C46" s="10" t="s">
        <v>35</v>
      </c>
      <c r="D46" s="16">
        <f t="shared" ca="1" si="3"/>
        <v>45968</v>
      </c>
      <c r="E46" s="14">
        <f t="shared" ca="1" si="2"/>
        <v>45968.535908912039</v>
      </c>
      <c r="F46" s="18">
        <f>EOMONTH(Table13[[#This Row],[Transaction Date]],0)</f>
        <v>45322</v>
      </c>
      <c r="G46" s="20">
        <f ca="1">_xlfn.DAYS(Table13[[#This Row],[Today]],Table13[[#This Row],[Transaction Date]])</f>
        <v>655</v>
      </c>
      <c r="H46">
        <f ca="1">NETWORKDAYS.INTL(Table13[[#This Row],[Transaction Date]],Table13[[#This Row],[Today]],)</f>
        <v>470</v>
      </c>
      <c r="I46">
        <f ca="1">NETWORKDAYS(Table13[[#This Row],[Transaction Date]],Table13[[#This Row],[Today]])</f>
        <v>470</v>
      </c>
    </row>
    <row r="47" spans="1:9" x14ac:dyDescent="0.3">
      <c r="A47" t="s">
        <v>31</v>
      </c>
      <c r="B47" t="s">
        <v>32</v>
      </c>
      <c r="C47" s="10" t="s">
        <v>35</v>
      </c>
      <c r="D47" s="16">
        <f t="shared" ca="1" si="3"/>
        <v>45968</v>
      </c>
      <c r="E47" s="14">
        <f t="shared" ca="1" si="2"/>
        <v>45968.535908912039</v>
      </c>
      <c r="F47" s="18">
        <f>EOMONTH(Table13[[#This Row],[Transaction Date]],0)</f>
        <v>45322</v>
      </c>
      <c r="G47" s="20">
        <f ca="1">_xlfn.DAYS(Table13[[#This Row],[Today]],Table13[[#This Row],[Transaction Date]])</f>
        <v>655</v>
      </c>
      <c r="H47">
        <f ca="1">NETWORKDAYS.INTL(Table13[[#This Row],[Transaction Date]],Table13[[#This Row],[Today]],)</f>
        <v>470</v>
      </c>
      <c r="I47">
        <f ca="1">NETWORKDAYS(Table13[[#This Row],[Transaction Date]],Table13[[#This Row],[Today]])</f>
        <v>470</v>
      </c>
    </row>
    <row r="48" spans="1:9" x14ac:dyDescent="0.3">
      <c r="A48" t="s">
        <v>80</v>
      </c>
      <c r="B48" t="s">
        <v>81</v>
      </c>
      <c r="C48" s="10" t="s">
        <v>35</v>
      </c>
      <c r="D48" s="16">
        <f t="shared" ca="1" si="3"/>
        <v>45968</v>
      </c>
      <c r="E48" s="14">
        <f t="shared" ca="1" si="2"/>
        <v>45968.535908912039</v>
      </c>
      <c r="F48" s="18">
        <f>EOMONTH(Table13[[#This Row],[Transaction Date]],0)</f>
        <v>45322</v>
      </c>
      <c r="G48" s="20">
        <f ca="1">_xlfn.DAYS(Table13[[#This Row],[Today]],Table13[[#This Row],[Transaction Date]])</f>
        <v>655</v>
      </c>
      <c r="H48">
        <f ca="1">NETWORKDAYS.INTL(Table13[[#This Row],[Transaction Date]],Table13[[#This Row],[Today]],)</f>
        <v>470</v>
      </c>
      <c r="I48">
        <f ca="1">NETWORKDAYS(Table13[[#This Row],[Transaction Date]],Table13[[#This Row],[Today]])</f>
        <v>470</v>
      </c>
    </row>
    <row r="49" spans="1:9" x14ac:dyDescent="0.3">
      <c r="A49" t="s">
        <v>59</v>
      </c>
      <c r="B49" t="s">
        <v>60</v>
      </c>
      <c r="C49" s="10" t="s">
        <v>35</v>
      </c>
      <c r="D49" s="16">
        <f t="shared" ca="1" si="3"/>
        <v>45968</v>
      </c>
      <c r="E49" s="14">
        <f t="shared" ca="1" si="2"/>
        <v>45968.535908912039</v>
      </c>
      <c r="F49" s="18">
        <f>EOMONTH(Table13[[#This Row],[Transaction Date]],0)</f>
        <v>45322</v>
      </c>
      <c r="G49" s="20">
        <f ca="1">_xlfn.DAYS(Table13[[#This Row],[Today]],Table13[[#This Row],[Transaction Date]])</f>
        <v>655</v>
      </c>
      <c r="H49">
        <f ca="1">NETWORKDAYS.INTL(Table13[[#This Row],[Transaction Date]],Table13[[#This Row],[Today]],)</f>
        <v>470</v>
      </c>
      <c r="I49">
        <f ca="1">NETWORKDAYS(Table13[[#This Row],[Transaction Date]],Table13[[#This Row],[Today]])</f>
        <v>470</v>
      </c>
    </row>
    <row r="50" spans="1:9" x14ac:dyDescent="0.3">
      <c r="A50" t="s">
        <v>24</v>
      </c>
      <c r="B50" t="s">
        <v>25</v>
      </c>
      <c r="C50" s="10" t="s">
        <v>35</v>
      </c>
      <c r="D50" s="16">
        <f t="shared" ca="1" si="3"/>
        <v>45968</v>
      </c>
      <c r="E50" s="14">
        <f t="shared" ca="1" si="2"/>
        <v>45968.535908912039</v>
      </c>
      <c r="F50" s="18">
        <f>EOMONTH(Table13[[#This Row],[Transaction Date]],0)</f>
        <v>45322</v>
      </c>
      <c r="G50" s="20">
        <f ca="1">_xlfn.DAYS(Table13[[#This Row],[Today]],Table13[[#This Row],[Transaction Date]])</f>
        <v>655</v>
      </c>
      <c r="H50">
        <f ca="1">NETWORKDAYS.INTL(Table13[[#This Row],[Transaction Date]],Table13[[#This Row],[Today]],)</f>
        <v>470</v>
      </c>
      <c r="I50">
        <f ca="1">NETWORKDAYS(Table13[[#This Row],[Transaction Date]],Table13[[#This Row],[Today]])</f>
        <v>470</v>
      </c>
    </row>
    <row r="51" spans="1:9" x14ac:dyDescent="0.3">
      <c r="A51" t="s">
        <v>77</v>
      </c>
      <c r="B51" t="s">
        <v>78</v>
      </c>
      <c r="C51" s="10" t="s">
        <v>35</v>
      </c>
      <c r="D51" s="16">
        <f t="shared" ca="1" si="3"/>
        <v>45968</v>
      </c>
      <c r="E51" s="14">
        <f t="shared" ca="1" si="2"/>
        <v>45968.535908912039</v>
      </c>
      <c r="F51" s="18">
        <f>EOMONTH(Table13[[#This Row],[Transaction Date]],0)</f>
        <v>45322</v>
      </c>
      <c r="G51" s="20">
        <f ca="1">_xlfn.DAYS(Table13[[#This Row],[Today]],Table13[[#This Row],[Transaction Date]])</f>
        <v>655</v>
      </c>
      <c r="H51">
        <f ca="1">NETWORKDAYS.INTL(Table13[[#This Row],[Transaction Date]],Table13[[#This Row],[Today]],)</f>
        <v>470</v>
      </c>
      <c r="I51">
        <f ca="1">NETWORKDAYS(Table13[[#This Row],[Transaction Date]],Table13[[#This Row],[Today]])</f>
        <v>470</v>
      </c>
    </row>
    <row r="52" spans="1:9" x14ac:dyDescent="0.3">
      <c r="A52" t="s">
        <v>56</v>
      </c>
      <c r="B52" t="s">
        <v>57</v>
      </c>
      <c r="C52" s="10" t="s">
        <v>35</v>
      </c>
      <c r="D52" s="16">
        <f t="shared" ca="1" si="3"/>
        <v>45968</v>
      </c>
      <c r="E52" s="14">
        <f t="shared" ca="1" si="2"/>
        <v>45968.535908912039</v>
      </c>
      <c r="F52" s="18">
        <f>EOMONTH(Table13[[#This Row],[Transaction Date]],0)</f>
        <v>45322</v>
      </c>
      <c r="G52" s="20">
        <f ca="1">_xlfn.DAYS(Table13[[#This Row],[Today]],Table13[[#This Row],[Transaction Date]])</f>
        <v>655</v>
      </c>
      <c r="H52">
        <f ca="1">NETWORKDAYS.INTL(Table13[[#This Row],[Transaction Date]],Table13[[#This Row],[Today]],)</f>
        <v>470</v>
      </c>
      <c r="I52">
        <f ca="1">NETWORKDAYS(Table13[[#This Row],[Transaction Date]],Table13[[#This Row],[Today]])</f>
        <v>470</v>
      </c>
    </row>
    <row r="53" spans="1:9" x14ac:dyDescent="0.3">
      <c r="A53" t="s">
        <v>74</v>
      </c>
      <c r="B53" t="s">
        <v>75</v>
      </c>
      <c r="C53" s="10" t="s">
        <v>35</v>
      </c>
      <c r="D53" s="16">
        <f t="shared" ca="1" si="3"/>
        <v>45968</v>
      </c>
      <c r="E53" s="14">
        <f t="shared" ca="1" si="2"/>
        <v>45968.535908912039</v>
      </c>
      <c r="F53" s="18">
        <f>EOMONTH(Table13[[#This Row],[Transaction Date]],0)</f>
        <v>45322</v>
      </c>
      <c r="G53" s="20">
        <f ca="1">_xlfn.DAYS(Table13[[#This Row],[Today]],Table13[[#This Row],[Transaction Date]])</f>
        <v>655</v>
      </c>
      <c r="H53">
        <f ca="1">NETWORKDAYS.INTL(Table13[[#This Row],[Transaction Date]],Table13[[#This Row],[Today]],)</f>
        <v>470</v>
      </c>
      <c r="I53">
        <f ca="1">NETWORKDAYS(Table13[[#This Row],[Transaction Date]],Table13[[#This Row],[Today]])</f>
        <v>470</v>
      </c>
    </row>
    <row r="54" spans="1:9" x14ac:dyDescent="0.3">
      <c r="A54" t="s">
        <v>17</v>
      </c>
      <c r="B54" t="s">
        <v>18</v>
      </c>
      <c r="C54" s="10" t="s">
        <v>35</v>
      </c>
      <c r="D54" s="16">
        <f t="shared" ca="1" si="3"/>
        <v>45968</v>
      </c>
      <c r="E54" s="14">
        <f t="shared" ca="1" si="2"/>
        <v>45968.535908912039</v>
      </c>
      <c r="F54" s="18">
        <f>EOMONTH(Table13[[#This Row],[Transaction Date]],0)</f>
        <v>45322</v>
      </c>
      <c r="G54" s="20">
        <f ca="1">_xlfn.DAYS(Table13[[#This Row],[Today]],Table13[[#This Row],[Transaction Date]])</f>
        <v>655</v>
      </c>
      <c r="H54">
        <f ca="1">NETWORKDAYS.INTL(Table13[[#This Row],[Transaction Date]],Table13[[#This Row],[Today]],)</f>
        <v>470</v>
      </c>
      <c r="I54">
        <f ca="1">NETWORKDAYS(Table13[[#This Row],[Transaction Date]],Table13[[#This Row],[Today]])</f>
        <v>470</v>
      </c>
    </row>
    <row r="55" spans="1:9" x14ac:dyDescent="0.3">
      <c r="A55" t="s">
        <v>53</v>
      </c>
      <c r="B55" t="s">
        <v>54</v>
      </c>
      <c r="C55" s="10" t="s">
        <v>35</v>
      </c>
      <c r="D55" s="16">
        <f t="shared" ca="1" si="3"/>
        <v>45968</v>
      </c>
      <c r="E55" s="14">
        <f t="shared" ca="1" si="2"/>
        <v>45968.535908912039</v>
      </c>
      <c r="F55" s="18">
        <f>EOMONTH(Table13[[#This Row],[Transaction Date]],0)</f>
        <v>45322</v>
      </c>
      <c r="G55" s="20">
        <f ca="1">_xlfn.DAYS(Table13[[#This Row],[Today]],Table13[[#This Row],[Transaction Date]])</f>
        <v>655</v>
      </c>
      <c r="H55">
        <f ca="1">NETWORKDAYS.INTL(Table13[[#This Row],[Transaction Date]],Table13[[#This Row],[Today]],)</f>
        <v>470</v>
      </c>
      <c r="I55">
        <f ca="1">NETWORKDAYS(Table13[[#This Row],[Transaction Date]],Table13[[#This Row],[Today]])</f>
        <v>470</v>
      </c>
    </row>
    <row r="56" spans="1:9" x14ac:dyDescent="0.3">
      <c r="A56" t="s">
        <v>71</v>
      </c>
      <c r="B56" t="s">
        <v>72</v>
      </c>
      <c r="C56" s="10" t="s">
        <v>35</v>
      </c>
      <c r="D56" s="16">
        <f t="shared" ca="1" si="3"/>
        <v>45968</v>
      </c>
      <c r="E56" s="14">
        <f t="shared" ca="1" si="2"/>
        <v>45968.535908912039</v>
      </c>
      <c r="F56" s="18">
        <f>EOMONTH(Table13[[#This Row],[Transaction Date]],0)</f>
        <v>45322</v>
      </c>
      <c r="G56" s="20">
        <f ca="1">_xlfn.DAYS(Table13[[#This Row],[Today]],Table13[[#This Row],[Transaction Date]])</f>
        <v>655</v>
      </c>
      <c r="H56">
        <f ca="1">NETWORKDAYS.INTL(Table13[[#This Row],[Transaction Date]],Table13[[#This Row],[Today]],)</f>
        <v>470</v>
      </c>
      <c r="I56">
        <f ca="1">NETWORKDAYS(Table13[[#This Row],[Transaction Date]],Table13[[#This Row],[Today]])</f>
        <v>470</v>
      </c>
    </row>
    <row r="57" spans="1:9" x14ac:dyDescent="0.3">
      <c r="A57" t="s">
        <v>49</v>
      </c>
      <c r="B57" t="s">
        <v>50</v>
      </c>
      <c r="C57" s="10" t="s">
        <v>35</v>
      </c>
      <c r="D57" s="16">
        <f t="shared" ca="1" si="3"/>
        <v>45968</v>
      </c>
      <c r="E57" s="14">
        <f t="shared" ca="1" si="2"/>
        <v>45968.535908912039</v>
      </c>
      <c r="F57" s="18">
        <f>EOMONTH(Table13[[#This Row],[Transaction Date]],0)</f>
        <v>45322</v>
      </c>
      <c r="G57" s="20">
        <f ca="1">_xlfn.DAYS(Table13[[#This Row],[Today]],Table13[[#This Row],[Transaction Date]])</f>
        <v>655</v>
      </c>
      <c r="H57">
        <f ca="1">NETWORKDAYS.INTL(Table13[[#This Row],[Transaction Date]],Table13[[#This Row],[Today]],)</f>
        <v>470</v>
      </c>
      <c r="I57">
        <f ca="1">NETWORKDAYS(Table13[[#This Row],[Transaction Date]],Table13[[#This Row],[Today]])</f>
        <v>470</v>
      </c>
    </row>
    <row r="58" spans="1:9" x14ac:dyDescent="0.3">
      <c r="A58" t="s">
        <v>10</v>
      </c>
      <c r="B58" t="s">
        <v>11</v>
      </c>
      <c r="C58" s="10" t="s">
        <v>35</v>
      </c>
      <c r="D58" s="16">
        <f t="shared" ca="1" si="3"/>
        <v>45968</v>
      </c>
      <c r="E58" s="14">
        <f t="shared" ca="1" si="2"/>
        <v>45968.535908912039</v>
      </c>
      <c r="F58" s="18">
        <f>EOMONTH(Table13[[#This Row],[Transaction Date]],0)</f>
        <v>45322</v>
      </c>
      <c r="G58" s="20">
        <f ca="1">_xlfn.DAYS(Table13[[#This Row],[Today]],Table13[[#This Row],[Transaction Date]])</f>
        <v>655</v>
      </c>
      <c r="H58">
        <f ca="1">NETWORKDAYS.INTL(Table13[[#This Row],[Transaction Date]],Table13[[#This Row],[Today]],)</f>
        <v>470</v>
      </c>
      <c r="I58">
        <f ca="1">NETWORKDAYS(Table13[[#This Row],[Transaction Date]],Table13[[#This Row],[Today]])</f>
        <v>470</v>
      </c>
    </row>
    <row r="59" spans="1:9" x14ac:dyDescent="0.3">
      <c r="A59" t="s">
        <v>68</v>
      </c>
      <c r="B59" t="s">
        <v>69</v>
      </c>
      <c r="C59" s="10" t="s">
        <v>35</v>
      </c>
      <c r="D59" s="16">
        <f t="shared" ca="1" si="3"/>
        <v>45968</v>
      </c>
      <c r="E59" s="14">
        <f t="shared" ca="1" si="2"/>
        <v>45968.535908912039</v>
      </c>
      <c r="F59" s="18">
        <f>EOMONTH(Table13[[#This Row],[Transaction Date]],0)</f>
        <v>45322</v>
      </c>
      <c r="G59" s="20">
        <f ca="1">_xlfn.DAYS(Table13[[#This Row],[Today]],Table13[[#This Row],[Transaction Date]])</f>
        <v>655</v>
      </c>
      <c r="H59">
        <f ca="1">NETWORKDAYS.INTL(Table13[[#This Row],[Transaction Date]],Table13[[#This Row],[Today]],)</f>
        <v>470</v>
      </c>
      <c r="I59">
        <f ca="1">NETWORKDAYS(Table13[[#This Row],[Transaction Date]],Table13[[#This Row],[Today]])</f>
        <v>470</v>
      </c>
    </row>
    <row r="60" spans="1:9" x14ac:dyDescent="0.3">
      <c r="A60" t="s">
        <v>44</v>
      </c>
      <c r="B60" t="s">
        <v>45</v>
      </c>
      <c r="C60" s="10" t="s">
        <v>35</v>
      </c>
      <c r="D60" s="16">
        <f t="shared" ca="1" si="3"/>
        <v>45968</v>
      </c>
      <c r="E60" s="14">
        <f t="shared" ca="1" si="2"/>
        <v>45968.535908912039</v>
      </c>
      <c r="F60" s="18">
        <f>EOMONTH(Table13[[#This Row],[Transaction Date]],0)</f>
        <v>45322</v>
      </c>
      <c r="G60" s="20">
        <f ca="1">_xlfn.DAYS(Table13[[#This Row],[Today]],Table13[[#This Row],[Transaction Date]])</f>
        <v>655</v>
      </c>
      <c r="H60">
        <f ca="1">NETWORKDAYS.INTL(Table13[[#This Row],[Transaction Date]],Table13[[#This Row],[Today]],)</f>
        <v>470</v>
      </c>
      <c r="I60">
        <f ca="1">NETWORKDAYS(Table13[[#This Row],[Transaction Date]],Table13[[#This Row],[Today]])</f>
        <v>470</v>
      </c>
    </row>
    <row r="61" spans="1:9" x14ac:dyDescent="0.3">
      <c r="A61" t="s">
        <v>86</v>
      </c>
      <c r="B61" t="s">
        <v>87</v>
      </c>
      <c r="C61" s="10" t="s">
        <v>35</v>
      </c>
      <c r="D61" s="16">
        <f ca="1">TODAY()</f>
        <v>45968</v>
      </c>
      <c r="E61" s="14">
        <f t="shared" ca="1" si="2"/>
        <v>45968.535908912039</v>
      </c>
      <c r="F61" s="18">
        <f>EOMONTH(Table13[[#This Row],[Transaction Date]],0)</f>
        <v>45322</v>
      </c>
      <c r="G61" s="20">
        <f ca="1">_xlfn.DAYS(Table13[[#This Row],[Today]],Table13[[#This Row],[Transaction Date]])</f>
        <v>655</v>
      </c>
      <c r="H61">
        <f ca="1">NETWORKDAYS.INTL(Table13[[#This Row],[Transaction Date]],Table13[[#This Row],[Today]],)</f>
        <v>470</v>
      </c>
      <c r="I61">
        <f ca="1">NETWORKDAYS(Table13[[#This Row],[Transaction Date]],Table13[[#This Row],[Today]])</f>
        <v>470</v>
      </c>
    </row>
    <row r="62" spans="1:9" x14ac:dyDescent="0.3">
      <c r="A62" t="s">
        <v>40</v>
      </c>
      <c r="B62" t="s">
        <v>41</v>
      </c>
      <c r="C62" s="10" t="s">
        <v>35</v>
      </c>
      <c r="D62" s="16">
        <f t="shared" ref="D62:D80" ca="1" si="4">TODAY()</f>
        <v>45968</v>
      </c>
      <c r="E62" s="14">
        <f t="shared" ca="1" si="2"/>
        <v>45968.535908912039</v>
      </c>
      <c r="F62" s="18">
        <f>EOMONTH(Table13[[#This Row],[Transaction Date]],0)</f>
        <v>45322</v>
      </c>
      <c r="G62" s="20">
        <f ca="1">_xlfn.DAYS(Table13[[#This Row],[Today]],Table13[[#This Row],[Transaction Date]])</f>
        <v>655</v>
      </c>
      <c r="H62">
        <f ca="1">NETWORKDAYS.INTL(Table13[[#This Row],[Transaction Date]],Table13[[#This Row],[Today]],)</f>
        <v>470</v>
      </c>
      <c r="I62">
        <f ca="1">NETWORKDAYS(Table13[[#This Row],[Transaction Date]],Table13[[#This Row],[Today]])</f>
        <v>470</v>
      </c>
    </row>
    <row r="63" spans="1:9" x14ac:dyDescent="0.3">
      <c r="A63" t="s">
        <v>65</v>
      </c>
      <c r="B63" t="s">
        <v>66</v>
      </c>
      <c r="C63" s="10" t="s">
        <v>35</v>
      </c>
      <c r="D63" s="16">
        <f t="shared" ca="1" si="4"/>
        <v>45968</v>
      </c>
      <c r="E63" s="14">
        <f t="shared" ca="1" si="2"/>
        <v>45968.535908912039</v>
      </c>
      <c r="F63" s="18">
        <f>EOMONTH(Table13[[#This Row],[Transaction Date]],0)</f>
        <v>45322</v>
      </c>
      <c r="G63" s="20">
        <f ca="1">_xlfn.DAYS(Table13[[#This Row],[Today]],Table13[[#This Row],[Transaction Date]])</f>
        <v>655</v>
      </c>
      <c r="H63">
        <f ca="1">NETWORKDAYS.INTL(Table13[[#This Row],[Transaction Date]],Table13[[#This Row],[Today]],)</f>
        <v>470</v>
      </c>
      <c r="I63">
        <f ca="1">NETWORKDAYS(Table13[[#This Row],[Transaction Date]],Table13[[#This Row],[Today]])</f>
        <v>470</v>
      </c>
    </row>
    <row r="64" spans="1:9" x14ac:dyDescent="0.3">
      <c r="A64" t="s">
        <v>83</v>
      </c>
      <c r="B64" t="s">
        <v>84</v>
      </c>
      <c r="C64" s="10" t="s">
        <v>35</v>
      </c>
      <c r="D64" s="16">
        <f t="shared" ca="1" si="4"/>
        <v>45968</v>
      </c>
      <c r="E64" s="14">
        <f t="shared" ca="1" si="2"/>
        <v>45968.535908912039</v>
      </c>
      <c r="F64" s="18">
        <f>EOMONTH(Table13[[#This Row],[Transaction Date]],0)</f>
        <v>45322</v>
      </c>
      <c r="G64" s="20">
        <f ca="1">_xlfn.DAYS(Table13[[#This Row],[Today]],Table13[[#This Row],[Transaction Date]])</f>
        <v>655</v>
      </c>
      <c r="H64">
        <f ca="1">NETWORKDAYS.INTL(Table13[[#This Row],[Transaction Date]],Table13[[#This Row],[Today]],)</f>
        <v>470</v>
      </c>
      <c r="I64">
        <f ca="1">NETWORKDAYS(Table13[[#This Row],[Transaction Date]],Table13[[#This Row],[Today]])</f>
        <v>470</v>
      </c>
    </row>
    <row r="65" spans="1:9" x14ac:dyDescent="0.3">
      <c r="A65" t="s">
        <v>36</v>
      </c>
      <c r="B65" t="s">
        <v>37</v>
      </c>
      <c r="C65" s="10" t="s">
        <v>35</v>
      </c>
      <c r="D65" s="16">
        <f t="shared" ca="1" si="4"/>
        <v>45968</v>
      </c>
      <c r="E65" s="14">
        <f t="shared" ca="1" si="2"/>
        <v>45968.535908912039</v>
      </c>
      <c r="F65" s="18">
        <f>EOMONTH(Table13[[#This Row],[Transaction Date]],0)</f>
        <v>45322</v>
      </c>
      <c r="G65" s="20">
        <f ca="1">_xlfn.DAYS(Table13[[#This Row],[Today]],Table13[[#This Row],[Transaction Date]])</f>
        <v>655</v>
      </c>
      <c r="H65">
        <f ca="1">NETWORKDAYS.INTL(Table13[[#This Row],[Transaction Date]],Table13[[#This Row],[Today]],)</f>
        <v>470</v>
      </c>
      <c r="I65">
        <f ca="1">NETWORKDAYS(Table13[[#This Row],[Transaction Date]],Table13[[#This Row],[Today]])</f>
        <v>470</v>
      </c>
    </row>
    <row r="66" spans="1:9" x14ac:dyDescent="0.3">
      <c r="A66" t="s">
        <v>62</v>
      </c>
      <c r="B66" t="s">
        <v>63</v>
      </c>
      <c r="C66" s="10" t="s">
        <v>35</v>
      </c>
      <c r="D66" s="16">
        <f t="shared" ca="1" si="4"/>
        <v>45968</v>
      </c>
      <c r="E66" s="14">
        <f t="shared" ca="1" si="2"/>
        <v>45968.535908912039</v>
      </c>
      <c r="F66" s="18">
        <f>EOMONTH(Table13[[#This Row],[Transaction Date]],0)</f>
        <v>45322</v>
      </c>
      <c r="G66" s="20">
        <f ca="1">_xlfn.DAYS(Table13[[#This Row],[Today]],Table13[[#This Row],[Transaction Date]])</f>
        <v>655</v>
      </c>
      <c r="H66">
        <f ca="1">NETWORKDAYS.INTL(Table13[[#This Row],[Transaction Date]],Table13[[#This Row],[Today]],)</f>
        <v>470</v>
      </c>
      <c r="I66">
        <f ca="1">NETWORKDAYS(Table13[[#This Row],[Transaction Date]],Table13[[#This Row],[Today]])</f>
        <v>470</v>
      </c>
    </row>
    <row r="67" spans="1:9" x14ac:dyDescent="0.3">
      <c r="A67" t="s">
        <v>31</v>
      </c>
      <c r="B67" t="s">
        <v>32</v>
      </c>
      <c r="C67" s="10" t="s">
        <v>35</v>
      </c>
      <c r="D67" s="16">
        <f t="shared" ca="1" si="4"/>
        <v>45968</v>
      </c>
      <c r="E67" s="14">
        <f t="shared" ca="1" si="2"/>
        <v>45968.535908912039</v>
      </c>
      <c r="F67" s="18">
        <f>EOMONTH(Table13[[#This Row],[Transaction Date]],0)</f>
        <v>45322</v>
      </c>
      <c r="G67" s="20">
        <f ca="1">_xlfn.DAYS(Table13[[#This Row],[Today]],Table13[[#This Row],[Transaction Date]])</f>
        <v>655</v>
      </c>
      <c r="H67">
        <f ca="1">NETWORKDAYS.INTL(Table13[[#This Row],[Transaction Date]],Table13[[#This Row],[Today]],)</f>
        <v>470</v>
      </c>
      <c r="I67">
        <f ca="1">NETWORKDAYS(Table13[[#This Row],[Transaction Date]],Table13[[#This Row],[Today]])</f>
        <v>470</v>
      </c>
    </row>
    <row r="68" spans="1:9" x14ac:dyDescent="0.3">
      <c r="A68" t="s">
        <v>80</v>
      </c>
      <c r="B68" t="s">
        <v>81</v>
      </c>
      <c r="C68" s="10" t="s">
        <v>35</v>
      </c>
      <c r="D68" s="16">
        <f t="shared" ca="1" si="4"/>
        <v>45968</v>
      </c>
      <c r="E68" s="14">
        <f t="shared" ca="1" si="2"/>
        <v>45968.535908912039</v>
      </c>
      <c r="F68" s="18">
        <f>EOMONTH(Table13[[#This Row],[Transaction Date]],0)</f>
        <v>45322</v>
      </c>
      <c r="G68" s="20">
        <f ca="1">_xlfn.DAYS(Table13[[#This Row],[Today]],Table13[[#This Row],[Transaction Date]])</f>
        <v>655</v>
      </c>
      <c r="H68">
        <f ca="1">NETWORKDAYS.INTL(Table13[[#This Row],[Transaction Date]],Table13[[#This Row],[Today]],)</f>
        <v>470</v>
      </c>
      <c r="I68">
        <f ca="1">NETWORKDAYS(Table13[[#This Row],[Transaction Date]],Table13[[#This Row],[Today]])</f>
        <v>470</v>
      </c>
    </row>
    <row r="69" spans="1:9" x14ac:dyDescent="0.3">
      <c r="A69" t="s">
        <v>59</v>
      </c>
      <c r="B69" t="s">
        <v>60</v>
      </c>
      <c r="C69" s="10" t="s">
        <v>35</v>
      </c>
      <c r="D69" s="16">
        <f t="shared" ca="1" si="4"/>
        <v>45968</v>
      </c>
      <c r="E69" s="14">
        <f t="shared" ca="1" si="2"/>
        <v>45968.535908912039</v>
      </c>
      <c r="F69" s="18">
        <f>EOMONTH(Table13[[#This Row],[Transaction Date]],0)</f>
        <v>45322</v>
      </c>
      <c r="G69" s="20">
        <f ca="1">_xlfn.DAYS(Table13[[#This Row],[Today]],Table13[[#This Row],[Transaction Date]])</f>
        <v>655</v>
      </c>
      <c r="H69">
        <f ca="1">NETWORKDAYS.INTL(Table13[[#This Row],[Transaction Date]],Table13[[#This Row],[Today]],)</f>
        <v>470</v>
      </c>
      <c r="I69">
        <f ca="1">NETWORKDAYS(Table13[[#This Row],[Transaction Date]],Table13[[#This Row],[Today]])</f>
        <v>470</v>
      </c>
    </row>
    <row r="70" spans="1:9" x14ac:dyDescent="0.3">
      <c r="A70" t="s">
        <v>24</v>
      </c>
      <c r="B70" t="s">
        <v>25</v>
      </c>
      <c r="C70" s="10" t="s">
        <v>35</v>
      </c>
      <c r="D70" s="16">
        <f t="shared" ca="1" si="4"/>
        <v>45968</v>
      </c>
      <c r="E70" s="14">
        <f t="shared" ca="1" si="2"/>
        <v>45968.535908912039</v>
      </c>
      <c r="F70" s="18">
        <f>EOMONTH(Table13[[#This Row],[Transaction Date]],0)</f>
        <v>45322</v>
      </c>
      <c r="G70" s="20">
        <f ca="1">_xlfn.DAYS(Table13[[#This Row],[Today]],Table13[[#This Row],[Transaction Date]])</f>
        <v>655</v>
      </c>
      <c r="H70">
        <f ca="1">NETWORKDAYS.INTL(Table13[[#This Row],[Transaction Date]],Table13[[#This Row],[Today]],)</f>
        <v>470</v>
      </c>
      <c r="I70">
        <f ca="1">NETWORKDAYS(Table13[[#This Row],[Transaction Date]],Table13[[#This Row],[Today]])</f>
        <v>470</v>
      </c>
    </row>
    <row r="71" spans="1:9" x14ac:dyDescent="0.3">
      <c r="A71" t="s">
        <v>77</v>
      </c>
      <c r="B71" t="s">
        <v>78</v>
      </c>
      <c r="C71" s="10" t="s">
        <v>35</v>
      </c>
      <c r="D71" s="16">
        <f t="shared" ca="1" si="4"/>
        <v>45968</v>
      </c>
      <c r="E71" s="14">
        <f t="shared" ca="1" si="2"/>
        <v>45968.535908912039</v>
      </c>
      <c r="F71" s="18">
        <f>EOMONTH(Table13[[#This Row],[Transaction Date]],0)</f>
        <v>45322</v>
      </c>
      <c r="G71" s="20">
        <f ca="1">_xlfn.DAYS(Table13[[#This Row],[Today]],Table13[[#This Row],[Transaction Date]])</f>
        <v>655</v>
      </c>
      <c r="H71">
        <f ca="1">NETWORKDAYS.INTL(Table13[[#This Row],[Transaction Date]],Table13[[#This Row],[Today]],)</f>
        <v>470</v>
      </c>
      <c r="I71">
        <f ca="1">NETWORKDAYS(Table13[[#This Row],[Transaction Date]],Table13[[#This Row],[Today]])</f>
        <v>470</v>
      </c>
    </row>
    <row r="72" spans="1:9" x14ac:dyDescent="0.3">
      <c r="A72" t="s">
        <v>56</v>
      </c>
      <c r="B72" t="s">
        <v>57</v>
      </c>
      <c r="C72" s="10" t="s">
        <v>35</v>
      </c>
      <c r="D72" s="16">
        <f t="shared" ca="1" si="4"/>
        <v>45968</v>
      </c>
      <c r="E72" s="14">
        <f t="shared" ca="1" si="2"/>
        <v>45968.535908912039</v>
      </c>
      <c r="F72" s="18">
        <f>EOMONTH(Table13[[#This Row],[Transaction Date]],0)</f>
        <v>45322</v>
      </c>
      <c r="G72" s="20">
        <f ca="1">_xlfn.DAYS(Table13[[#This Row],[Today]],Table13[[#This Row],[Transaction Date]])</f>
        <v>655</v>
      </c>
      <c r="H72">
        <f ca="1">NETWORKDAYS.INTL(Table13[[#This Row],[Transaction Date]],Table13[[#This Row],[Today]],)</f>
        <v>470</v>
      </c>
      <c r="I72">
        <f ca="1">NETWORKDAYS(Table13[[#This Row],[Transaction Date]],Table13[[#This Row],[Today]])</f>
        <v>470</v>
      </c>
    </row>
    <row r="73" spans="1:9" x14ac:dyDescent="0.3">
      <c r="A73" t="s">
        <v>74</v>
      </c>
      <c r="B73" t="s">
        <v>75</v>
      </c>
      <c r="C73" s="10" t="s">
        <v>35</v>
      </c>
      <c r="D73" s="16">
        <f t="shared" ca="1" si="4"/>
        <v>45968</v>
      </c>
      <c r="E73" s="14">
        <f t="shared" ca="1" si="2"/>
        <v>45968.535908912039</v>
      </c>
      <c r="F73" s="18">
        <f>EOMONTH(Table13[[#This Row],[Transaction Date]],0)</f>
        <v>45322</v>
      </c>
      <c r="G73" s="20">
        <f ca="1">_xlfn.DAYS(Table13[[#This Row],[Today]],Table13[[#This Row],[Transaction Date]])</f>
        <v>655</v>
      </c>
      <c r="H73">
        <f ca="1">NETWORKDAYS.INTL(Table13[[#This Row],[Transaction Date]],Table13[[#This Row],[Today]],)</f>
        <v>470</v>
      </c>
      <c r="I73">
        <f ca="1">NETWORKDAYS(Table13[[#This Row],[Transaction Date]],Table13[[#This Row],[Today]])</f>
        <v>470</v>
      </c>
    </row>
    <row r="74" spans="1:9" x14ac:dyDescent="0.3">
      <c r="A74" t="s">
        <v>17</v>
      </c>
      <c r="B74" t="s">
        <v>18</v>
      </c>
      <c r="C74" s="10" t="s">
        <v>35</v>
      </c>
      <c r="D74" s="16">
        <f t="shared" ca="1" si="4"/>
        <v>45968</v>
      </c>
      <c r="E74" s="14">
        <f t="shared" ca="1" si="2"/>
        <v>45968.535908912039</v>
      </c>
      <c r="F74" s="18">
        <f>EOMONTH(Table13[[#This Row],[Transaction Date]],0)</f>
        <v>45322</v>
      </c>
      <c r="G74" s="20">
        <f ca="1">_xlfn.DAYS(Table13[[#This Row],[Today]],Table13[[#This Row],[Transaction Date]])</f>
        <v>655</v>
      </c>
      <c r="H74">
        <f ca="1">NETWORKDAYS.INTL(Table13[[#This Row],[Transaction Date]],Table13[[#This Row],[Today]],)</f>
        <v>470</v>
      </c>
      <c r="I74">
        <f ca="1">NETWORKDAYS(Table13[[#This Row],[Transaction Date]],Table13[[#This Row],[Today]])</f>
        <v>470</v>
      </c>
    </row>
    <row r="75" spans="1:9" x14ac:dyDescent="0.3">
      <c r="A75" t="s">
        <v>53</v>
      </c>
      <c r="B75" t="s">
        <v>54</v>
      </c>
      <c r="C75" s="10" t="s">
        <v>35</v>
      </c>
      <c r="D75" s="16">
        <f t="shared" ca="1" si="4"/>
        <v>45968</v>
      </c>
      <c r="E75" s="14">
        <f t="shared" ca="1" si="2"/>
        <v>45968.535908912039</v>
      </c>
      <c r="F75" s="18">
        <f>EOMONTH(Table13[[#This Row],[Transaction Date]],0)</f>
        <v>45322</v>
      </c>
      <c r="G75" s="20">
        <f ca="1">_xlfn.DAYS(Table13[[#This Row],[Today]],Table13[[#This Row],[Transaction Date]])</f>
        <v>655</v>
      </c>
      <c r="H75">
        <f ca="1">NETWORKDAYS.INTL(Table13[[#This Row],[Transaction Date]],Table13[[#This Row],[Today]],)</f>
        <v>470</v>
      </c>
      <c r="I75">
        <f ca="1">NETWORKDAYS(Table13[[#This Row],[Transaction Date]],Table13[[#This Row],[Today]])</f>
        <v>470</v>
      </c>
    </row>
    <row r="76" spans="1:9" x14ac:dyDescent="0.3">
      <c r="A76" t="s">
        <v>71</v>
      </c>
      <c r="B76" t="s">
        <v>72</v>
      </c>
      <c r="C76" s="10" t="s">
        <v>35</v>
      </c>
      <c r="D76" s="16">
        <f t="shared" ca="1" si="4"/>
        <v>45968</v>
      </c>
      <c r="E76" s="14">
        <f t="shared" ca="1" si="2"/>
        <v>45968.535908912039</v>
      </c>
      <c r="F76" s="18">
        <f>EOMONTH(Table13[[#This Row],[Transaction Date]],0)</f>
        <v>45322</v>
      </c>
      <c r="G76" s="20">
        <f ca="1">_xlfn.DAYS(Table13[[#This Row],[Today]],Table13[[#This Row],[Transaction Date]])</f>
        <v>655</v>
      </c>
      <c r="H76">
        <f ca="1">NETWORKDAYS.INTL(Table13[[#This Row],[Transaction Date]],Table13[[#This Row],[Today]],)</f>
        <v>470</v>
      </c>
      <c r="I76">
        <f ca="1">NETWORKDAYS(Table13[[#This Row],[Transaction Date]],Table13[[#This Row],[Today]])</f>
        <v>470</v>
      </c>
    </row>
    <row r="77" spans="1:9" x14ac:dyDescent="0.3">
      <c r="A77" t="s">
        <v>49</v>
      </c>
      <c r="B77" t="s">
        <v>50</v>
      </c>
      <c r="C77" s="10" t="s">
        <v>35</v>
      </c>
      <c r="D77" s="16">
        <f t="shared" ca="1" si="4"/>
        <v>45968</v>
      </c>
      <c r="E77" s="14">
        <f t="shared" ca="1" si="2"/>
        <v>45968.535908912039</v>
      </c>
      <c r="F77" s="18">
        <f>EOMONTH(Table13[[#This Row],[Transaction Date]],0)</f>
        <v>45322</v>
      </c>
      <c r="G77" s="20">
        <f ca="1">_xlfn.DAYS(Table13[[#This Row],[Today]],Table13[[#This Row],[Transaction Date]])</f>
        <v>655</v>
      </c>
      <c r="H77">
        <f ca="1">NETWORKDAYS.INTL(Table13[[#This Row],[Transaction Date]],Table13[[#This Row],[Today]],)</f>
        <v>470</v>
      </c>
      <c r="I77">
        <f ca="1">NETWORKDAYS(Table13[[#This Row],[Transaction Date]],Table13[[#This Row],[Today]])</f>
        <v>470</v>
      </c>
    </row>
    <row r="78" spans="1:9" x14ac:dyDescent="0.3">
      <c r="A78" t="s">
        <v>10</v>
      </c>
      <c r="B78" t="s">
        <v>11</v>
      </c>
      <c r="C78" s="10" t="s">
        <v>35</v>
      </c>
      <c r="D78" s="16">
        <f t="shared" ca="1" si="4"/>
        <v>45968</v>
      </c>
      <c r="E78" s="14">
        <f t="shared" ca="1" si="2"/>
        <v>45968.535908912039</v>
      </c>
      <c r="F78" s="18">
        <f>EOMONTH(Table13[[#This Row],[Transaction Date]],0)</f>
        <v>45322</v>
      </c>
      <c r="G78" s="20">
        <f ca="1">_xlfn.DAYS(Table13[[#This Row],[Today]],Table13[[#This Row],[Transaction Date]])</f>
        <v>655</v>
      </c>
      <c r="H78">
        <f ca="1">NETWORKDAYS.INTL(Table13[[#This Row],[Transaction Date]],Table13[[#This Row],[Today]],)</f>
        <v>470</v>
      </c>
      <c r="I78">
        <f ca="1">NETWORKDAYS(Table13[[#This Row],[Transaction Date]],Table13[[#This Row],[Today]])</f>
        <v>470</v>
      </c>
    </row>
    <row r="79" spans="1:9" x14ac:dyDescent="0.3">
      <c r="A79" t="s">
        <v>68</v>
      </c>
      <c r="B79" t="s">
        <v>69</v>
      </c>
      <c r="C79" s="10" t="s">
        <v>35</v>
      </c>
      <c r="D79" s="16">
        <f t="shared" ca="1" si="4"/>
        <v>45968</v>
      </c>
      <c r="E79" s="14">
        <f t="shared" ca="1" si="2"/>
        <v>45968.535908912039</v>
      </c>
      <c r="F79" s="18">
        <f>EOMONTH(Table13[[#This Row],[Transaction Date]],0)</f>
        <v>45322</v>
      </c>
      <c r="G79" s="20">
        <f ca="1">_xlfn.DAYS(Table13[[#This Row],[Today]],Table13[[#This Row],[Transaction Date]])</f>
        <v>655</v>
      </c>
      <c r="H79">
        <f ca="1">NETWORKDAYS.INTL(Table13[[#This Row],[Transaction Date]],Table13[[#This Row],[Today]],)</f>
        <v>470</v>
      </c>
      <c r="I79">
        <f ca="1">NETWORKDAYS(Table13[[#This Row],[Transaction Date]],Table13[[#This Row],[Today]])</f>
        <v>470</v>
      </c>
    </row>
    <row r="80" spans="1:9" x14ac:dyDescent="0.3">
      <c r="A80" t="s">
        <v>44</v>
      </c>
      <c r="B80" t="s">
        <v>45</v>
      </c>
      <c r="C80" s="10" t="s">
        <v>35</v>
      </c>
      <c r="D80" s="16">
        <f t="shared" ca="1" si="4"/>
        <v>45968</v>
      </c>
      <c r="E80" s="14">
        <f t="shared" ca="1" si="2"/>
        <v>45968.535908912039</v>
      </c>
      <c r="F80" s="18">
        <f>EOMONTH(Table13[[#This Row],[Transaction Date]],0)</f>
        <v>45322</v>
      </c>
      <c r="G80" s="20">
        <f ca="1">_xlfn.DAYS(Table13[[#This Row],[Today]],Table13[[#This Row],[Transaction Date]])</f>
        <v>655</v>
      </c>
      <c r="H80">
        <f ca="1">NETWORKDAYS.INTL(Table13[[#This Row],[Transaction Date]],Table13[[#This Row],[Today]],)</f>
        <v>470</v>
      </c>
      <c r="I80">
        <f ca="1">NETWORKDAYS(Table13[[#This Row],[Transaction Date]],Table13[[#This Row],[Today]])</f>
        <v>470</v>
      </c>
    </row>
    <row r="81" spans="1:9" x14ac:dyDescent="0.3">
      <c r="A81" t="s">
        <v>86</v>
      </c>
      <c r="B81" t="s">
        <v>87</v>
      </c>
      <c r="C81" s="10" t="s">
        <v>35</v>
      </c>
      <c r="D81" s="16">
        <f ca="1">TODAY()</f>
        <v>45968</v>
      </c>
      <c r="E81" s="14">
        <f t="shared" ca="1" si="2"/>
        <v>45968.535908912039</v>
      </c>
      <c r="F81" s="18">
        <f>EOMONTH(Table13[[#This Row],[Transaction Date]],0)</f>
        <v>45322</v>
      </c>
      <c r="G81" s="20">
        <f ca="1">_xlfn.DAYS(Table13[[#This Row],[Today]],Table13[[#This Row],[Transaction Date]])</f>
        <v>655</v>
      </c>
      <c r="H81">
        <f ca="1">NETWORKDAYS.INTL(Table13[[#This Row],[Transaction Date]],Table13[[#This Row],[Today]],)</f>
        <v>470</v>
      </c>
      <c r="I81">
        <f ca="1">NETWORKDAYS(Table13[[#This Row],[Transaction Date]],Table13[[#This Row],[Today]])</f>
        <v>470</v>
      </c>
    </row>
    <row r="82" spans="1:9" x14ac:dyDescent="0.3">
      <c r="A82" t="s">
        <v>40</v>
      </c>
      <c r="B82" t="s">
        <v>41</v>
      </c>
      <c r="C82" s="10" t="s">
        <v>35</v>
      </c>
      <c r="D82" s="16">
        <f t="shared" ref="D82:D100" ca="1" si="5">TODAY()</f>
        <v>45968</v>
      </c>
      <c r="E82" s="14">
        <f t="shared" ca="1" si="2"/>
        <v>45968.535908912039</v>
      </c>
      <c r="F82" s="18">
        <f>EOMONTH(Table13[[#This Row],[Transaction Date]],0)</f>
        <v>45322</v>
      </c>
      <c r="G82" s="20">
        <f ca="1">_xlfn.DAYS(Table13[[#This Row],[Today]],Table13[[#This Row],[Transaction Date]])</f>
        <v>655</v>
      </c>
      <c r="H82">
        <f ca="1">NETWORKDAYS.INTL(Table13[[#This Row],[Transaction Date]],Table13[[#This Row],[Today]],)</f>
        <v>470</v>
      </c>
      <c r="I82">
        <f ca="1">NETWORKDAYS(Table13[[#This Row],[Transaction Date]],Table13[[#This Row],[Today]])</f>
        <v>470</v>
      </c>
    </row>
    <row r="83" spans="1:9" x14ac:dyDescent="0.3">
      <c r="A83" t="s">
        <v>65</v>
      </c>
      <c r="B83" t="s">
        <v>66</v>
      </c>
      <c r="C83" s="10" t="s">
        <v>35</v>
      </c>
      <c r="D83" s="16">
        <f t="shared" ca="1" si="5"/>
        <v>45968</v>
      </c>
      <c r="E83" s="14">
        <f t="shared" ca="1" si="2"/>
        <v>45968.535908912039</v>
      </c>
      <c r="F83" s="18">
        <f>EOMONTH(Table13[[#This Row],[Transaction Date]],0)</f>
        <v>45322</v>
      </c>
      <c r="G83" s="20">
        <f ca="1">_xlfn.DAYS(Table13[[#This Row],[Today]],Table13[[#This Row],[Transaction Date]])</f>
        <v>655</v>
      </c>
      <c r="H83">
        <f ca="1">NETWORKDAYS.INTL(Table13[[#This Row],[Transaction Date]],Table13[[#This Row],[Today]],)</f>
        <v>470</v>
      </c>
      <c r="I83">
        <f ca="1">NETWORKDAYS(Table13[[#This Row],[Transaction Date]],Table13[[#This Row],[Today]])</f>
        <v>470</v>
      </c>
    </row>
    <row r="84" spans="1:9" x14ac:dyDescent="0.3">
      <c r="A84" t="s">
        <v>83</v>
      </c>
      <c r="B84" t="s">
        <v>84</v>
      </c>
      <c r="C84" s="10" t="s">
        <v>35</v>
      </c>
      <c r="D84" s="16">
        <f t="shared" ca="1" si="5"/>
        <v>45968</v>
      </c>
      <c r="E84" s="14">
        <f t="shared" ca="1" si="2"/>
        <v>45968.535908912039</v>
      </c>
      <c r="F84" s="18">
        <f>EOMONTH(Table13[[#This Row],[Transaction Date]],0)</f>
        <v>45322</v>
      </c>
      <c r="G84" s="20">
        <f ca="1">_xlfn.DAYS(Table13[[#This Row],[Today]],Table13[[#This Row],[Transaction Date]])</f>
        <v>655</v>
      </c>
      <c r="H84">
        <f ca="1">NETWORKDAYS.INTL(Table13[[#This Row],[Transaction Date]],Table13[[#This Row],[Today]],)</f>
        <v>470</v>
      </c>
      <c r="I84">
        <f ca="1">NETWORKDAYS(Table13[[#This Row],[Transaction Date]],Table13[[#This Row],[Today]])</f>
        <v>470</v>
      </c>
    </row>
    <row r="85" spans="1:9" x14ac:dyDescent="0.3">
      <c r="A85" t="s">
        <v>36</v>
      </c>
      <c r="B85" t="s">
        <v>37</v>
      </c>
      <c r="C85" s="10" t="s">
        <v>35</v>
      </c>
      <c r="D85" s="16">
        <f t="shared" ca="1" si="5"/>
        <v>45968</v>
      </c>
      <c r="E85" s="14">
        <f t="shared" ca="1" si="2"/>
        <v>45968.535908912039</v>
      </c>
      <c r="F85" s="18">
        <f>EOMONTH(Table13[[#This Row],[Transaction Date]],0)</f>
        <v>45322</v>
      </c>
      <c r="G85" s="20">
        <f ca="1">_xlfn.DAYS(Table13[[#This Row],[Today]],Table13[[#This Row],[Transaction Date]])</f>
        <v>655</v>
      </c>
      <c r="H85">
        <f ca="1">NETWORKDAYS.INTL(Table13[[#This Row],[Transaction Date]],Table13[[#This Row],[Today]],)</f>
        <v>470</v>
      </c>
      <c r="I85">
        <f ca="1">NETWORKDAYS(Table13[[#This Row],[Transaction Date]],Table13[[#This Row],[Today]])</f>
        <v>470</v>
      </c>
    </row>
    <row r="86" spans="1:9" x14ac:dyDescent="0.3">
      <c r="A86" t="s">
        <v>62</v>
      </c>
      <c r="B86" t="s">
        <v>63</v>
      </c>
      <c r="C86" s="10" t="s">
        <v>35</v>
      </c>
      <c r="D86" s="16">
        <f t="shared" ca="1" si="5"/>
        <v>45968</v>
      </c>
      <c r="E86" s="14">
        <f t="shared" ca="1" si="2"/>
        <v>45968.535908912039</v>
      </c>
      <c r="F86" s="18">
        <f>EOMONTH(Table13[[#This Row],[Transaction Date]],0)</f>
        <v>45322</v>
      </c>
      <c r="G86" s="20">
        <f ca="1">_xlfn.DAYS(Table13[[#This Row],[Today]],Table13[[#This Row],[Transaction Date]])</f>
        <v>655</v>
      </c>
      <c r="H86">
        <f ca="1">NETWORKDAYS.INTL(Table13[[#This Row],[Transaction Date]],Table13[[#This Row],[Today]],)</f>
        <v>470</v>
      </c>
      <c r="I86">
        <f ca="1">NETWORKDAYS(Table13[[#This Row],[Transaction Date]],Table13[[#This Row],[Today]])</f>
        <v>470</v>
      </c>
    </row>
    <row r="87" spans="1:9" x14ac:dyDescent="0.3">
      <c r="A87" t="s">
        <v>31</v>
      </c>
      <c r="B87" t="s">
        <v>32</v>
      </c>
      <c r="C87" s="10" t="s">
        <v>35</v>
      </c>
      <c r="D87" s="16">
        <f t="shared" ca="1" si="5"/>
        <v>45968</v>
      </c>
      <c r="E87" s="14">
        <f t="shared" ca="1" si="2"/>
        <v>45968.535908912039</v>
      </c>
      <c r="F87" s="18">
        <f>EOMONTH(Table13[[#This Row],[Transaction Date]],0)</f>
        <v>45322</v>
      </c>
      <c r="G87" s="20">
        <f ca="1">_xlfn.DAYS(Table13[[#This Row],[Today]],Table13[[#This Row],[Transaction Date]])</f>
        <v>655</v>
      </c>
      <c r="H87">
        <f ca="1">NETWORKDAYS.INTL(Table13[[#This Row],[Transaction Date]],Table13[[#This Row],[Today]],)</f>
        <v>470</v>
      </c>
      <c r="I87">
        <f ca="1">NETWORKDAYS(Table13[[#This Row],[Transaction Date]],Table13[[#This Row],[Today]])</f>
        <v>470</v>
      </c>
    </row>
    <row r="88" spans="1:9" x14ac:dyDescent="0.3">
      <c r="A88" t="s">
        <v>80</v>
      </c>
      <c r="B88" t="s">
        <v>81</v>
      </c>
      <c r="C88" s="10" t="s">
        <v>35</v>
      </c>
      <c r="D88" s="16">
        <f t="shared" ca="1" si="5"/>
        <v>45968</v>
      </c>
      <c r="E88" s="14">
        <f t="shared" ca="1" si="2"/>
        <v>45968.535908912039</v>
      </c>
      <c r="F88" s="18">
        <f>EOMONTH(Table13[[#This Row],[Transaction Date]],0)</f>
        <v>45322</v>
      </c>
      <c r="G88" s="20">
        <f ca="1">_xlfn.DAYS(Table13[[#This Row],[Today]],Table13[[#This Row],[Transaction Date]])</f>
        <v>655</v>
      </c>
      <c r="H88">
        <f ca="1">NETWORKDAYS.INTL(Table13[[#This Row],[Transaction Date]],Table13[[#This Row],[Today]],)</f>
        <v>470</v>
      </c>
      <c r="I88">
        <f ca="1">NETWORKDAYS(Table13[[#This Row],[Transaction Date]],Table13[[#This Row],[Today]])</f>
        <v>470</v>
      </c>
    </row>
    <row r="89" spans="1:9" x14ac:dyDescent="0.3">
      <c r="A89" t="s">
        <v>59</v>
      </c>
      <c r="B89" t="s">
        <v>60</v>
      </c>
      <c r="C89" s="10" t="s">
        <v>35</v>
      </c>
      <c r="D89" s="16">
        <f t="shared" ca="1" si="5"/>
        <v>45968</v>
      </c>
      <c r="E89" s="14">
        <f t="shared" ca="1" si="2"/>
        <v>45968.535908912039</v>
      </c>
      <c r="F89" s="18">
        <f>EOMONTH(Table13[[#This Row],[Transaction Date]],0)</f>
        <v>45322</v>
      </c>
      <c r="G89" s="20">
        <f ca="1">_xlfn.DAYS(Table13[[#This Row],[Today]],Table13[[#This Row],[Transaction Date]])</f>
        <v>655</v>
      </c>
      <c r="H89">
        <f ca="1">NETWORKDAYS.INTL(Table13[[#This Row],[Transaction Date]],Table13[[#This Row],[Today]],)</f>
        <v>470</v>
      </c>
      <c r="I89">
        <f ca="1">NETWORKDAYS(Table13[[#This Row],[Transaction Date]],Table13[[#This Row],[Today]])</f>
        <v>470</v>
      </c>
    </row>
    <row r="90" spans="1:9" x14ac:dyDescent="0.3">
      <c r="A90" t="s">
        <v>24</v>
      </c>
      <c r="B90" t="s">
        <v>25</v>
      </c>
      <c r="C90" s="10" t="s">
        <v>35</v>
      </c>
      <c r="D90" s="16">
        <f t="shared" ca="1" si="5"/>
        <v>45968</v>
      </c>
      <c r="E90" s="14">
        <f t="shared" ca="1" si="2"/>
        <v>45968.535908912039</v>
      </c>
      <c r="F90" s="18">
        <f>EOMONTH(Table13[[#This Row],[Transaction Date]],0)</f>
        <v>45322</v>
      </c>
      <c r="G90" s="20">
        <f ca="1">_xlfn.DAYS(Table13[[#This Row],[Today]],Table13[[#This Row],[Transaction Date]])</f>
        <v>655</v>
      </c>
      <c r="H90">
        <f ca="1">NETWORKDAYS.INTL(Table13[[#This Row],[Transaction Date]],Table13[[#This Row],[Today]],)</f>
        <v>470</v>
      </c>
      <c r="I90">
        <f ca="1">NETWORKDAYS(Table13[[#This Row],[Transaction Date]],Table13[[#This Row],[Today]])</f>
        <v>470</v>
      </c>
    </row>
    <row r="91" spans="1:9" x14ac:dyDescent="0.3">
      <c r="A91" t="s">
        <v>77</v>
      </c>
      <c r="B91" t="s">
        <v>78</v>
      </c>
      <c r="C91" s="10" t="s">
        <v>35</v>
      </c>
      <c r="D91" s="16">
        <f t="shared" ca="1" si="5"/>
        <v>45968</v>
      </c>
      <c r="E91" s="14">
        <f t="shared" ca="1" si="2"/>
        <v>45968.535908912039</v>
      </c>
      <c r="F91" s="18">
        <f>EOMONTH(Table13[[#This Row],[Transaction Date]],0)</f>
        <v>45322</v>
      </c>
      <c r="G91" s="20">
        <f ca="1">_xlfn.DAYS(Table13[[#This Row],[Today]],Table13[[#This Row],[Transaction Date]])</f>
        <v>655</v>
      </c>
      <c r="H91">
        <f ca="1">NETWORKDAYS.INTL(Table13[[#This Row],[Transaction Date]],Table13[[#This Row],[Today]],)</f>
        <v>470</v>
      </c>
      <c r="I91">
        <f ca="1">NETWORKDAYS(Table13[[#This Row],[Transaction Date]],Table13[[#This Row],[Today]])</f>
        <v>470</v>
      </c>
    </row>
    <row r="92" spans="1:9" x14ac:dyDescent="0.3">
      <c r="A92" t="s">
        <v>56</v>
      </c>
      <c r="B92" t="s">
        <v>57</v>
      </c>
      <c r="C92" s="10" t="s">
        <v>35</v>
      </c>
      <c r="D92" s="16">
        <f t="shared" ca="1" si="5"/>
        <v>45968</v>
      </c>
      <c r="E92" s="14">
        <f t="shared" ca="1" si="2"/>
        <v>45968.535908912039</v>
      </c>
      <c r="F92" s="18">
        <f>EOMONTH(Table13[[#This Row],[Transaction Date]],0)</f>
        <v>45322</v>
      </c>
      <c r="G92" s="20">
        <f ca="1">_xlfn.DAYS(Table13[[#This Row],[Today]],Table13[[#This Row],[Transaction Date]])</f>
        <v>655</v>
      </c>
      <c r="H92">
        <f ca="1">NETWORKDAYS.INTL(Table13[[#This Row],[Transaction Date]],Table13[[#This Row],[Today]],)</f>
        <v>470</v>
      </c>
      <c r="I92">
        <f ca="1">NETWORKDAYS(Table13[[#This Row],[Transaction Date]],Table13[[#This Row],[Today]])</f>
        <v>470</v>
      </c>
    </row>
    <row r="93" spans="1:9" x14ac:dyDescent="0.3">
      <c r="A93" t="s">
        <v>74</v>
      </c>
      <c r="B93" t="s">
        <v>75</v>
      </c>
      <c r="C93" s="10" t="s">
        <v>35</v>
      </c>
      <c r="D93" s="16">
        <f t="shared" ca="1" si="5"/>
        <v>45968</v>
      </c>
      <c r="E93" s="14">
        <f t="shared" ca="1" si="2"/>
        <v>45968.535908912039</v>
      </c>
      <c r="F93" s="18">
        <f>EOMONTH(Table13[[#This Row],[Transaction Date]],0)</f>
        <v>45322</v>
      </c>
      <c r="G93" s="20">
        <f ca="1">_xlfn.DAYS(Table13[[#This Row],[Today]],Table13[[#This Row],[Transaction Date]])</f>
        <v>655</v>
      </c>
      <c r="H93">
        <f ca="1">NETWORKDAYS.INTL(Table13[[#This Row],[Transaction Date]],Table13[[#This Row],[Today]],)</f>
        <v>470</v>
      </c>
      <c r="I93">
        <f ca="1">NETWORKDAYS(Table13[[#This Row],[Transaction Date]],Table13[[#This Row],[Today]])</f>
        <v>470</v>
      </c>
    </row>
    <row r="94" spans="1:9" x14ac:dyDescent="0.3">
      <c r="A94" t="s">
        <v>17</v>
      </c>
      <c r="B94" t="s">
        <v>18</v>
      </c>
      <c r="C94" s="10" t="s">
        <v>35</v>
      </c>
      <c r="D94" s="16">
        <f t="shared" ca="1" si="5"/>
        <v>45968</v>
      </c>
      <c r="E94" s="14">
        <f t="shared" ca="1" si="2"/>
        <v>45968.535908912039</v>
      </c>
      <c r="F94" s="18">
        <f>EOMONTH(Table13[[#This Row],[Transaction Date]],0)</f>
        <v>45322</v>
      </c>
      <c r="G94" s="20">
        <f ca="1">_xlfn.DAYS(Table13[[#This Row],[Today]],Table13[[#This Row],[Transaction Date]])</f>
        <v>655</v>
      </c>
      <c r="H94">
        <f ca="1">NETWORKDAYS.INTL(Table13[[#This Row],[Transaction Date]],Table13[[#This Row],[Today]],)</f>
        <v>470</v>
      </c>
      <c r="I94">
        <f ca="1">NETWORKDAYS(Table13[[#This Row],[Transaction Date]],Table13[[#This Row],[Today]])</f>
        <v>470</v>
      </c>
    </row>
    <row r="95" spans="1:9" x14ac:dyDescent="0.3">
      <c r="A95" t="s">
        <v>53</v>
      </c>
      <c r="B95" t="s">
        <v>54</v>
      </c>
      <c r="C95" s="10" t="s">
        <v>35</v>
      </c>
      <c r="D95" s="16">
        <f t="shared" ca="1" si="5"/>
        <v>45968</v>
      </c>
      <c r="E95" s="14">
        <f t="shared" ca="1" si="2"/>
        <v>45968.535908912039</v>
      </c>
      <c r="F95" s="18">
        <f>EOMONTH(Table13[[#This Row],[Transaction Date]],0)</f>
        <v>45322</v>
      </c>
      <c r="G95" s="20">
        <f ca="1">_xlfn.DAYS(Table13[[#This Row],[Today]],Table13[[#This Row],[Transaction Date]])</f>
        <v>655</v>
      </c>
      <c r="H95">
        <f ca="1">NETWORKDAYS.INTL(Table13[[#This Row],[Transaction Date]],Table13[[#This Row],[Today]],)</f>
        <v>470</v>
      </c>
      <c r="I95">
        <f ca="1">NETWORKDAYS(Table13[[#This Row],[Transaction Date]],Table13[[#This Row],[Today]])</f>
        <v>470</v>
      </c>
    </row>
    <row r="96" spans="1:9" x14ac:dyDescent="0.3">
      <c r="A96" t="s">
        <v>71</v>
      </c>
      <c r="B96" t="s">
        <v>72</v>
      </c>
      <c r="C96" s="10" t="s">
        <v>35</v>
      </c>
      <c r="D96" s="16">
        <f t="shared" ca="1" si="5"/>
        <v>45968</v>
      </c>
      <c r="E96" s="14">
        <f t="shared" ca="1" si="2"/>
        <v>45968.535908912039</v>
      </c>
      <c r="F96" s="18">
        <f>EOMONTH(Table13[[#This Row],[Transaction Date]],0)</f>
        <v>45322</v>
      </c>
      <c r="G96" s="20">
        <f ca="1">_xlfn.DAYS(Table13[[#This Row],[Today]],Table13[[#This Row],[Transaction Date]])</f>
        <v>655</v>
      </c>
      <c r="H96">
        <f ca="1">NETWORKDAYS.INTL(Table13[[#This Row],[Transaction Date]],Table13[[#This Row],[Today]],)</f>
        <v>470</v>
      </c>
      <c r="I96">
        <f ca="1">NETWORKDAYS(Table13[[#This Row],[Transaction Date]],Table13[[#This Row],[Today]])</f>
        <v>470</v>
      </c>
    </row>
    <row r="97" spans="1:9" x14ac:dyDescent="0.3">
      <c r="A97" t="s">
        <v>49</v>
      </c>
      <c r="B97" t="s">
        <v>50</v>
      </c>
      <c r="C97" s="10" t="s">
        <v>35</v>
      </c>
      <c r="D97" s="16">
        <f t="shared" ca="1" si="5"/>
        <v>45968</v>
      </c>
      <c r="E97" s="14">
        <f t="shared" ca="1" si="2"/>
        <v>45968.535908912039</v>
      </c>
      <c r="F97" s="18">
        <f>EOMONTH(Table13[[#This Row],[Transaction Date]],0)</f>
        <v>45322</v>
      </c>
      <c r="G97" s="20">
        <f ca="1">_xlfn.DAYS(Table13[[#This Row],[Today]],Table13[[#This Row],[Transaction Date]])</f>
        <v>655</v>
      </c>
      <c r="H97">
        <f ca="1">NETWORKDAYS.INTL(Table13[[#This Row],[Transaction Date]],Table13[[#This Row],[Today]],)</f>
        <v>470</v>
      </c>
      <c r="I97">
        <f ca="1">NETWORKDAYS(Table13[[#This Row],[Transaction Date]],Table13[[#This Row],[Today]])</f>
        <v>470</v>
      </c>
    </row>
    <row r="98" spans="1:9" x14ac:dyDescent="0.3">
      <c r="A98" t="s">
        <v>10</v>
      </c>
      <c r="B98" t="s">
        <v>11</v>
      </c>
      <c r="C98" s="10" t="s">
        <v>35</v>
      </c>
      <c r="D98" s="16">
        <f t="shared" ca="1" si="5"/>
        <v>45968</v>
      </c>
      <c r="E98" s="14">
        <f t="shared" ca="1" si="2"/>
        <v>45968.535908912039</v>
      </c>
      <c r="F98" s="18">
        <f>EOMONTH(Table13[[#This Row],[Transaction Date]],0)</f>
        <v>45322</v>
      </c>
      <c r="G98" s="20">
        <f ca="1">_xlfn.DAYS(Table13[[#This Row],[Today]],Table13[[#This Row],[Transaction Date]])</f>
        <v>655</v>
      </c>
      <c r="H98">
        <f ca="1">NETWORKDAYS.INTL(Table13[[#This Row],[Transaction Date]],Table13[[#This Row],[Today]],)</f>
        <v>470</v>
      </c>
      <c r="I98">
        <f ca="1">NETWORKDAYS(Table13[[#This Row],[Transaction Date]],Table13[[#This Row],[Today]])</f>
        <v>470</v>
      </c>
    </row>
    <row r="99" spans="1:9" x14ac:dyDescent="0.3">
      <c r="A99" t="s">
        <v>68</v>
      </c>
      <c r="B99" t="s">
        <v>69</v>
      </c>
      <c r="C99" s="10" t="s">
        <v>35</v>
      </c>
      <c r="D99" s="16">
        <f t="shared" ca="1" si="5"/>
        <v>45968</v>
      </c>
      <c r="E99" s="14">
        <f t="shared" ca="1" si="2"/>
        <v>45968.535908912039</v>
      </c>
      <c r="F99" s="18">
        <f>EOMONTH(Table13[[#This Row],[Transaction Date]],0)</f>
        <v>45322</v>
      </c>
      <c r="G99" s="20">
        <f ca="1">_xlfn.DAYS(Table13[[#This Row],[Today]],Table13[[#This Row],[Transaction Date]])</f>
        <v>655</v>
      </c>
      <c r="H99">
        <f ca="1">NETWORKDAYS.INTL(Table13[[#This Row],[Transaction Date]],Table13[[#This Row],[Today]],)</f>
        <v>470</v>
      </c>
      <c r="I99">
        <f ca="1">NETWORKDAYS(Table13[[#This Row],[Transaction Date]],Table13[[#This Row],[Today]])</f>
        <v>470</v>
      </c>
    </row>
    <row r="100" spans="1:9" x14ac:dyDescent="0.3">
      <c r="A100" t="s">
        <v>44</v>
      </c>
      <c r="B100" t="s">
        <v>45</v>
      </c>
      <c r="C100" s="10" t="s">
        <v>35</v>
      </c>
      <c r="D100" s="16">
        <f t="shared" ca="1" si="5"/>
        <v>45968</v>
      </c>
      <c r="E100" s="14">
        <f t="shared" ca="1" si="2"/>
        <v>45968.535908912039</v>
      </c>
      <c r="F100" s="18">
        <f>EOMONTH(Table13[[#This Row],[Transaction Date]],0)</f>
        <v>45322</v>
      </c>
      <c r="G100" s="20">
        <f ca="1">_xlfn.DAYS(Table13[[#This Row],[Today]],Table13[[#This Row],[Transaction Date]])</f>
        <v>655</v>
      </c>
      <c r="H100">
        <f ca="1">NETWORKDAYS.INTL(Table13[[#This Row],[Transaction Date]],Table13[[#This Row],[Today]],)</f>
        <v>470</v>
      </c>
      <c r="I100">
        <f ca="1">NETWORKDAYS(Table13[[#This Row],[Transaction Date]],Table13[[#This Row],[Today]])</f>
        <v>470</v>
      </c>
    </row>
    <row r="101" spans="1:9" x14ac:dyDescent="0.3">
      <c r="A101" t="s">
        <v>86</v>
      </c>
      <c r="B101" t="s">
        <v>87</v>
      </c>
      <c r="C101" s="10" t="s">
        <v>35</v>
      </c>
      <c r="D101" s="16">
        <f ca="1">TODAY()</f>
        <v>45968</v>
      </c>
      <c r="E101" s="14">
        <f t="shared" ca="1" si="2"/>
        <v>45968.535908912039</v>
      </c>
      <c r="F101" s="18">
        <f>EOMONTH(Table13[[#This Row],[Transaction Date]],0)</f>
        <v>45322</v>
      </c>
      <c r="G101" s="20">
        <f ca="1">_xlfn.DAYS(Table13[[#This Row],[Today]],Table13[[#This Row],[Transaction Date]])</f>
        <v>655</v>
      </c>
      <c r="H101">
        <f ca="1">NETWORKDAYS.INTL(Table13[[#This Row],[Transaction Date]],Table13[[#This Row],[Today]],)</f>
        <v>470</v>
      </c>
      <c r="I101">
        <f ca="1">NETWORKDAYS(Table13[[#This Row],[Transaction Date]],Table13[[#This Row],[Today]])</f>
        <v>470</v>
      </c>
    </row>
    <row r="102" spans="1:9" x14ac:dyDescent="0.3">
      <c r="A102" t="s">
        <v>40</v>
      </c>
      <c r="B102" t="s">
        <v>41</v>
      </c>
      <c r="C102" s="10" t="s">
        <v>35</v>
      </c>
      <c r="D102" s="16">
        <f t="shared" ref="D102:D120" ca="1" si="6">TODAY()</f>
        <v>45968</v>
      </c>
      <c r="E102" s="14">
        <f t="shared" ca="1" si="2"/>
        <v>45968.535908912039</v>
      </c>
      <c r="F102" s="18">
        <f>EOMONTH(Table13[[#This Row],[Transaction Date]],0)</f>
        <v>45322</v>
      </c>
      <c r="G102" s="20">
        <f ca="1">_xlfn.DAYS(Table13[[#This Row],[Today]],Table13[[#This Row],[Transaction Date]])</f>
        <v>655</v>
      </c>
      <c r="H102">
        <f ca="1">NETWORKDAYS.INTL(Table13[[#This Row],[Transaction Date]],Table13[[#This Row],[Today]],)</f>
        <v>470</v>
      </c>
      <c r="I102">
        <f ca="1">NETWORKDAYS(Table13[[#This Row],[Transaction Date]],Table13[[#This Row],[Today]])</f>
        <v>470</v>
      </c>
    </row>
    <row r="103" spans="1:9" x14ac:dyDescent="0.3">
      <c r="A103" t="s">
        <v>65</v>
      </c>
      <c r="B103" t="s">
        <v>66</v>
      </c>
      <c r="C103" s="10" t="s">
        <v>35</v>
      </c>
      <c r="D103" s="16">
        <f t="shared" ca="1" si="6"/>
        <v>45968</v>
      </c>
      <c r="E103" s="14">
        <f t="shared" ca="1" si="2"/>
        <v>45968.535908912039</v>
      </c>
      <c r="F103" s="18">
        <f>EOMONTH(Table13[[#This Row],[Transaction Date]],0)</f>
        <v>45322</v>
      </c>
      <c r="G103" s="20">
        <f ca="1">_xlfn.DAYS(Table13[[#This Row],[Today]],Table13[[#This Row],[Transaction Date]])</f>
        <v>655</v>
      </c>
      <c r="H103">
        <f ca="1">NETWORKDAYS.INTL(Table13[[#This Row],[Transaction Date]],Table13[[#This Row],[Today]],)</f>
        <v>470</v>
      </c>
      <c r="I103">
        <f ca="1">NETWORKDAYS(Table13[[#This Row],[Transaction Date]],Table13[[#This Row],[Today]])</f>
        <v>470</v>
      </c>
    </row>
    <row r="104" spans="1:9" x14ac:dyDescent="0.3">
      <c r="A104" t="s">
        <v>83</v>
      </c>
      <c r="B104" t="s">
        <v>84</v>
      </c>
      <c r="C104" s="10" t="s">
        <v>35</v>
      </c>
      <c r="D104" s="16">
        <f t="shared" ca="1" si="6"/>
        <v>45968</v>
      </c>
      <c r="E104" s="14">
        <f t="shared" ca="1" si="2"/>
        <v>45968.535908912039</v>
      </c>
      <c r="F104" s="18">
        <f>EOMONTH(Table13[[#This Row],[Transaction Date]],0)</f>
        <v>45322</v>
      </c>
      <c r="G104" s="20">
        <f ca="1">_xlfn.DAYS(Table13[[#This Row],[Today]],Table13[[#This Row],[Transaction Date]])</f>
        <v>655</v>
      </c>
      <c r="H104">
        <f ca="1">NETWORKDAYS.INTL(Table13[[#This Row],[Transaction Date]],Table13[[#This Row],[Today]],)</f>
        <v>470</v>
      </c>
      <c r="I104">
        <f ca="1">NETWORKDAYS(Table13[[#This Row],[Transaction Date]],Table13[[#This Row],[Today]])</f>
        <v>470</v>
      </c>
    </row>
    <row r="105" spans="1:9" x14ac:dyDescent="0.3">
      <c r="A105" t="s">
        <v>36</v>
      </c>
      <c r="B105" t="s">
        <v>37</v>
      </c>
      <c r="C105" s="10" t="s">
        <v>35</v>
      </c>
      <c r="D105" s="16">
        <f t="shared" ca="1" si="6"/>
        <v>45968</v>
      </c>
      <c r="E105" s="14">
        <f t="shared" ref="E105:E168" ca="1" si="7">NOW()</f>
        <v>45968.535908912039</v>
      </c>
      <c r="F105" s="18">
        <f>EOMONTH(Table13[[#This Row],[Transaction Date]],0)</f>
        <v>45322</v>
      </c>
      <c r="G105" s="20">
        <f ca="1">_xlfn.DAYS(Table13[[#This Row],[Today]],Table13[[#This Row],[Transaction Date]])</f>
        <v>655</v>
      </c>
      <c r="H105">
        <f ca="1">NETWORKDAYS.INTL(Table13[[#This Row],[Transaction Date]],Table13[[#This Row],[Today]],)</f>
        <v>470</v>
      </c>
      <c r="I105">
        <f ca="1">NETWORKDAYS(Table13[[#This Row],[Transaction Date]],Table13[[#This Row],[Today]])</f>
        <v>470</v>
      </c>
    </row>
    <row r="106" spans="1:9" x14ac:dyDescent="0.3">
      <c r="A106" t="s">
        <v>62</v>
      </c>
      <c r="B106" t="s">
        <v>63</v>
      </c>
      <c r="C106" s="10" t="s">
        <v>35</v>
      </c>
      <c r="D106" s="16">
        <f t="shared" ca="1" si="6"/>
        <v>45968</v>
      </c>
      <c r="E106" s="14">
        <f t="shared" ca="1" si="7"/>
        <v>45968.535908912039</v>
      </c>
      <c r="F106" s="18">
        <f>EOMONTH(Table13[[#This Row],[Transaction Date]],0)</f>
        <v>45322</v>
      </c>
      <c r="G106" s="20">
        <f ca="1">_xlfn.DAYS(Table13[[#This Row],[Today]],Table13[[#This Row],[Transaction Date]])</f>
        <v>655</v>
      </c>
      <c r="H106">
        <f ca="1">NETWORKDAYS.INTL(Table13[[#This Row],[Transaction Date]],Table13[[#This Row],[Today]],)</f>
        <v>470</v>
      </c>
      <c r="I106">
        <f ca="1">NETWORKDAYS(Table13[[#This Row],[Transaction Date]],Table13[[#This Row],[Today]])</f>
        <v>470</v>
      </c>
    </row>
    <row r="107" spans="1:9" x14ac:dyDescent="0.3">
      <c r="A107" t="s">
        <v>31</v>
      </c>
      <c r="B107" t="s">
        <v>32</v>
      </c>
      <c r="C107" s="10" t="s">
        <v>35</v>
      </c>
      <c r="D107" s="16">
        <f t="shared" ca="1" si="6"/>
        <v>45968</v>
      </c>
      <c r="E107" s="14">
        <f t="shared" ca="1" si="7"/>
        <v>45968.535908912039</v>
      </c>
      <c r="F107" s="18">
        <f>EOMONTH(Table13[[#This Row],[Transaction Date]],0)</f>
        <v>45322</v>
      </c>
      <c r="G107" s="20">
        <f ca="1">_xlfn.DAYS(Table13[[#This Row],[Today]],Table13[[#This Row],[Transaction Date]])</f>
        <v>655</v>
      </c>
      <c r="H107">
        <f ca="1">NETWORKDAYS.INTL(Table13[[#This Row],[Transaction Date]],Table13[[#This Row],[Today]],)</f>
        <v>470</v>
      </c>
      <c r="I107">
        <f ca="1">NETWORKDAYS(Table13[[#This Row],[Transaction Date]],Table13[[#This Row],[Today]])</f>
        <v>470</v>
      </c>
    </row>
    <row r="108" spans="1:9" x14ac:dyDescent="0.3">
      <c r="A108" t="s">
        <v>80</v>
      </c>
      <c r="B108" t="s">
        <v>81</v>
      </c>
      <c r="C108" s="10" t="s">
        <v>35</v>
      </c>
      <c r="D108" s="16">
        <f t="shared" ca="1" si="6"/>
        <v>45968</v>
      </c>
      <c r="E108" s="14">
        <f t="shared" ca="1" si="7"/>
        <v>45968.535908912039</v>
      </c>
      <c r="F108" s="18">
        <f>EOMONTH(Table13[[#This Row],[Transaction Date]],0)</f>
        <v>45322</v>
      </c>
      <c r="G108" s="20">
        <f ca="1">_xlfn.DAYS(Table13[[#This Row],[Today]],Table13[[#This Row],[Transaction Date]])</f>
        <v>655</v>
      </c>
      <c r="H108">
        <f ca="1">NETWORKDAYS.INTL(Table13[[#This Row],[Transaction Date]],Table13[[#This Row],[Today]],)</f>
        <v>470</v>
      </c>
      <c r="I108">
        <f ca="1">NETWORKDAYS(Table13[[#This Row],[Transaction Date]],Table13[[#This Row],[Today]])</f>
        <v>470</v>
      </c>
    </row>
    <row r="109" spans="1:9" x14ac:dyDescent="0.3">
      <c r="A109" t="s">
        <v>59</v>
      </c>
      <c r="B109" t="s">
        <v>60</v>
      </c>
      <c r="C109" s="10" t="s">
        <v>35</v>
      </c>
      <c r="D109" s="16">
        <f t="shared" ca="1" si="6"/>
        <v>45968</v>
      </c>
      <c r="E109" s="14">
        <f t="shared" ca="1" si="7"/>
        <v>45968.535908912039</v>
      </c>
      <c r="F109" s="18">
        <f>EOMONTH(Table13[[#This Row],[Transaction Date]],0)</f>
        <v>45322</v>
      </c>
      <c r="G109" s="20">
        <f ca="1">_xlfn.DAYS(Table13[[#This Row],[Today]],Table13[[#This Row],[Transaction Date]])</f>
        <v>655</v>
      </c>
      <c r="H109">
        <f ca="1">NETWORKDAYS.INTL(Table13[[#This Row],[Transaction Date]],Table13[[#This Row],[Today]],)</f>
        <v>470</v>
      </c>
      <c r="I109">
        <f ca="1">NETWORKDAYS(Table13[[#This Row],[Transaction Date]],Table13[[#This Row],[Today]])</f>
        <v>470</v>
      </c>
    </row>
    <row r="110" spans="1:9" x14ac:dyDescent="0.3">
      <c r="A110" t="s">
        <v>24</v>
      </c>
      <c r="B110" t="s">
        <v>25</v>
      </c>
      <c r="C110" s="10" t="s">
        <v>35</v>
      </c>
      <c r="D110" s="16">
        <f t="shared" ca="1" si="6"/>
        <v>45968</v>
      </c>
      <c r="E110" s="14">
        <f t="shared" ca="1" si="7"/>
        <v>45968.535908912039</v>
      </c>
      <c r="F110" s="18">
        <f>EOMONTH(Table13[[#This Row],[Transaction Date]],0)</f>
        <v>45322</v>
      </c>
      <c r="G110" s="20">
        <f ca="1">_xlfn.DAYS(Table13[[#This Row],[Today]],Table13[[#This Row],[Transaction Date]])</f>
        <v>655</v>
      </c>
      <c r="H110">
        <f ca="1">NETWORKDAYS.INTL(Table13[[#This Row],[Transaction Date]],Table13[[#This Row],[Today]],)</f>
        <v>470</v>
      </c>
      <c r="I110">
        <f ca="1">NETWORKDAYS(Table13[[#This Row],[Transaction Date]],Table13[[#This Row],[Today]])</f>
        <v>470</v>
      </c>
    </row>
    <row r="111" spans="1:9" x14ac:dyDescent="0.3">
      <c r="A111" t="s">
        <v>77</v>
      </c>
      <c r="B111" t="s">
        <v>78</v>
      </c>
      <c r="C111" s="10" t="s">
        <v>35</v>
      </c>
      <c r="D111" s="16">
        <f t="shared" ca="1" si="6"/>
        <v>45968</v>
      </c>
      <c r="E111" s="14">
        <f t="shared" ca="1" si="7"/>
        <v>45968.535908912039</v>
      </c>
      <c r="F111" s="18">
        <f>EOMONTH(Table13[[#This Row],[Transaction Date]],0)</f>
        <v>45322</v>
      </c>
      <c r="G111" s="20">
        <f ca="1">_xlfn.DAYS(Table13[[#This Row],[Today]],Table13[[#This Row],[Transaction Date]])</f>
        <v>655</v>
      </c>
      <c r="H111">
        <f ca="1">NETWORKDAYS.INTL(Table13[[#This Row],[Transaction Date]],Table13[[#This Row],[Today]],)</f>
        <v>470</v>
      </c>
      <c r="I111">
        <f ca="1">NETWORKDAYS(Table13[[#This Row],[Transaction Date]],Table13[[#This Row],[Today]])</f>
        <v>470</v>
      </c>
    </row>
    <row r="112" spans="1:9" x14ac:dyDescent="0.3">
      <c r="A112" t="s">
        <v>56</v>
      </c>
      <c r="B112" t="s">
        <v>57</v>
      </c>
      <c r="C112" s="10" t="s">
        <v>35</v>
      </c>
      <c r="D112" s="16">
        <f t="shared" ca="1" si="6"/>
        <v>45968</v>
      </c>
      <c r="E112" s="14">
        <f t="shared" ca="1" si="7"/>
        <v>45968.535908912039</v>
      </c>
      <c r="F112" s="18">
        <f>EOMONTH(Table13[[#This Row],[Transaction Date]],0)</f>
        <v>45322</v>
      </c>
      <c r="G112" s="20">
        <f ca="1">_xlfn.DAYS(Table13[[#This Row],[Today]],Table13[[#This Row],[Transaction Date]])</f>
        <v>655</v>
      </c>
      <c r="H112">
        <f ca="1">NETWORKDAYS.INTL(Table13[[#This Row],[Transaction Date]],Table13[[#This Row],[Today]],)</f>
        <v>470</v>
      </c>
      <c r="I112">
        <f ca="1">NETWORKDAYS(Table13[[#This Row],[Transaction Date]],Table13[[#This Row],[Today]])</f>
        <v>470</v>
      </c>
    </row>
    <row r="113" spans="1:9" x14ac:dyDescent="0.3">
      <c r="A113" t="s">
        <v>74</v>
      </c>
      <c r="B113" t="s">
        <v>75</v>
      </c>
      <c r="C113" s="10" t="s">
        <v>35</v>
      </c>
      <c r="D113" s="16">
        <f t="shared" ca="1" si="6"/>
        <v>45968</v>
      </c>
      <c r="E113" s="14">
        <f t="shared" ca="1" si="7"/>
        <v>45968.535908912039</v>
      </c>
      <c r="F113" s="18">
        <f>EOMONTH(Table13[[#This Row],[Transaction Date]],0)</f>
        <v>45322</v>
      </c>
      <c r="G113" s="20">
        <f ca="1">_xlfn.DAYS(Table13[[#This Row],[Today]],Table13[[#This Row],[Transaction Date]])</f>
        <v>655</v>
      </c>
      <c r="H113">
        <f ca="1">NETWORKDAYS.INTL(Table13[[#This Row],[Transaction Date]],Table13[[#This Row],[Today]],)</f>
        <v>470</v>
      </c>
      <c r="I113">
        <f ca="1">NETWORKDAYS(Table13[[#This Row],[Transaction Date]],Table13[[#This Row],[Today]])</f>
        <v>470</v>
      </c>
    </row>
    <row r="114" spans="1:9" x14ac:dyDescent="0.3">
      <c r="A114" t="s">
        <v>17</v>
      </c>
      <c r="B114" t="s">
        <v>18</v>
      </c>
      <c r="C114" s="10" t="s">
        <v>35</v>
      </c>
      <c r="D114" s="16">
        <f t="shared" ca="1" si="6"/>
        <v>45968</v>
      </c>
      <c r="E114" s="14">
        <f t="shared" ca="1" si="7"/>
        <v>45968.535908912039</v>
      </c>
      <c r="F114" s="18">
        <f>EOMONTH(Table13[[#This Row],[Transaction Date]],0)</f>
        <v>45322</v>
      </c>
      <c r="G114" s="20">
        <f ca="1">_xlfn.DAYS(Table13[[#This Row],[Today]],Table13[[#This Row],[Transaction Date]])</f>
        <v>655</v>
      </c>
      <c r="H114">
        <f ca="1">NETWORKDAYS.INTL(Table13[[#This Row],[Transaction Date]],Table13[[#This Row],[Today]],)</f>
        <v>470</v>
      </c>
      <c r="I114">
        <f ca="1">NETWORKDAYS(Table13[[#This Row],[Transaction Date]],Table13[[#This Row],[Today]])</f>
        <v>470</v>
      </c>
    </row>
    <row r="115" spans="1:9" x14ac:dyDescent="0.3">
      <c r="A115" t="s">
        <v>53</v>
      </c>
      <c r="B115" t="s">
        <v>54</v>
      </c>
      <c r="C115" s="10" t="s">
        <v>35</v>
      </c>
      <c r="D115" s="16">
        <f t="shared" ca="1" si="6"/>
        <v>45968</v>
      </c>
      <c r="E115" s="14">
        <f t="shared" ca="1" si="7"/>
        <v>45968.535908912039</v>
      </c>
      <c r="F115" s="18">
        <f>EOMONTH(Table13[[#This Row],[Transaction Date]],0)</f>
        <v>45322</v>
      </c>
      <c r="G115" s="20">
        <f ca="1">_xlfn.DAYS(Table13[[#This Row],[Today]],Table13[[#This Row],[Transaction Date]])</f>
        <v>655</v>
      </c>
      <c r="H115">
        <f ca="1">NETWORKDAYS.INTL(Table13[[#This Row],[Transaction Date]],Table13[[#This Row],[Today]],)</f>
        <v>470</v>
      </c>
      <c r="I115">
        <f ca="1">NETWORKDAYS(Table13[[#This Row],[Transaction Date]],Table13[[#This Row],[Today]])</f>
        <v>470</v>
      </c>
    </row>
    <row r="116" spans="1:9" x14ac:dyDescent="0.3">
      <c r="A116" t="s">
        <v>71</v>
      </c>
      <c r="B116" t="s">
        <v>72</v>
      </c>
      <c r="C116" s="10" t="s">
        <v>35</v>
      </c>
      <c r="D116" s="16">
        <f t="shared" ca="1" si="6"/>
        <v>45968</v>
      </c>
      <c r="E116" s="14">
        <f t="shared" ca="1" si="7"/>
        <v>45968.535908912039</v>
      </c>
      <c r="F116" s="18">
        <f>EOMONTH(Table13[[#This Row],[Transaction Date]],0)</f>
        <v>45322</v>
      </c>
      <c r="G116" s="20">
        <f ca="1">_xlfn.DAYS(Table13[[#This Row],[Today]],Table13[[#This Row],[Transaction Date]])</f>
        <v>655</v>
      </c>
      <c r="H116">
        <f ca="1">NETWORKDAYS.INTL(Table13[[#This Row],[Transaction Date]],Table13[[#This Row],[Today]],)</f>
        <v>470</v>
      </c>
      <c r="I116">
        <f ca="1">NETWORKDAYS(Table13[[#This Row],[Transaction Date]],Table13[[#This Row],[Today]])</f>
        <v>470</v>
      </c>
    </row>
    <row r="117" spans="1:9" x14ac:dyDescent="0.3">
      <c r="A117" t="s">
        <v>49</v>
      </c>
      <c r="B117" t="s">
        <v>50</v>
      </c>
      <c r="C117" s="10" t="s">
        <v>35</v>
      </c>
      <c r="D117" s="16">
        <f t="shared" ca="1" si="6"/>
        <v>45968</v>
      </c>
      <c r="E117" s="14">
        <f t="shared" ca="1" si="7"/>
        <v>45968.535908912039</v>
      </c>
      <c r="F117" s="18">
        <f>EOMONTH(Table13[[#This Row],[Transaction Date]],0)</f>
        <v>45322</v>
      </c>
      <c r="G117" s="20">
        <f ca="1">_xlfn.DAYS(Table13[[#This Row],[Today]],Table13[[#This Row],[Transaction Date]])</f>
        <v>655</v>
      </c>
      <c r="H117">
        <f ca="1">NETWORKDAYS.INTL(Table13[[#This Row],[Transaction Date]],Table13[[#This Row],[Today]],)</f>
        <v>470</v>
      </c>
      <c r="I117">
        <f ca="1">NETWORKDAYS(Table13[[#This Row],[Transaction Date]],Table13[[#This Row],[Today]])</f>
        <v>470</v>
      </c>
    </row>
    <row r="118" spans="1:9" x14ac:dyDescent="0.3">
      <c r="A118" t="s">
        <v>10</v>
      </c>
      <c r="B118" t="s">
        <v>11</v>
      </c>
      <c r="C118" s="10" t="s">
        <v>35</v>
      </c>
      <c r="D118" s="16">
        <f t="shared" ca="1" si="6"/>
        <v>45968</v>
      </c>
      <c r="E118" s="14">
        <f t="shared" ca="1" si="7"/>
        <v>45968.535908912039</v>
      </c>
      <c r="F118" s="18">
        <f>EOMONTH(Table13[[#This Row],[Transaction Date]],0)</f>
        <v>45322</v>
      </c>
      <c r="G118" s="20">
        <f ca="1">_xlfn.DAYS(Table13[[#This Row],[Today]],Table13[[#This Row],[Transaction Date]])</f>
        <v>655</v>
      </c>
      <c r="H118">
        <f ca="1">NETWORKDAYS.INTL(Table13[[#This Row],[Transaction Date]],Table13[[#This Row],[Today]],)</f>
        <v>470</v>
      </c>
      <c r="I118">
        <f ca="1">NETWORKDAYS(Table13[[#This Row],[Transaction Date]],Table13[[#This Row],[Today]])</f>
        <v>470</v>
      </c>
    </row>
    <row r="119" spans="1:9" x14ac:dyDescent="0.3">
      <c r="A119" t="s">
        <v>68</v>
      </c>
      <c r="B119" t="s">
        <v>69</v>
      </c>
      <c r="C119" s="10" t="s">
        <v>35</v>
      </c>
      <c r="D119" s="16">
        <f t="shared" ca="1" si="6"/>
        <v>45968</v>
      </c>
      <c r="E119" s="14">
        <f t="shared" ca="1" si="7"/>
        <v>45968.535908912039</v>
      </c>
      <c r="F119" s="18">
        <f>EOMONTH(Table13[[#This Row],[Transaction Date]],0)</f>
        <v>45322</v>
      </c>
      <c r="G119" s="20">
        <f ca="1">_xlfn.DAYS(Table13[[#This Row],[Today]],Table13[[#This Row],[Transaction Date]])</f>
        <v>655</v>
      </c>
      <c r="H119">
        <f ca="1">NETWORKDAYS.INTL(Table13[[#This Row],[Transaction Date]],Table13[[#This Row],[Today]],)</f>
        <v>470</v>
      </c>
      <c r="I119">
        <f ca="1">NETWORKDAYS(Table13[[#This Row],[Transaction Date]],Table13[[#This Row],[Today]])</f>
        <v>470</v>
      </c>
    </row>
    <row r="120" spans="1:9" x14ac:dyDescent="0.3">
      <c r="A120" t="s">
        <v>44</v>
      </c>
      <c r="B120" t="s">
        <v>45</v>
      </c>
      <c r="C120" s="10" t="s">
        <v>35</v>
      </c>
      <c r="D120" s="16">
        <f t="shared" ca="1" si="6"/>
        <v>45968</v>
      </c>
      <c r="E120" s="14">
        <f t="shared" ca="1" si="7"/>
        <v>45968.535908912039</v>
      </c>
      <c r="F120" s="18">
        <f>EOMONTH(Table13[[#This Row],[Transaction Date]],0)</f>
        <v>45322</v>
      </c>
      <c r="G120" s="20">
        <f ca="1">_xlfn.DAYS(Table13[[#This Row],[Today]],Table13[[#This Row],[Transaction Date]])</f>
        <v>655</v>
      </c>
      <c r="H120">
        <f ca="1">NETWORKDAYS.INTL(Table13[[#This Row],[Transaction Date]],Table13[[#This Row],[Today]],)</f>
        <v>470</v>
      </c>
      <c r="I120">
        <f ca="1">NETWORKDAYS(Table13[[#This Row],[Transaction Date]],Table13[[#This Row],[Today]])</f>
        <v>470</v>
      </c>
    </row>
    <row r="121" spans="1:9" x14ac:dyDescent="0.3">
      <c r="A121" t="s">
        <v>86</v>
      </c>
      <c r="B121" t="s">
        <v>87</v>
      </c>
      <c r="C121" s="10" t="s">
        <v>35</v>
      </c>
      <c r="D121" s="16">
        <f ca="1">TODAY()</f>
        <v>45968</v>
      </c>
      <c r="E121" s="14">
        <f t="shared" ca="1" si="7"/>
        <v>45968.535908912039</v>
      </c>
      <c r="F121" s="18">
        <f>EOMONTH(Table13[[#This Row],[Transaction Date]],0)</f>
        <v>45322</v>
      </c>
      <c r="G121" s="20">
        <f ca="1">_xlfn.DAYS(Table13[[#This Row],[Today]],Table13[[#This Row],[Transaction Date]])</f>
        <v>655</v>
      </c>
      <c r="H121">
        <f ca="1">NETWORKDAYS.INTL(Table13[[#This Row],[Transaction Date]],Table13[[#This Row],[Today]],)</f>
        <v>470</v>
      </c>
      <c r="I121">
        <f ca="1">NETWORKDAYS(Table13[[#This Row],[Transaction Date]],Table13[[#This Row],[Today]])</f>
        <v>470</v>
      </c>
    </row>
    <row r="122" spans="1:9" x14ac:dyDescent="0.3">
      <c r="A122" t="s">
        <v>40</v>
      </c>
      <c r="B122" t="s">
        <v>41</v>
      </c>
      <c r="C122" s="10" t="s">
        <v>35</v>
      </c>
      <c r="D122" s="16">
        <f t="shared" ref="D122:D160" ca="1" si="8">TODAY()</f>
        <v>45968</v>
      </c>
      <c r="E122" s="14">
        <f t="shared" ca="1" si="7"/>
        <v>45968.535908912039</v>
      </c>
      <c r="F122" s="18">
        <f>EOMONTH(Table13[[#This Row],[Transaction Date]],0)</f>
        <v>45322</v>
      </c>
      <c r="G122" s="20">
        <f ca="1">_xlfn.DAYS(Table13[[#This Row],[Today]],Table13[[#This Row],[Transaction Date]])</f>
        <v>655</v>
      </c>
      <c r="H122">
        <f ca="1">NETWORKDAYS.INTL(Table13[[#This Row],[Transaction Date]],Table13[[#This Row],[Today]],)</f>
        <v>470</v>
      </c>
      <c r="I122">
        <f ca="1">NETWORKDAYS(Table13[[#This Row],[Transaction Date]],Table13[[#This Row],[Today]])</f>
        <v>470</v>
      </c>
    </row>
    <row r="123" spans="1:9" x14ac:dyDescent="0.3">
      <c r="A123" t="s">
        <v>65</v>
      </c>
      <c r="B123" t="s">
        <v>66</v>
      </c>
      <c r="C123" s="10" t="s">
        <v>35</v>
      </c>
      <c r="D123" s="16">
        <f t="shared" ca="1" si="8"/>
        <v>45968</v>
      </c>
      <c r="E123" s="14">
        <f t="shared" ca="1" si="7"/>
        <v>45968.535908912039</v>
      </c>
      <c r="F123" s="18">
        <f>EOMONTH(Table13[[#This Row],[Transaction Date]],0)</f>
        <v>45322</v>
      </c>
      <c r="G123" s="20">
        <f ca="1">_xlfn.DAYS(Table13[[#This Row],[Today]],Table13[[#This Row],[Transaction Date]])</f>
        <v>655</v>
      </c>
      <c r="H123">
        <f ca="1">NETWORKDAYS.INTL(Table13[[#This Row],[Transaction Date]],Table13[[#This Row],[Today]],)</f>
        <v>470</v>
      </c>
      <c r="I123">
        <f ca="1">NETWORKDAYS(Table13[[#This Row],[Transaction Date]],Table13[[#This Row],[Today]])</f>
        <v>470</v>
      </c>
    </row>
    <row r="124" spans="1:9" x14ac:dyDescent="0.3">
      <c r="A124" t="s">
        <v>83</v>
      </c>
      <c r="B124" t="s">
        <v>84</v>
      </c>
      <c r="C124" s="10" t="s">
        <v>35</v>
      </c>
      <c r="D124" s="16">
        <f t="shared" ca="1" si="8"/>
        <v>45968</v>
      </c>
      <c r="E124" s="14">
        <f t="shared" ca="1" si="7"/>
        <v>45968.535908912039</v>
      </c>
      <c r="F124" s="18">
        <f>EOMONTH(Table13[[#This Row],[Transaction Date]],0)</f>
        <v>45322</v>
      </c>
      <c r="G124" s="20">
        <f ca="1">_xlfn.DAYS(Table13[[#This Row],[Today]],Table13[[#This Row],[Transaction Date]])</f>
        <v>655</v>
      </c>
      <c r="H124">
        <f ca="1">NETWORKDAYS.INTL(Table13[[#This Row],[Transaction Date]],Table13[[#This Row],[Today]],)</f>
        <v>470</v>
      </c>
      <c r="I124">
        <f ca="1">NETWORKDAYS(Table13[[#This Row],[Transaction Date]],Table13[[#This Row],[Today]])</f>
        <v>470</v>
      </c>
    </row>
    <row r="125" spans="1:9" x14ac:dyDescent="0.3">
      <c r="A125" t="s">
        <v>36</v>
      </c>
      <c r="B125" t="s">
        <v>37</v>
      </c>
      <c r="C125" s="10" t="s">
        <v>35</v>
      </c>
      <c r="D125" s="16">
        <f t="shared" ca="1" si="8"/>
        <v>45968</v>
      </c>
      <c r="E125" s="14">
        <f t="shared" ca="1" si="7"/>
        <v>45968.535908912039</v>
      </c>
      <c r="F125" s="18">
        <f>EOMONTH(Table13[[#This Row],[Transaction Date]],0)</f>
        <v>45322</v>
      </c>
      <c r="G125" s="20">
        <f ca="1">_xlfn.DAYS(Table13[[#This Row],[Today]],Table13[[#This Row],[Transaction Date]])</f>
        <v>655</v>
      </c>
      <c r="H125">
        <f ca="1">NETWORKDAYS.INTL(Table13[[#This Row],[Transaction Date]],Table13[[#This Row],[Today]],)</f>
        <v>470</v>
      </c>
      <c r="I125">
        <f ca="1">NETWORKDAYS(Table13[[#This Row],[Transaction Date]],Table13[[#This Row],[Today]])</f>
        <v>470</v>
      </c>
    </row>
    <row r="126" spans="1:9" x14ac:dyDescent="0.3">
      <c r="A126" t="s">
        <v>62</v>
      </c>
      <c r="B126" t="s">
        <v>63</v>
      </c>
      <c r="C126" s="10" t="s">
        <v>35</v>
      </c>
      <c r="D126" s="16">
        <f t="shared" ca="1" si="8"/>
        <v>45968</v>
      </c>
      <c r="E126" s="14">
        <f t="shared" ca="1" si="7"/>
        <v>45968.535908912039</v>
      </c>
      <c r="F126" s="18">
        <f>EOMONTH(Table13[[#This Row],[Transaction Date]],0)</f>
        <v>45322</v>
      </c>
      <c r="G126" s="20">
        <f ca="1">_xlfn.DAYS(Table13[[#This Row],[Today]],Table13[[#This Row],[Transaction Date]])</f>
        <v>655</v>
      </c>
      <c r="H126">
        <f ca="1">NETWORKDAYS.INTL(Table13[[#This Row],[Transaction Date]],Table13[[#This Row],[Today]],)</f>
        <v>470</v>
      </c>
      <c r="I126">
        <f ca="1">NETWORKDAYS(Table13[[#This Row],[Transaction Date]],Table13[[#This Row],[Today]])</f>
        <v>470</v>
      </c>
    </row>
    <row r="127" spans="1:9" x14ac:dyDescent="0.3">
      <c r="A127" t="s">
        <v>31</v>
      </c>
      <c r="B127" t="s">
        <v>32</v>
      </c>
      <c r="C127" s="10" t="s">
        <v>35</v>
      </c>
      <c r="D127" s="16">
        <f t="shared" ca="1" si="8"/>
        <v>45968</v>
      </c>
      <c r="E127" s="14">
        <f t="shared" ca="1" si="7"/>
        <v>45968.535908912039</v>
      </c>
      <c r="F127" s="18">
        <f>EOMONTH(Table13[[#This Row],[Transaction Date]],0)</f>
        <v>45322</v>
      </c>
      <c r="G127" s="20">
        <f ca="1">_xlfn.DAYS(Table13[[#This Row],[Today]],Table13[[#This Row],[Transaction Date]])</f>
        <v>655</v>
      </c>
      <c r="H127">
        <f ca="1">NETWORKDAYS.INTL(Table13[[#This Row],[Transaction Date]],Table13[[#This Row],[Today]],)</f>
        <v>470</v>
      </c>
      <c r="I127">
        <f ca="1">NETWORKDAYS(Table13[[#This Row],[Transaction Date]],Table13[[#This Row],[Today]])</f>
        <v>470</v>
      </c>
    </row>
    <row r="128" spans="1:9" x14ac:dyDescent="0.3">
      <c r="A128" t="s">
        <v>80</v>
      </c>
      <c r="B128" t="s">
        <v>81</v>
      </c>
      <c r="C128" s="10" t="s">
        <v>35</v>
      </c>
      <c r="D128" s="16">
        <f t="shared" ca="1" si="8"/>
        <v>45968</v>
      </c>
      <c r="E128" s="14">
        <f t="shared" ca="1" si="7"/>
        <v>45968.535908912039</v>
      </c>
      <c r="F128" s="18">
        <f>EOMONTH(Table13[[#This Row],[Transaction Date]],0)</f>
        <v>45322</v>
      </c>
      <c r="G128" s="20">
        <f ca="1">_xlfn.DAYS(Table13[[#This Row],[Today]],Table13[[#This Row],[Transaction Date]])</f>
        <v>655</v>
      </c>
      <c r="H128">
        <f ca="1">NETWORKDAYS.INTL(Table13[[#This Row],[Transaction Date]],Table13[[#This Row],[Today]],)</f>
        <v>470</v>
      </c>
      <c r="I128">
        <f ca="1">NETWORKDAYS(Table13[[#This Row],[Transaction Date]],Table13[[#This Row],[Today]])</f>
        <v>470</v>
      </c>
    </row>
    <row r="129" spans="1:9" x14ac:dyDescent="0.3">
      <c r="A129" t="s">
        <v>59</v>
      </c>
      <c r="B129" t="s">
        <v>60</v>
      </c>
      <c r="C129" s="10" t="s">
        <v>35</v>
      </c>
      <c r="D129" s="16">
        <f t="shared" ca="1" si="8"/>
        <v>45968</v>
      </c>
      <c r="E129" s="14">
        <f t="shared" ca="1" si="7"/>
        <v>45968.535908912039</v>
      </c>
      <c r="F129" s="18">
        <f>EOMONTH(Table13[[#This Row],[Transaction Date]],0)</f>
        <v>45322</v>
      </c>
      <c r="G129" s="20">
        <f ca="1">_xlfn.DAYS(Table13[[#This Row],[Today]],Table13[[#This Row],[Transaction Date]])</f>
        <v>655</v>
      </c>
      <c r="H129">
        <f ca="1">NETWORKDAYS.INTL(Table13[[#This Row],[Transaction Date]],Table13[[#This Row],[Today]],)</f>
        <v>470</v>
      </c>
      <c r="I129">
        <f ca="1">NETWORKDAYS(Table13[[#This Row],[Transaction Date]],Table13[[#This Row],[Today]])</f>
        <v>470</v>
      </c>
    </row>
    <row r="130" spans="1:9" x14ac:dyDescent="0.3">
      <c r="A130" t="s">
        <v>24</v>
      </c>
      <c r="B130" t="s">
        <v>25</v>
      </c>
      <c r="C130" s="10" t="s">
        <v>35</v>
      </c>
      <c r="D130" s="16">
        <f t="shared" ca="1" si="8"/>
        <v>45968</v>
      </c>
      <c r="E130" s="14">
        <f t="shared" ca="1" si="7"/>
        <v>45968.535908912039</v>
      </c>
      <c r="F130" s="18">
        <f>EOMONTH(Table13[[#This Row],[Transaction Date]],0)</f>
        <v>45322</v>
      </c>
      <c r="G130" s="20">
        <f ca="1">_xlfn.DAYS(Table13[[#This Row],[Today]],Table13[[#This Row],[Transaction Date]])</f>
        <v>655</v>
      </c>
      <c r="H130">
        <f ca="1">NETWORKDAYS.INTL(Table13[[#This Row],[Transaction Date]],Table13[[#This Row],[Today]],)</f>
        <v>470</v>
      </c>
      <c r="I130">
        <f ca="1">NETWORKDAYS(Table13[[#This Row],[Transaction Date]],Table13[[#This Row],[Today]])</f>
        <v>470</v>
      </c>
    </row>
    <row r="131" spans="1:9" x14ac:dyDescent="0.3">
      <c r="A131" t="s">
        <v>77</v>
      </c>
      <c r="B131" t="s">
        <v>78</v>
      </c>
      <c r="C131" s="10" t="s">
        <v>35</v>
      </c>
      <c r="D131" s="16">
        <f t="shared" ca="1" si="8"/>
        <v>45968</v>
      </c>
      <c r="E131" s="14">
        <f t="shared" ca="1" si="7"/>
        <v>45968.535908912039</v>
      </c>
      <c r="F131" s="18">
        <f>EOMONTH(Table13[[#This Row],[Transaction Date]],0)</f>
        <v>45322</v>
      </c>
      <c r="G131" s="20">
        <f ca="1">_xlfn.DAYS(Table13[[#This Row],[Today]],Table13[[#This Row],[Transaction Date]])</f>
        <v>655</v>
      </c>
      <c r="H131">
        <f ca="1">NETWORKDAYS.INTL(Table13[[#This Row],[Transaction Date]],Table13[[#This Row],[Today]],)</f>
        <v>470</v>
      </c>
      <c r="I131">
        <f ca="1">NETWORKDAYS(Table13[[#This Row],[Transaction Date]],Table13[[#This Row],[Today]])</f>
        <v>470</v>
      </c>
    </row>
    <row r="132" spans="1:9" x14ac:dyDescent="0.3">
      <c r="A132" t="s">
        <v>56</v>
      </c>
      <c r="B132" t="s">
        <v>57</v>
      </c>
      <c r="C132" s="10" t="s">
        <v>35</v>
      </c>
      <c r="D132" s="16">
        <f t="shared" ca="1" si="8"/>
        <v>45968</v>
      </c>
      <c r="E132" s="14">
        <f t="shared" ca="1" si="7"/>
        <v>45968.535908912039</v>
      </c>
      <c r="F132" s="18">
        <f>EOMONTH(Table13[[#This Row],[Transaction Date]],0)</f>
        <v>45322</v>
      </c>
      <c r="G132" s="20">
        <f ca="1">_xlfn.DAYS(Table13[[#This Row],[Today]],Table13[[#This Row],[Transaction Date]])</f>
        <v>655</v>
      </c>
      <c r="H132">
        <f ca="1">NETWORKDAYS.INTL(Table13[[#This Row],[Transaction Date]],Table13[[#This Row],[Today]],)</f>
        <v>470</v>
      </c>
      <c r="I132">
        <f ca="1">NETWORKDAYS(Table13[[#This Row],[Transaction Date]],Table13[[#This Row],[Today]])</f>
        <v>470</v>
      </c>
    </row>
    <row r="133" spans="1:9" x14ac:dyDescent="0.3">
      <c r="A133" t="s">
        <v>74</v>
      </c>
      <c r="B133" t="s">
        <v>75</v>
      </c>
      <c r="C133" s="10" t="s">
        <v>35</v>
      </c>
      <c r="D133" s="16">
        <f t="shared" ca="1" si="8"/>
        <v>45968</v>
      </c>
      <c r="E133" s="14">
        <f t="shared" ca="1" si="7"/>
        <v>45968.535908912039</v>
      </c>
      <c r="F133" s="18">
        <f>EOMONTH(Table13[[#This Row],[Transaction Date]],0)</f>
        <v>45322</v>
      </c>
      <c r="G133" s="20">
        <f ca="1">_xlfn.DAYS(Table13[[#This Row],[Today]],Table13[[#This Row],[Transaction Date]])</f>
        <v>655</v>
      </c>
      <c r="H133">
        <f ca="1">NETWORKDAYS.INTL(Table13[[#This Row],[Transaction Date]],Table13[[#This Row],[Today]],)</f>
        <v>470</v>
      </c>
      <c r="I133">
        <f ca="1">NETWORKDAYS(Table13[[#This Row],[Transaction Date]],Table13[[#This Row],[Today]])</f>
        <v>470</v>
      </c>
    </row>
    <row r="134" spans="1:9" x14ac:dyDescent="0.3">
      <c r="A134" t="s">
        <v>17</v>
      </c>
      <c r="B134" t="s">
        <v>18</v>
      </c>
      <c r="C134" s="10" t="s">
        <v>35</v>
      </c>
      <c r="D134" s="16">
        <f t="shared" ca="1" si="8"/>
        <v>45968</v>
      </c>
      <c r="E134" s="14">
        <f t="shared" ca="1" si="7"/>
        <v>45968.535908912039</v>
      </c>
      <c r="F134" s="18">
        <f>EOMONTH(Table13[[#This Row],[Transaction Date]],0)</f>
        <v>45322</v>
      </c>
      <c r="G134" s="20">
        <f ca="1">_xlfn.DAYS(Table13[[#This Row],[Today]],Table13[[#This Row],[Transaction Date]])</f>
        <v>655</v>
      </c>
      <c r="H134">
        <f ca="1">NETWORKDAYS.INTL(Table13[[#This Row],[Transaction Date]],Table13[[#This Row],[Today]],)</f>
        <v>470</v>
      </c>
      <c r="I134">
        <f ca="1">NETWORKDAYS(Table13[[#This Row],[Transaction Date]],Table13[[#This Row],[Today]])</f>
        <v>470</v>
      </c>
    </row>
    <row r="135" spans="1:9" x14ac:dyDescent="0.3">
      <c r="A135" t="s">
        <v>53</v>
      </c>
      <c r="B135" t="s">
        <v>54</v>
      </c>
      <c r="C135" s="10" t="s">
        <v>35</v>
      </c>
      <c r="D135" s="16">
        <f t="shared" ca="1" si="8"/>
        <v>45968</v>
      </c>
      <c r="E135" s="14">
        <f t="shared" ca="1" si="7"/>
        <v>45968.535908912039</v>
      </c>
      <c r="F135" s="18">
        <f>EOMONTH(Table13[[#This Row],[Transaction Date]],0)</f>
        <v>45322</v>
      </c>
      <c r="G135" s="20">
        <f ca="1">_xlfn.DAYS(Table13[[#This Row],[Today]],Table13[[#This Row],[Transaction Date]])</f>
        <v>655</v>
      </c>
      <c r="H135">
        <f ca="1">NETWORKDAYS.INTL(Table13[[#This Row],[Transaction Date]],Table13[[#This Row],[Today]],)</f>
        <v>470</v>
      </c>
      <c r="I135">
        <f ca="1">NETWORKDAYS(Table13[[#This Row],[Transaction Date]],Table13[[#This Row],[Today]])</f>
        <v>470</v>
      </c>
    </row>
    <row r="136" spans="1:9" x14ac:dyDescent="0.3">
      <c r="A136" t="s">
        <v>71</v>
      </c>
      <c r="B136" t="s">
        <v>72</v>
      </c>
      <c r="C136" s="10" t="s">
        <v>35</v>
      </c>
      <c r="D136" s="16">
        <f t="shared" ca="1" si="8"/>
        <v>45968</v>
      </c>
      <c r="E136" s="14">
        <f t="shared" ca="1" si="7"/>
        <v>45968.535908912039</v>
      </c>
      <c r="F136" s="18">
        <f>EOMONTH(Table13[[#This Row],[Transaction Date]],0)</f>
        <v>45322</v>
      </c>
      <c r="G136" s="20">
        <f ca="1">_xlfn.DAYS(Table13[[#This Row],[Today]],Table13[[#This Row],[Transaction Date]])</f>
        <v>655</v>
      </c>
      <c r="H136">
        <f ca="1">NETWORKDAYS.INTL(Table13[[#This Row],[Transaction Date]],Table13[[#This Row],[Today]],)</f>
        <v>470</v>
      </c>
      <c r="I136">
        <f ca="1">NETWORKDAYS(Table13[[#This Row],[Transaction Date]],Table13[[#This Row],[Today]])</f>
        <v>470</v>
      </c>
    </row>
    <row r="137" spans="1:9" x14ac:dyDescent="0.3">
      <c r="A137" t="s">
        <v>49</v>
      </c>
      <c r="B137" t="s">
        <v>50</v>
      </c>
      <c r="C137" s="10" t="s">
        <v>35</v>
      </c>
      <c r="D137" s="16">
        <f t="shared" ca="1" si="8"/>
        <v>45968</v>
      </c>
      <c r="E137" s="14">
        <f t="shared" ca="1" si="7"/>
        <v>45968.535908912039</v>
      </c>
      <c r="F137" s="18">
        <f>EOMONTH(Table13[[#This Row],[Transaction Date]],0)</f>
        <v>45322</v>
      </c>
      <c r="G137" s="20">
        <f ca="1">_xlfn.DAYS(Table13[[#This Row],[Today]],Table13[[#This Row],[Transaction Date]])</f>
        <v>655</v>
      </c>
      <c r="H137">
        <f ca="1">NETWORKDAYS.INTL(Table13[[#This Row],[Transaction Date]],Table13[[#This Row],[Today]],)</f>
        <v>470</v>
      </c>
      <c r="I137">
        <f ca="1">NETWORKDAYS(Table13[[#This Row],[Transaction Date]],Table13[[#This Row],[Today]])</f>
        <v>470</v>
      </c>
    </row>
    <row r="138" spans="1:9" x14ac:dyDescent="0.3">
      <c r="A138" t="s">
        <v>10</v>
      </c>
      <c r="B138" t="s">
        <v>11</v>
      </c>
      <c r="C138" s="10" t="s">
        <v>35</v>
      </c>
      <c r="D138" s="16">
        <f t="shared" ca="1" si="8"/>
        <v>45968</v>
      </c>
      <c r="E138" s="14">
        <f t="shared" ca="1" si="7"/>
        <v>45968.535908912039</v>
      </c>
      <c r="F138" s="18">
        <f>EOMONTH(Table13[[#This Row],[Transaction Date]],0)</f>
        <v>45322</v>
      </c>
      <c r="G138" s="20">
        <f ca="1">_xlfn.DAYS(Table13[[#This Row],[Today]],Table13[[#This Row],[Transaction Date]])</f>
        <v>655</v>
      </c>
      <c r="H138">
        <f ca="1">NETWORKDAYS.INTL(Table13[[#This Row],[Transaction Date]],Table13[[#This Row],[Today]],)</f>
        <v>470</v>
      </c>
      <c r="I138">
        <f ca="1">NETWORKDAYS(Table13[[#This Row],[Transaction Date]],Table13[[#This Row],[Today]])</f>
        <v>470</v>
      </c>
    </row>
    <row r="139" spans="1:9" x14ac:dyDescent="0.3">
      <c r="A139" t="s">
        <v>68</v>
      </c>
      <c r="B139" t="s">
        <v>69</v>
      </c>
      <c r="C139" s="10" t="s">
        <v>35</v>
      </c>
      <c r="D139" s="16">
        <f t="shared" ca="1" si="8"/>
        <v>45968</v>
      </c>
      <c r="E139" s="14">
        <f t="shared" ca="1" si="7"/>
        <v>45968.535908912039</v>
      </c>
      <c r="F139" s="18">
        <f>EOMONTH(Table13[[#This Row],[Transaction Date]],0)</f>
        <v>45322</v>
      </c>
      <c r="G139" s="20">
        <f ca="1">_xlfn.DAYS(Table13[[#This Row],[Today]],Table13[[#This Row],[Transaction Date]])</f>
        <v>655</v>
      </c>
      <c r="H139">
        <f ca="1">NETWORKDAYS.INTL(Table13[[#This Row],[Transaction Date]],Table13[[#This Row],[Today]],)</f>
        <v>470</v>
      </c>
      <c r="I139">
        <f ca="1">NETWORKDAYS(Table13[[#This Row],[Transaction Date]],Table13[[#This Row],[Today]])</f>
        <v>470</v>
      </c>
    </row>
    <row r="140" spans="1:9" x14ac:dyDescent="0.3">
      <c r="A140" t="s">
        <v>44</v>
      </c>
      <c r="B140" t="s">
        <v>45</v>
      </c>
      <c r="C140" s="10" t="s">
        <v>35</v>
      </c>
      <c r="D140" s="16">
        <f t="shared" ca="1" si="8"/>
        <v>45968</v>
      </c>
      <c r="E140" s="14">
        <f t="shared" ca="1" si="7"/>
        <v>45968.535908912039</v>
      </c>
      <c r="F140" s="18">
        <f>EOMONTH(Table13[[#This Row],[Transaction Date]],0)</f>
        <v>45322</v>
      </c>
      <c r="G140" s="20">
        <f ca="1">_xlfn.DAYS(Table13[[#This Row],[Today]],Table13[[#This Row],[Transaction Date]])</f>
        <v>655</v>
      </c>
      <c r="H140">
        <f ca="1">NETWORKDAYS.INTL(Table13[[#This Row],[Transaction Date]],Table13[[#This Row],[Today]],)</f>
        <v>470</v>
      </c>
      <c r="I140">
        <f ca="1">NETWORKDAYS(Table13[[#This Row],[Transaction Date]],Table13[[#This Row],[Today]])</f>
        <v>470</v>
      </c>
    </row>
    <row r="141" spans="1:9" x14ac:dyDescent="0.3">
      <c r="A141" t="s">
        <v>86</v>
      </c>
      <c r="B141" t="s">
        <v>87</v>
      </c>
      <c r="C141" s="10" t="s">
        <v>35</v>
      </c>
      <c r="D141" s="16">
        <f ca="1">TODAY()</f>
        <v>45968</v>
      </c>
      <c r="E141" s="14">
        <f t="shared" ca="1" si="7"/>
        <v>45968.535908912039</v>
      </c>
      <c r="F141" s="18">
        <f>EOMONTH(Table13[[#This Row],[Transaction Date]],0)</f>
        <v>45322</v>
      </c>
      <c r="G141" s="20">
        <f ca="1">_xlfn.DAYS(Table13[[#This Row],[Today]],Table13[[#This Row],[Transaction Date]])</f>
        <v>655</v>
      </c>
      <c r="H141">
        <f ca="1">NETWORKDAYS.INTL(Table13[[#This Row],[Transaction Date]],Table13[[#This Row],[Today]],)</f>
        <v>470</v>
      </c>
      <c r="I141">
        <f ca="1">NETWORKDAYS(Table13[[#This Row],[Transaction Date]],Table13[[#This Row],[Today]])</f>
        <v>470</v>
      </c>
    </row>
    <row r="142" spans="1:9" x14ac:dyDescent="0.3">
      <c r="A142" t="s">
        <v>40</v>
      </c>
      <c r="B142" t="s">
        <v>41</v>
      </c>
      <c r="C142" s="10" t="s">
        <v>35</v>
      </c>
      <c r="D142" s="16">
        <f t="shared" ca="1" si="8"/>
        <v>45968</v>
      </c>
      <c r="E142" s="14">
        <f t="shared" ca="1" si="7"/>
        <v>45968.535908912039</v>
      </c>
      <c r="F142" s="18">
        <f>EOMONTH(Table13[[#This Row],[Transaction Date]],0)</f>
        <v>45322</v>
      </c>
      <c r="G142" s="20">
        <f ca="1">_xlfn.DAYS(Table13[[#This Row],[Today]],Table13[[#This Row],[Transaction Date]])</f>
        <v>655</v>
      </c>
      <c r="H142">
        <f ca="1">NETWORKDAYS.INTL(Table13[[#This Row],[Transaction Date]],Table13[[#This Row],[Today]],)</f>
        <v>470</v>
      </c>
      <c r="I142">
        <f ca="1">NETWORKDAYS(Table13[[#This Row],[Transaction Date]],Table13[[#This Row],[Today]])</f>
        <v>470</v>
      </c>
    </row>
    <row r="143" spans="1:9" x14ac:dyDescent="0.3">
      <c r="A143" t="s">
        <v>65</v>
      </c>
      <c r="B143" t="s">
        <v>66</v>
      </c>
      <c r="C143" s="10" t="s">
        <v>35</v>
      </c>
      <c r="D143" s="16">
        <f t="shared" ca="1" si="8"/>
        <v>45968</v>
      </c>
      <c r="E143" s="14">
        <f t="shared" ca="1" si="7"/>
        <v>45968.535908912039</v>
      </c>
      <c r="F143" s="18">
        <f>EOMONTH(Table13[[#This Row],[Transaction Date]],0)</f>
        <v>45322</v>
      </c>
      <c r="G143" s="20">
        <f ca="1">_xlfn.DAYS(Table13[[#This Row],[Today]],Table13[[#This Row],[Transaction Date]])</f>
        <v>655</v>
      </c>
      <c r="H143">
        <f ca="1">NETWORKDAYS.INTL(Table13[[#This Row],[Transaction Date]],Table13[[#This Row],[Today]],)</f>
        <v>470</v>
      </c>
      <c r="I143">
        <f ca="1">NETWORKDAYS(Table13[[#This Row],[Transaction Date]],Table13[[#This Row],[Today]])</f>
        <v>470</v>
      </c>
    </row>
    <row r="144" spans="1:9" x14ac:dyDescent="0.3">
      <c r="A144" t="s">
        <v>83</v>
      </c>
      <c r="B144" t="s">
        <v>84</v>
      </c>
      <c r="C144" s="10" t="s">
        <v>35</v>
      </c>
      <c r="D144" s="16">
        <f t="shared" ca="1" si="8"/>
        <v>45968</v>
      </c>
      <c r="E144" s="14">
        <f t="shared" ca="1" si="7"/>
        <v>45968.535908912039</v>
      </c>
      <c r="F144" s="18">
        <f>EOMONTH(Table13[[#This Row],[Transaction Date]],0)</f>
        <v>45322</v>
      </c>
      <c r="G144" s="20">
        <f ca="1">_xlfn.DAYS(Table13[[#This Row],[Today]],Table13[[#This Row],[Transaction Date]])</f>
        <v>655</v>
      </c>
      <c r="H144">
        <f ca="1">NETWORKDAYS.INTL(Table13[[#This Row],[Transaction Date]],Table13[[#This Row],[Today]],)</f>
        <v>470</v>
      </c>
      <c r="I144">
        <f ca="1">NETWORKDAYS(Table13[[#This Row],[Transaction Date]],Table13[[#This Row],[Today]])</f>
        <v>470</v>
      </c>
    </row>
    <row r="145" spans="1:9" x14ac:dyDescent="0.3">
      <c r="A145" t="s">
        <v>36</v>
      </c>
      <c r="B145" t="s">
        <v>37</v>
      </c>
      <c r="C145" s="10" t="s">
        <v>35</v>
      </c>
      <c r="D145" s="16">
        <f t="shared" ca="1" si="8"/>
        <v>45968</v>
      </c>
      <c r="E145" s="14">
        <f t="shared" ca="1" si="7"/>
        <v>45968.535908912039</v>
      </c>
      <c r="F145" s="18">
        <f>EOMONTH(Table13[[#This Row],[Transaction Date]],0)</f>
        <v>45322</v>
      </c>
      <c r="G145" s="20">
        <f ca="1">_xlfn.DAYS(Table13[[#This Row],[Today]],Table13[[#This Row],[Transaction Date]])</f>
        <v>655</v>
      </c>
      <c r="H145">
        <f ca="1">NETWORKDAYS.INTL(Table13[[#This Row],[Transaction Date]],Table13[[#This Row],[Today]],)</f>
        <v>470</v>
      </c>
      <c r="I145">
        <f ca="1">NETWORKDAYS(Table13[[#This Row],[Transaction Date]],Table13[[#This Row],[Today]])</f>
        <v>470</v>
      </c>
    </row>
    <row r="146" spans="1:9" x14ac:dyDescent="0.3">
      <c r="A146" t="s">
        <v>62</v>
      </c>
      <c r="B146" t="s">
        <v>63</v>
      </c>
      <c r="C146" s="10" t="s">
        <v>35</v>
      </c>
      <c r="D146" s="16">
        <f t="shared" ca="1" si="8"/>
        <v>45968</v>
      </c>
      <c r="E146" s="14">
        <f t="shared" ca="1" si="7"/>
        <v>45968.535908912039</v>
      </c>
      <c r="F146" s="18">
        <f>EOMONTH(Table13[[#This Row],[Transaction Date]],0)</f>
        <v>45322</v>
      </c>
      <c r="G146" s="20">
        <f ca="1">_xlfn.DAYS(Table13[[#This Row],[Today]],Table13[[#This Row],[Transaction Date]])</f>
        <v>655</v>
      </c>
      <c r="H146">
        <f ca="1">NETWORKDAYS.INTL(Table13[[#This Row],[Transaction Date]],Table13[[#This Row],[Today]],)</f>
        <v>470</v>
      </c>
      <c r="I146">
        <f ca="1">NETWORKDAYS(Table13[[#This Row],[Transaction Date]],Table13[[#This Row],[Today]])</f>
        <v>470</v>
      </c>
    </row>
    <row r="147" spans="1:9" x14ac:dyDescent="0.3">
      <c r="A147" t="s">
        <v>31</v>
      </c>
      <c r="B147" t="s">
        <v>32</v>
      </c>
      <c r="C147" s="10" t="s">
        <v>35</v>
      </c>
      <c r="D147" s="16">
        <f t="shared" ca="1" si="8"/>
        <v>45968</v>
      </c>
      <c r="E147" s="14">
        <f t="shared" ca="1" si="7"/>
        <v>45968.535908912039</v>
      </c>
      <c r="F147" s="18">
        <f>EOMONTH(Table13[[#This Row],[Transaction Date]],0)</f>
        <v>45322</v>
      </c>
      <c r="G147" s="20">
        <f ca="1">_xlfn.DAYS(Table13[[#This Row],[Today]],Table13[[#This Row],[Transaction Date]])</f>
        <v>655</v>
      </c>
      <c r="H147">
        <f ca="1">NETWORKDAYS.INTL(Table13[[#This Row],[Transaction Date]],Table13[[#This Row],[Today]],)</f>
        <v>470</v>
      </c>
      <c r="I147">
        <f ca="1">NETWORKDAYS(Table13[[#This Row],[Transaction Date]],Table13[[#This Row],[Today]])</f>
        <v>470</v>
      </c>
    </row>
    <row r="148" spans="1:9" x14ac:dyDescent="0.3">
      <c r="A148" t="s">
        <v>80</v>
      </c>
      <c r="B148" t="s">
        <v>81</v>
      </c>
      <c r="C148" s="10" t="s">
        <v>35</v>
      </c>
      <c r="D148" s="16">
        <f t="shared" ca="1" si="8"/>
        <v>45968</v>
      </c>
      <c r="E148" s="14">
        <f t="shared" ca="1" si="7"/>
        <v>45968.535908912039</v>
      </c>
      <c r="F148" s="18">
        <f>EOMONTH(Table13[[#This Row],[Transaction Date]],0)</f>
        <v>45322</v>
      </c>
      <c r="G148" s="20">
        <f ca="1">_xlfn.DAYS(Table13[[#This Row],[Today]],Table13[[#This Row],[Transaction Date]])</f>
        <v>655</v>
      </c>
      <c r="H148">
        <f ca="1">NETWORKDAYS.INTL(Table13[[#This Row],[Transaction Date]],Table13[[#This Row],[Today]],)</f>
        <v>470</v>
      </c>
      <c r="I148">
        <f ca="1">NETWORKDAYS(Table13[[#This Row],[Transaction Date]],Table13[[#This Row],[Today]])</f>
        <v>470</v>
      </c>
    </row>
    <row r="149" spans="1:9" x14ac:dyDescent="0.3">
      <c r="A149" t="s">
        <v>59</v>
      </c>
      <c r="B149" t="s">
        <v>60</v>
      </c>
      <c r="C149" s="10" t="s">
        <v>35</v>
      </c>
      <c r="D149" s="16">
        <f t="shared" ca="1" si="8"/>
        <v>45968</v>
      </c>
      <c r="E149" s="14">
        <f t="shared" ca="1" si="7"/>
        <v>45968.535908912039</v>
      </c>
      <c r="F149" s="18">
        <f>EOMONTH(Table13[[#This Row],[Transaction Date]],0)</f>
        <v>45322</v>
      </c>
      <c r="G149" s="20">
        <f ca="1">_xlfn.DAYS(Table13[[#This Row],[Today]],Table13[[#This Row],[Transaction Date]])</f>
        <v>655</v>
      </c>
      <c r="H149">
        <f ca="1">NETWORKDAYS.INTL(Table13[[#This Row],[Transaction Date]],Table13[[#This Row],[Today]],)</f>
        <v>470</v>
      </c>
      <c r="I149">
        <f ca="1">NETWORKDAYS(Table13[[#This Row],[Transaction Date]],Table13[[#This Row],[Today]])</f>
        <v>470</v>
      </c>
    </row>
    <row r="150" spans="1:9" x14ac:dyDescent="0.3">
      <c r="A150" t="s">
        <v>24</v>
      </c>
      <c r="B150" t="s">
        <v>25</v>
      </c>
      <c r="C150" s="10" t="s">
        <v>35</v>
      </c>
      <c r="D150" s="16">
        <f t="shared" ca="1" si="8"/>
        <v>45968</v>
      </c>
      <c r="E150" s="14">
        <f t="shared" ca="1" si="7"/>
        <v>45968.535908912039</v>
      </c>
      <c r="F150" s="18">
        <f>EOMONTH(Table13[[#This Row],[Transaction Date]],0)</f>
        <v>45322</v>
      </c>
      <c r="G150" s="20">
        <f ca="1">_xlfn.DAYS(Table13[[#This Row],[Today]],Table13[[#This Row],[Transaction Date]])</f>
        <v>655</v>
      </c>
      <c r="H150">
        <f ca="1">NETWORKDAYS.INTL(Table13[[#This Row],[Transaction Date]],Table13[[#This Row],[Today]],)</f>
        <v>470</v>
      </c>
      <c r="I150">
        <f ca="1">NETWORKDAYS(Table13[[#This Row],[Transaction Date]],Table13[[#This Row],[Today]])</f>
        <v>470</v>
      </c>
    </row>
    <row r="151" spans="1:9" x14ac:dyDescent="0.3">
      <c r="A151" t="s">
        <v>77</v>
      </c>
      <c r="B151" t="s">
        <v>78</v>
      </c>
      <c r="C151" s="10" t="s">
        <v>35</v>
      </c>
      <c r="D151" s="16">
        <f t="shared" ca="1" si="8"/>
        <v>45968</v>
      </c>
      <c r="E151" s="14">
        <f t="shared" ca="1" si="7"/>
        <v>45968.535908912039</v>
      </c>
      <c r="F151" s="18">
        <f>EOMONTH(Table13[[#This Row],[Transaction Date]],0)</f>
        <v>45322</v>
      </c>
      <c r="G151" s="20">
        <f ca="1">_xlfn.DAYS(Table13[[#This Row],[Today]],Table13[[#This Row],[Transaction Date]])</f>
        <v>655</v>
      </c>
      <c r="H151">
        <f ca="1">NETWORKDAYS.INTL(Table13[[#This Row],[Transaction Date]],Table13[[#This Row],[Today]],)</f>
        <v>470</v>
      </c>
      <c r="I151">
        <f ca="1">NETWORKDAYS(Table13[[#This Row],[Transaction Date]],Table13[[#This Row],[Today]])</f>
        <v>470</v>
      </c>
    </row>
    <row r="152" spans="1:9" x14ac:dyDescent="0.3">
      <c r="A152" t="s">
        <v>56</v>
      </c>
      <c r="B152" t="s">
        <v>57</v>
      </c>
      <c r="C152" s="10" t="s">
        <v>35</v>
      </c>
      <c r="D152" s="16">
        <f t="shared" ca="1" si="8"/>
        <v>45968</v>
      </c>
      <c r="E152" s="14">
        <f t="shared" ca="1" si="7"/>
        <v>45968.535908912039</v>
      </c>
      <c r="F152" s="18">
        <f>EOMONTH(Table13[[#This Row],[Transaction Date]],0)</f>
        <v>45322</v>
      </c>
      <c r="G152" s="20">
        <f ca="1">_xlfn.DAYS(Table13[[#This Row],[Today]],Table13[[#This Row],[Transaction Date]])</f>
        <v>655</v>
      </c>
      <c r="H152">
        <f ca="1">NETWORKDAYS.INTL(Table13[[#This Row],[Transaction Date]],Table13[[#This Row],[Today]],)</f>
        <v>470</v>
      </c>
      <c r="I152">
        <f ca="1">NETWORKDAYS(Table13[[#This Row],[Transaction Date]],Table13[[#This Row],[Today]])</f>
        <v>470</v>
      </c>
    </row>
    <row r="153" spans="1:9" x14ac:dyDescent="0.3">
      <c r="A153" t="s">
        <v>74</v>
      </c>
      <c r="B153" t="s">
        <v>75</v>
      </c>
      <c r="C153" s="10" t="s">
        <v>35</v>
      </c>
      <c r="D153" s="16">
        <f t="shared" ca="1" si="8"/>
        <v>45968</v>
      </c>
      <c r="E153" s="14">
        <f t="shared" ca="1" si="7"/>
        <v>45968.535908912039</v>
      </c>
      <c r="F153" s="18">
        <f>EOMONTH(Table13[[#This Row],[Transaction Date]],0)</f>
        <v>45322</v>
      </c>
      <c r="G153" s="20">
        <f ca="1">_xlfn.DAYS(Table13[[#This Row],[Today]],Table13[[#This Row],[Transaction Date]])</f>
        <v>655</v>
      </c>
      <c r="H153">
        <f ca="1">NETWORKDAYS.INTL(Table13[[#This Row],[Transaction Date]],Table13[[#This Row],[Today]],)</f>
        <v>470</v>
      </c>
      <c r="I153">
        <f ca="1">NETWORKDAYS(Table13[[#This Row],[Transaction Date]],Table13[[#This Row],[Today]])</f>
        <v>470</v>
      </c>
    </row>
    <row r="154" spans="1:9" x14ac:dyDescent="0.3">
      <c r="A154" t="s">
        <v>17</v>
      </c>
      <c r="B154" t="s">
        <v>18</v>
      </c>
      <c r="C154" s="10" t="s">
        <v>35</v>
      </c>
      <c r="D154" s="16">
        <f t="shared" ca="1" si="8"/>
        <v>45968</v>
      </c>
      <c r="E154" s="14">
        <f t="shared" ca="1" si="7"/>
        <v>45968.535908912039</v>
      </c>
      <c r="F154" s="18">
        <f>EOMONTH(Table13[[#This Row],[Transaction Date]],0)</f>
        <v>45322</v>
      </c>
      <c r="G154" s="20">
        <f ca="1">_xlfn.DAYS(Table13[[#This Row],[Today]],Table13[[#This Row],[Transaction Date]])</f>
        <v>655</v>
      </c>
      <c r="H154">
        <f ca="1">NETWORKDAYS.INTL(Table13[[#This Row],[Transaction Date]],Table13[[#This Row],[Today]],)</f>
        <v>470</v>
      </c>
      <c r="I154">
        <f ca="1">NETWORKDAYS(Table13[[#This Row],[Transaction Date]],Table13[[#This Row],[Today]])</f>
        <v>470</v>
      </c>
    </row>
    <row r="155" spans="1:9" x14ac:dyDescent="0.3">
      <c r="A155" t="s">
        <v>53</v>
      </c>
      <c r="B155" t="s">
        <v>54</v>
      </c>
      <c r="C155" s="10" t="s">
        <v>35</v>
      </c>
      <c r="D155" s="16">
        <f t="shared" ca="1" si="8"/>
        <v>45968</v>
      </c>
      <c r="E155" s="14">
        <f t="shared" ca="1" si="7"/>
        <v>45968.535908912039</v>
      </c>
      <c r="F155" s="18">
        <f>EOMONTH(Table13[[#This Row],[Transaction Date]],0)</f>
        <v>45322</v>
      </c>
      <c r="G155" s="20">
        <f ca="1">_xlfn.DAYS(Table13[[#This Row],[Today]],Table13[[#This Row],[Transaction Date]])</f>
        <v>655</v>
      </c>
      <c r="H155">
        <f ca="1">NETWORKDAYS.INTL(Table13[[#This Row],[Transaction Date]],Table13[[#This Row],[Today]],)</f>
        <v>470</v>
      </c>
      <c r="I155">
        <f ca="1">NETWORKDAYS(Table13[[#This Row],[Transaction Date]],Table13[[#This Row],[Today]])</f>
        <v>470</v>
      </c>
    </row>
    <row r="156" spans="1:9" x14ac:dyDescent="0.3">
      <c r="A156" t="s">
        <v>71</v>
      </c>
      <c r="B156" t="s">
        <v>72</v>
      </c>
      <c r="C156" s="10" t="s">
        <v>35</v>
      </c>
      <c r="D156" s="16">
        <f t="shared" ca="1" si="8"/>
        <v>45968</v>
      </c>
      <c r="E156" s="14">
        <f t="shared" ca="1" si="7"/>
        <v>45968.535908912039</v>
      </c>
      <c r="F156" s="18">
        <f>EOMONTH(Table13[[#This Row],[Transaction Date]],0)</f>
        <v>45322</v>
      </c>
      <c r="G156" s="20">
        <f ca="1">_xlfn.DAYS(Table13[[#This Row],[Today]],Table13[[#This Row],[Transaction Date]])</f>
        <v>655</v>
      </c>
      <c r="H156">
        <f ca="1">NETWORKDAYS.INTL(Table13[[#This Row],[Transaction Date]],Table13[[#This Row],[Today]],)</f>
        <v>470</v>
      </c>
      <c r="I156">
        <f ca="1">NETWORKDAYS(Table13[[#This Row],[Transaction Date]],Table13[[#This Row],[Today]])</f>
        <v>470</v>
      </c>
    </row>
    <row r="157" spans="1:9" x14ac:dyDescent="0.3">
      <c r="A157" t="s">
        <v>49</v>
      </c>
      <c r="B157" t="s">
        <v>50</v>
      </c>
      <c r="C157" s="10" t="s">
        <v>35</v>
      </c>
      <c r="D157" s="16">
        <f t="shared" ca="1" si="8"/>
        <v>45968</v>
      </c>
      <c r="E157" s="14">
        <f t="shared" ca="1" si="7"/>
        <v>45968.535908912039</v>
      </c>
      <c r="F157" s="18">
        <f>EOMONTH(Table13[[#This Row],[Transaction Date]],0)</f>
        <v>45322</v>
      </c>
      <c r="G157" s="20">
        <f ca="1">_xlfn.DAYS(Table13[[#This Row],[Today]],Table13[[#This Row],[Transaction Date]])</f>
        <v>655</v>
      </c>
      <c r="H157">
        <f ca="1">NETWORKDAYS.INTL(Table13[[#This Row],[Transaction Date]],Table13[[#This Row],[Today]],)</f>
        <v>470</v>
      </c>
      <c r="I157">
        <f ca="1">NETWORKDAYS(Table13[[#This Row],[Transaction Date]],Table13[[#This Row],[Today]])</f>
        <v>470</v>
      </c>
    </row>
    <row r="158" spans="1:9" x14ac:dyDescent="0.3">
      <c r="A158" t="s">
        <v>10</v>
      </c>
      <c r="B158" t="s">
        <v>11</v>
      </c>
      <c r="C158" s="10" t="s">
        <v>35</v>
      </c>
      <c r="D158" s="16">
        <f t="shared" ca="1" si="8"/>
        <v>45968</v>
      </c>
      <c r="E158" s="14">
        <f t="shared" ca="1" si="7"/>
        <v>45968.535908912039</v>
      </c>
      <c r="F158" s="18">
        <f>EOMONTH(Table13[[#This Row],[Transaction Date]],0)</f>
        <v>45322</v>
      </c>
      <c r="G158" s="20">
        <f ca="1">_xlfn.DAYS(Table13[[#This Row],[Today]],Table13[[#This Row],[Transaction Date]])</f>
        <v>655</v>
      </c>
      <c r="H158">
        <f ca="1">NETWORKDAYS.INTL(Table13[[#This Row],[Transaction Date]],Table13[[#This Row],[Today]],)</f>
        <v>470</v>
      </c>
      <c r="I158">
        <f ca="1">NETWORKDAYS(Table13[[#This Row],[Transaction Date]],Table13[[#This Row],[Today]])</f>
        <v>470</v>
      </c>
    </row>
    <row r="159" spans="1:9" x14ac:dyDescent="0.3">
      <c r="A159" t="s">
        <v>68</v>
      </c>
      <c r="B159" t="s">
        <v>69</v>
      </c>
      <c r="C159" s="10" t="s">
        <v>35</v>
      </c>
      <c r="D159" s="16">
        <f t="shared" ca="1" si="8"/>
        <v>45968</v>
      </c>
      <c r="E159" s="14">
        <f t="shared" ca="1" si="7"/>
        <v>45968.535908912039</v>
      </c>
      <c r="F159" s="18">
        <f>EOMONTH(Table13[[#This Row],[Transaction Date]],0)</f>
        <v>45322</v>
      </c>
      <c r="G159" s="20">
        <f ca="1">_xlfn.DAYS(Table13[[#This Row],[Today]],Table13[[#This Row],[Transaction Date]])</f>
        <v>655</v>
      </c>
      <c r="H159">
        <f ca="1">NETWORKDAYS.INTL(Table13[[#This Row],[Transaction Date]],Table13[[#This Row],[Today]],)</f>
        <v>470</v>
      </c>
      <c r="I159">
        <f ca="1">NETWORKDAYS(Table13[[#This Row],[Transaction Date]],Table13[[#This Row],[Today]])</f>
        <v>470</v>
      </c>
    </row>
    <row r="160" spans="1:9" x14ac:dyDescent="0.3">
      <c r="A160" t="s">
        <v>44</v>
      </c>
      <c r="B160" t="s">
        <v>45</v>
      </c>
      <c r="C160" s="10" t="s">
        <v>35</v>
      </c>
      <c r="D160" s="16">
        <f t="shared" ca="1" si="8"/>
        <v>45968</v>
      </c>
      <c r="E160" s="14">
        <f t="shared" ca="1" si="7"/>
        <v>45968.535908912039</v>
      </c>
      <c r="F160" s="18">
        <f>EOMONTH(Table13[[#This Row],[Transaction Date]],0)</f>
        <v>45322</v>
      </c>
      <c r="G160" s="20">
        <f ca="1">_xlfn.DAYS(Table13[[#This Row],[Today]],Table13[[#This Row],[Transaction Date]])</f>
        <v>655</v>
      </c>
      <c r="H160">
        <f ca="1">NETWORKDAYS.INTL(Table13[[#This Row],[Transaction Date]],Table13[[#This Row],[Today]],)</f>
        <v>470</v>
      </c>
      <c r="I160">
        <f ca="1">NETWORKDAYS(Table13[[#This Row],[Transaction Date]],Table13[[#This Row],[Today]])</f>
        <v>470</v>
      </c>
    </row>
    <row r="161" spans="1:9" x14ac:dyDescent="0.3">
      <c r="A161" t="s">
        <v>86</v>
      </c>
      <c r="B161" t="s">
        <v>87</v>
      </c>
      <c r="C161" s="10" t="s">
        <v>35</v>
      </c>
      <c r="D161" s="16">
        <f ca="1">TODAY()</f>
        <v>45968</v>
      </c>
      <c r="E161" s="14">
        <f t="shared" ca="1" si="7"/>
        <v>45968.535908912039</v>
      </c>
      <c r="F161" s="18">
        <f>EOMONTH(Table13[[#This Row],[Transaction Date]],0)</f>
        <v>45322</v>
      </c>
      <c r="G161" s="20">
        <f ca="1">_xlfn.DAYS(Table13[[#This Row],[Today]],Table13[[#This Row],[Transaction Date]])</f>
        <v>655</v>
      </c>
      <c r="H161">
        <f ca="1">NETWORKDAYS.INTL(Table13[[#This Row],[Transaction Date]],Table13[[#This Row],[Today]],)</f>
        <v>470</v>
      </c>
      <c r="I161">
        <f ca="1">NETWORKDAYS(Table13[[#This Row],[Transaction Date]],Table13[[#This Row],[Today]])</f>
        <v>470</v>
      </c>
    </row>
    <row r="162" spans="1:9" x14ac:dyDescent="0.3">
      <c r="A162" t="s">
        <v>40</v>
      </c>
      <c r="B162" t="s">
        <v>41</v>
      </c>
      <c r="C162" s="10" t="s">
        <v>35</v>
      </c>
      <c r="D162" s="16">
        <f t="shared" ref="D162:D180" ca="1" si="9">TODAY()</f>
        <v>45968</v>
      </c>
      <c r="E162" s="14">
        <f t="shared" ca="1" si="7"/>
        <v>45968.535908912039</v>
      </c>
      <c r="F162" s="18">
        <f>EOMONTH(Table13[[#This Row],[Transaction Date]],0)</f>
        <v>45322</v>
      </c>
      <c r="G162" s="20">
        <f ca="1">_xlfn.DAYS(Table13[[#This Row],[Today]],Table13[[#This Row],[Transaction Date]])</f>
        <v>655</v>
      </c>
      <c r="H162">
        <f ca="1">NETWORKDAYS.INTL(Table13[[#This Row],[Transaction Date]],Table13[[#This Row],[Today]],)</f>
        <v>470</v>
      </c>
      <c r="I162">
        <f ca="1">NETWORKDAYS(Table13[[#This Row],[Transaction Date]],Table13[[#This Row],[Today]])</f>
        <v>470</v>
      </c>
    </row>
    <row r="163" spans="1:9" x14ac:dyDescent="0.3">
      <c r="A163" t="s">
        <v>65</v>
      </c>
      <c r="B163" t="s">
        <v>66</v>
      </c>
      <c r="C163" s="10" t="s">
        <v>35</v>
      </c>
      <c r="D163" s="16">
        <f t="shared" ca="1" si="9"/>
        <v>45968</v>
      </c>
      <c r="E163" s="14">
        <f t="shared" ca="1" si="7"/>
        <v>45968.535908912039</v>
      </c>
      <c r="F163" s="18">
        <f>EOMONTH(Table13[[#This Row],[Transaction Date]],0)</f>
        <v>45322</v>
      </c>
      <c r="G163" s="20">
        <f ca="1">_xlfn.DAYS(Table13[[#This Row],[Today]],Table13[[#This Row],[Transaction Date]])</f>
        <v>655</v>
      </c>
      <c r="H163">
        <f ca="1">NETWORKDAYS.INTL(Table13[[#This Row],[Transaction Date]],Table13[[#This Row],[Today]],)</f>
        <v>470</v>
      </c>
      <c r="I163">
        <f ca="1">NETWORKDAYS(Table13[[#This Row],[Transaction Date]],Table13[[#This Row],[Today]])</f>
        <v>470</v>
      </c>
    </row>
    <row r="164" spans="1:9" x14ac:dyDescent="0.3">
      <c r="A164" t="s">
        <v>83</v>
      </c>
      <c r="B164" t="s">
        <v>84</v>
      </c>
      <c r="C164" s="10" t="s">
        <v>35</v>
      </c>
      <c r="D164" s="16">
        <f t="shared" ca="1" si="9"/>
        <v>45968</v>
      </c>
      <c r="E164" s="14">
        <f t="shared" ca="1" si="7"/>
        <v>45968.535908912039</v>
      </c>
      <c r="F164" s="18">
        <f>EOMONTH(Table13[[#This Row],[Transaction Date]],0)</f>
        <v>45322</v>
      </c>
      <c r="G164" s="20">
        <f ca="1">_xlfn.DAYS(Table13[[#This Row],[Today]],Table13[[#This Row],[Transaction Date]])</f>
        <v>655</v>
      </c>
      <c r="H164">
        <f ca="1">NETWORKDAYS.INTL(Table13[[#This Row],[Transaction Date]],Table13[[#This Row],[Today]],)</f>
        <v>470</v>
      </c>
      <c r="I164">
        <f ca="1">NETWORKDAYS(Table13[[#This Row],[Transaction Date]],Table13[[#This Row],[Today]])</f>
        <v>470</v>
      </c>
    </row>
    <row r="165" spans="1:9" x14ac:dyDescent="0.3">
      <c r="A165" t="s">
        <v>36</v>
      </c>
      <c r="B165" t="s">
        <v>37</v>
      </c>
      <c r="C165" s="10" t="s">
        <v>35</v>
      </c>
      <c r="D165" s="16">
        <f t="shared" ca="1" si="9"/>
        <v>45968</v>
      </c>
      <c r="E165" s="14">
        <f t="shared" ca="1" si="7"/>
        <v>45968.535908912039</v>
      </c>
      <c r="F165" s="18">
        <f>EOMONTH(Table13[[#This Row],[Transaction Date]],0)</f>
        <v>45322</v>
      </c>
      <c r="G165" s="20">
        <f ca="1">_xlfn.DAYS(Table13[[#This Row],[Today]],Table13[[#This Row],[Transaction Date]])</f>
        <v>655</v>
      </c>
      <c r="H165">
        <f ca="1">NETWORKDAYS.INTL(Table13[[#This Row],[Transaction Date]],Table13[[#This Row],[Today]],)</f>
        <v>470</v>
      </c>
      <c r="I165">
        <f ca="1">NETWORKDAYS(Table13[[#This Row],[Transaction Date]],Table13[[#This Row],[Today]])</f>
        <v>470</v>
      </c>
    </row>
    <row r="166" spans="1:9" x14ac:dyDescent="0.3">
      <c r="A166" t="s">
        <v>62</v>
      </c>
      <c r="B166" t="s">
        <v>63</v>
      </c>
      <c r="C166" s="10" t="s">
        <v>35</v>
      </c>
      <c r="D166" s="16">
        <f t="shared" ca="1" si="9"/>
        <v>45968</v>
      </c>
      <c r="E166" s="14">
        <f t="shared" ca="1" si="7"/>
        <v>45968.535908912039</v>
      </c>
      <c r="F166" s="18">
        <f>EOMONTH(Table13[[#This Row],[Transaction Date]],0)</f>
        <v>45322</v>
      </c>
      <c r="G166" s="20">
        <f ca="1">_xlfn.DAYS(Table13[[#This Row],[Today]],Table13[[#This Row],[Transaction Date]])</f>
        <v>655</v>
      </c>
      <c r="H166">
        <f ca="1">NETWORKDAYS.INTL(Table13[[#This Row],[Transaction Date]],Table13[[#This Row],[Today]],)</f>
        <v>470</v>
      </c>
      <c r="I166">
        <f ca="1">NETWORKDAYS(Table13[[#This Row],[Transaction Date]],Table13[[#This Row],[Today]])</f>
        <v>470</v>
      </c>
    </row>
    <row r="167" spans="1:9" x14ac:dyDescent="0.3">
      <c r="A167" t="s">
        <v>31</v>
      </c>
      <c r="B167" t="s">
        <v>32</v>
      </c>
      <c r="C167" s="10" t="s">
        <v>35</v>
      </c>
      <c r="D167" s="16">
        <f t="shared" ca="1" si="9"/>
        <v>45968</v>
      </c>
      <c r="E167" s="14">
        <f t="shared" ca="1" si="7"/>
        <v>45968.535908912039</v>
      </c>
      <c r="F167" s="18">
        <f>EOMONTH(Table13[[#This Row],[Transaction Date]],0)</f>
        <v>45322</v>
      </c>
      <c r="G167" s="20">
        <f ca="1">_xlfn.DAYS(Table13[[#This Row],[Today]],Table13[[#This Row],[Transaction Date]])</f>
        <v>655</v>
      </c>
      <c r="H167">
        <f ca="1">NETWORKDAYS.INTL(Table13[[#This Row],[Transaction Date]],Table13[[#This Row],[Today]],)</f>
        <v>470</v>
      </c>
      <c r="I167">
        <f ca="1">NETWORKDAYS(Table13[[#This Row],[Transaction Date]],Table13[[#This Row],[Today]])</f>
        <v>470</v>
      </c>
    </row>
    <row r="168" spans="1:9" x14ac:dyDescent="0.3">
      <c r="A168" t="s">
        <v>80</v>
      </c>
      <c r="B168" t="s">
        <v>81</v>
      </c>
      <c r="C168" s="10" t="s">
        <v>35</v>
      </c>
      <c r="D168" s="16">
        <f t="shared" ca="1" si="9"/>
        <v>45968</v>
      </c>
      <c r="E168" s="14">
        <f t="shared" ca="1" si="7"/>
        <v>45968.535908912039</v>
      </c>
      <c r="F168" s="18">
        <f>EOMONTH(Table13[[#This Row],[Transaction Date]],0)</f>
        <v>45322</v>
      </c>
      <c r="G168" s="20">
        <f ca="1">_xlfn.DAYS(Table13[[#This Row],[Today]],Table13[[#This Row],[Transaction Date]])</f>
        <v>655</v>
      </c>
      <c r="H168">
        <f ca="1">NETWORKDAYS.INTL(Table13[[#This Row],[Transaction Date]],Table13[[#This Row],[Today]],)</f>
        <v>470</v>
      </c>
      <c r="I168">
        <f ca="1">NETWORKDAYS(Table13[[#This Row],[Transaction Date]],Table13[[#This Row],[Today]])</f>
        <v>470</v>
      </c>
    </row>
    <row r="169" spans="1:9" x14ac:dyDescent="0.3">
      <c r="A169" t="s">
        <v>59</v>
      </c>
      <c r="B169" t="s">
        <v>60</v>
      </c>
      <c r="C169" s="10" t="s">
        <v>35</v>
      </c>
      <c r="D169" s="16">
        <f t="shared" ca="1" si="9"/>
        <v>45968</v>
      </c>
      <c r="E169" s="14">
        <f t="shared" ref="E169:E232" ca="1" si="10">NOW()</f>
        <v>45968.535908912039</v>
      </c>
      <c r="F169" s="18">
        <f>EOMONTH(Table13[[#This Row],[Transaction Date]],0)</f>
        <v>45322</v>
      </c>
      <c r="G169" s="20">
        <f ca="1">_xlfn.DAYS(Table13[[#This Row],[Today]],Table13[[#This Row],[Transaction Date]])</f>
        <v>655</v>
      </c>
      <c r="H169">
        <f ca="1">NETWORKDAYS.INTL(Table13[[#This Row],[Transaction Date]],Table13[[#This Row],[Today]],)</f>
        <v>470</v>
      </c>
      <c r="I169">
        <f ca="1">NETWORKDAYS(Table13[[#This Row],[Transaction Date]],Table13[[#This Row],[Today]])</f>
        <v>470</v>
      </c>
    </row>
    <row r="170" spans="1:9" x14ac:dyDescent="0.3">
      <c r="A170" t="s">
        <v>24</v>
      </c>
      <c r="B170" t="s">
        <v>25</v>
      </c>
      <c r="C170" s="10" t="s">
        <v>35</v>
      </c>
      <c r="D170" s="16">
        <f t="shared" ca="1" si="9"/>
        <v>45968</v>
      </c>
      <c r="E170" s="14">
        <f t="shared" ca="1" si="10"/>
        <v>45968.535908912039</v>
      </c>
      <c r="F170" s="18">
        <f>EOMONTH(Table13[[#This Row],[Transaction Date]],0)</f>
        <v>45322</v>
      </c>
      <c r="G170" s="20">
        <f ca="1">_xlfn.DAYS(Table13[[#This Row],[Today]],Table13[[#This Row],[Transaction Date]])</f>
        <v>655</v>
      </c>
      <c r="H170">
        <f ca="1">NETWORKDAYS.INTL(Table13[[#This Row],[Transaction Date]],Table13[[#This Row],[Today]],)</f>
        <v>470</v>
      </c>
      <c r="I170">
        <f ca="1">NETWORKDAYS(Table13[[#This Row],[Transaction Date]],Table13[[#This Row],[Today]])</f>
        <v>470</v>
      </c>
    </row>
    <row r="171" spans="1:9" x14ac:dyDescent="0.3">
      <c r="A171" t="s">
        <v>77</v>
      </c>
      <c r="B171" t="s">
        <v>78</v>
      </c>
      <c r="C171" s="10" t="s">
        <v>35</v>
      </c>
      <c r="D171" s="16">
        <f t="shared" ca="1" si="9"/>
        <v>45968</v>
      </c>
      <c r="E171" s="14">
        <f t="shared" ca="1" si="10"/>
        <v>45968.535908912039</v>
      </c>
      <c r="F171" s="18">
        <f>EOMONTH(Table13[[#This Row],[Transaction Date]],0)</f>
        <v>45322</v>
      </c>
      <c r="G171" s="20">
        <f ca="1">_xlfn.DAYS(Table13[[#This Row],[Today]],Table13[[#This Row],[Transaction Date]])</f>
        <v>655</v>
      </c>
      <c r="H171">
        <f ca="1">NETWORKDAYS.INTL(Table13[[#This Row],[Transaction Date]],Table13[[#This Row],[Today]],)</f>
        <v>470</v>
      </c>
      <c r="I171">
        <f ca="1">NETWORKDAYS(Table13[[#This Row],[Transaction Date]],Table13[[#This Row],[Today]])</f>
        <v>470</v>
      </c>
    </row>
    <row r="172" spans="1:9" x14ac:dyDescent="0.3">
      <c r="A172" t="s">
        <v>56</v>
      </c>
      <c r="B172" t="s">
        <v>57</v>
      </c>
      <c r="C172" s="10" t="s">
        <v>35</v>
      </c>
      <c r="D172" s="16">
        <f t="shared" ca="1" si="9"/>
        <v>45968</v>
      </c>
      <c r="E172" s="14">
        <f t="shared" ca="1" si="10"/>
        <v>45968.535908912039</v>
      </c>
      <c r="F172" s="18">
        <f>EOMONTH(Table13[[#This Row],[Transaction Date]],0)</f>
        <v>45322</v>
      </c>
      <c r="G172" s="20">
        <f ca="1">_xlfn.DAYS(Table13[[#This Row],[Today]],Table13[[#This Row],[Transaction Date]])</f>
        <v>655</v>
      </c>
      <c r="H172">
        <f ca="1">NETWORKDAYS.INTL(Table13[[#This Row],[Transaction Date]],Table13[[#This Row],[Today]],)</f>
        <v>470</v>
      </c>
      <c r="I172">
        <f ca="1">NETWORKDAYS(Table13[[#This Row],[Transaction Date]],Table13[[#This Row],[Today]])</f>
        <v>470</v>
      </c>
    </row>
    <row r="173" spans="1:9" x14ac:dyDescent="0.3">
      <c r="A173" t="s">
        <v>74</v>
      </c>
      <c r="B173" t="s">
        <v>75</v>
      </c>
      <c r="C173" s="10" t="s">
        <v>35</v>
      </c>
      <c r="D173" s="16">
        <f t="shared" ca="1" si="9"/>
        <v>45968</v>
      </c>
      <c r="E173" s="14">
        <f t="shared" ca="1" si="10"/>
        <v>45968.535908912039</v>
      </c>
      <c r="F173" s="18">
        <f>EOMONTH(Table13[[#This Row],[Transaction Date]],0)</f>
        <v>45322</v>
      </c>
      <c r="G173" s="20">
        <f ca="1">_xlfn.DAYS(Table13[[#This Row],[Today]],Table13[[#This Row],[Transaction Date]])</f>
        <v>655</v>
      </c>
      <c r="H173">
        <f ca="1">NETWORKDAYS.INTL(Table13[[#This Row],[Transaction Date]],Table13[[#This Row],[Today]],)</f>
        <v>470</v>
      </c>
      <c r="I173">
        <f ca="1">NETWORKDAYS(Table13[[#This Row],[Transaction Date]],Table13[[#This Row],[Today]])</f>
        <v>470</v>
      </c>
    </row>
    <row r="174" spans="1:9" x14ac:dyDescent="0.3">
      <c r="A174" t="s">
        <v>17</v>
      </c>
      <c r="B174" t="s">
        <v>18</v>
      </c>
      <c r="C174" s="10" t="s">
        <v>35</v>
      </c>
      <c r="D174" s="16">
        <f t="shared" ca="1" si="9"/>
        <v>45968</v>
      </c>
      <c r="E174" s="14">
        <f t="shared" ca="1" si="10"/>
        <v>45968.535908912039</v>
      </c>
      <c r="F174" s="18">
        <f>EOMONTH(Table13[[#This Row],[Transaction Date]],0)</f>
        <v>45322</v>
      </c>
      <c r="G174" s="20">
        <f ca="1">_xlfn.DAYS(Table13[[#This Row],[Today]],Table13[[#This Row],[Transaction Date]])</f>
        <v>655</v>
      </c>
      <c r="H174">
        <f ca="1">NETWORKDAYS.INTL(Table13[[#This Row],[Transaction Date]],Table13[[#This Row],[Today]],)</f>
        <v>470</v>
      </c>
      <c r="I174">
        <f ca="1">NETWORKDAYS(Table13[[#This Row],[Transaction Date]],Table13[[#This Row],[Today]])</f>
        <v>470</v>
      </c>
    </row>
    <row r="175" spans="1:9" x14ac:dyDescent="0.3">
      <c r="A175" t="s">
        <v>53</v>
      </c>
      <c r="B175" t="s">
        <v>54</v>
      </c>
      <c r="C175" s="10" t="s">
        <v>35</v>
      </c>
      <c r="D175" s="16">
        <f t="shared" ca="1" si="9"/>
        <v>45968</v>
      </c>
      <c r="E175" s="14">
        <f t="shared" ca="1" si="10"/>
        <v>45968.535908912039</v>
      </c>
      <c r="F175" s="18">
        <f>EOMONTH(Table13[[#This Row],[Transaction Date]],0)</f>
        <v>45322</v>
      </c>
      <c r="G175" s="20">
        <f ca="1">_xlfn.DAYS(Table13[[#This Row],[Today]],Table13[[#This Row],[Transaction Date]])</f>
        <v>655</v>
      </c>
      <c r="H175">
        <f ca="1">NETWORKDAYS.INTL(Table13[[#This Row],[Transaction Date]],Table13[[#This Row],[Today]],)</f>
        <v>470</v>
      </c>
      <c r="I175">
        <f ca="1">NETWORKDAYS(Table13[[#This Row],[Transaction Date]],Table13[[#This Row],[Today]])</f>
        <v>470</v>
      </c>
    </row>
    <row r="176" spans="1:9" x14ac:dyDescent="0.3">
      <c r="A176" t="s">
        <v>71</v>
      </c>
      <c r="B176" t="s">
        <v>72</v>
      </c>
      <c r="C176" s="10" t="s">
        <v>35</v>
      </c>
      <c r="D176" s="16">
        <f t="shared" ca="1" si="9"/>
        <v>45968</v>
      </c>
      <c r="E176" s="14">
        <f t="shared" ca="1" si="10"/>
        <v>45968.535908912039</v>
      </c>
      <c r="F176" s="18">
        <f>EOMONTH(Table13[[#This Row],[Transaction Date]],0)</f>
        <v>45322</v>
      </c>
      <c r="G176" s="20">
        <f ca="1">_xlfn.DAYS(Table13[[#This Row],[Today]],Table13[[#This Row],[Transaction Date]])</f>
        <v>655</v>
      </c>
      <c r="H176">
        <f ca="1">NETWORKDAYS.INTL(Table13[[#This Row],[Transaction Date]],Table13[[#This Row],[Today]],)</f>
        <v>470</v>
      </c>
      <c r="I176">
        <f ca="1">NETWORKDAYS(Table13[[#This Row],[Transaction Date]],Table13[[#This Row],[Today]])</f>
        <v>470</v>
      </c>
    </row>
    <row r="177" spans="1:9" x14ac:dyDescent="0.3">
      <c r="A177" t="s">
        <v>49</v>
      </c>
      <c r="B177" t="s">
        <v>50</v>
      </c>
      <c r="C177" s="10" t="s">
        <v>35</v>
      </c>
      <c r="D177" s="16">
        <f t="shared" ca="1" si="9"/>
        <v>45968</v>
      </c>
      <c r="E177" s="14">
        <f t="shared" ca="1" si="10"/>
        <v>45968.535908912039</v>
      </c>
      <c r="F177" s="18">
        <f>EOMONTH(Table13[[#This Row],[Transaction Date]],0)</f>
        <v>45322</v>
      </c>
      <c r="G177" s="20">
        <f ca="1">_xlfn.DAYS(Table13[[#This Row],[Today]],Table13[[#This Row],[Transaction Date]])</f>
        <v>655</v>
      </c>
      <c r="H177">
        <f ca="1">NETWORKDAYS.INTL(Table13[[#This Row],[Transaction Date]],Table13[[#This Row],[Today]],)</f>
        <v>470</v>
      </c>
      <c r="I177">
        <f ca="1">NETWORKDAYS(Table13[[#This Row],[Transaction Date]],Table13[[#This Row],[Today]])</f>
        <v>470</v>
      </c>
    </row>
    <row r="178" spans="1:9" x14ac:dyDescent="0.3">
      <c r="A178" t="s">
        <v>10</v>
      </c>
      <c r="B178" t="s">
        <v>11</v>
      </c>
      <c r="C178" s="10" t="s">
        <v>35</v>
      </c>
      <c r="D178" s="16">
        <f t="shared" ca="1" si="9"/>
        <v>45968</v>
      </c>
      <c r="E178" s="14">
        <f t="shared" ca="1" si="10"/>
        <v>45968.535908912039</v>
      </c>
      <c r="F178" s="18">
        <f>EOMONTH(Table13[[#This Row],[Transaction Date]],0)</f>
        <v>45322</v>
      </c>
      <c r="G178" s="20">
        <f ca="1">_xlfn.DAYS(Table13[[#This Row],[Today]],Table13[[#This Row],[Transaction Date]])</f>
        <v>655</v>
      </c>
      <c r="H178">
        <f ca="1">NETWORKDAYS.INTL(Table13[[#This Row],[Transaction Date]],Table13[[#This Row],[Today]],)</f>
        <v>470</v>
      </c>
      <c r="I178">
        <f ca="1">NETWORKDAYS(Table13[[#This Row],[Transaction Date]],Table13[[#This Row],[Today]])</f>
        <v>470</v>
      </c>
    </row>
    <row r="179" spans="1:9" x14ac:dyDescent="0.3">
      <c r="A179" t="s">
        <v>68</v>
      </c>
      <c r="B179" t="s">
        <v>69</v>
      </c>
      <c r="C179" s="10" t="s">
        <v>35</v>
      </c>
      <c r="D179" s="16">
        <f t="shared" ca="1" si="9"/>
        <v>45968</v>
      </c>
      <c r="E179" s="14">
        <f t="shared" ca="1" si="10"/>
        <v>45968.535908912039</v>
      </c>
      <c r="F179" s="18">
        <f>EOMONTH(Table13[[#This Row],[Transaction Date]],0)</f>
        <v>45322</v>
      </c>
      <c r="G179" s="20">
        <f ca="1">_xlfn.DAYS(Table13[[#This Row],[Today]],Table13[[#This Row],[Transaction Date]])</f>
        <v>655</v>
      </c>
      <c r="H179">
        <f ca="1">NETWORKDAYS.INTL(Table13[[#This Row],[Transaction Date]],Table13[[#This Row],[Today]],)</f>
        <v>470</v>
      </c>
      <c r="I179">
        <f ca="1">NETWORKDAYS(Table13[[#This Row],[Transaction Date]],Table13[[#This Row],[Today]])</f>
        <v>470</v>
      </c>
    </row>
    <row r="180" spans="1:9" x14ac:dyDescent="0.3">
      <c r="A180" t="s">
        <v>44</v>
      </c>
      <c r="B180" t="s">
        <v>45</v>
      </c>
      <c r="C180" s="10" t="s">
        <v>35</v>
      </c>
      <c r="D180" s="16">
        <f t="shared" ca="1" si="9"/>
        <v>45968</v>
      </c>
      <c r="E180" s="14">
        <f t="shared" ca="1" si="10"/>
        <v>45968.535908912039</v>
      </c>
      <c r="F180" s="18">
        <f>EOMONTH(Table13[[#This Row],[Transaction Date]],0)</f>
        <v>45322</v>
      </c>
      <c r="G180" s="20">
        <f ca="1">_xlfn.DAYS(Table13[[#This Row],[Today]],Table13[[#This Row],[Transaction Date]])</f>
        <v>655</v>
      </c>
      <c r="H180">
        <f ca="1">NETWORKDAYS.INTL(Table13[[#This Row],[Transaction Date]],Table13[[#This Row],[Today]],)</f>
        <v>470</v>
      </c>
      <c r="I180">
        <f ca="1">NETWORKDAYS(Table13[[#This Row],[Transaction Date]],Table13[[#This Row],[Today]])</f>
        <v>470</v>
      </c>
    </row>
    <row r="181" spans="1:9" x14ac:dyDescent="0.3">
      <c r="A181" t="s">
        <v>86</v>
      </c>
      <c r="B181" t="s">
        <v>87</v>
      </c>
      <c r="C181" s="10" t="s">
        <v>35</v>
      </c>
      <c r="D181" s="16">
        <f ca="1">TODAY()</f>
        <v>45968</v>
      </c>
      <c r="E181" s="14">
        <f t="shared" ca="1" si="10"/>
        <v>45968.535908912039</v>
      </c>
      <c r="F181" s="18">
        <f>EOMONTH(Table13[[#This Row],[Transaction Date]],0)</f>
        <v>45322</v>
      </c>
      <c r="G181" s="20">
        <f ca="1">_xlfn.DAYS(Table13[[#This Row],[Today]],Table13[[#This Row],[Transaction Date]])</f>
        <v>655</v>
      </c>
      <c r="H181">
        <f ca="1">NETWORKDAYS.INTL(Table13[[#This Row],[Transaction Date]],Table13[[#This Row],[Today]],)</f>
        <v>470</v>
      </c>
      <c r="I181">
        <f ca="1">NETWORKDAYS(Table13[[#This Row],[Transaction Date]],Table13[[#This Row],[Today]])</f>
        <v>470</v>
      </c>
    </row>
    <row r="182" spans="1:9" x14ac:dyDescent="0.3">
      <c r="A182" t="s">
        <v>40</v>
      </c>
      <c r="B182" t="s">
        <v>41</v>
      </c>
      <c r="C182" s="10" t="s">
        <v>35</v>
      </c>
      <c r="D182" s="16">
        <f t="shared" ref="D182:D200" ca="1" si="11">TODAY()</f>
        <v>45968</v>
      </c>
      <c r="E182" s="14">
        <f t="shared" ca="1" si="10"/>
        <v>45968.535908912039</v>
      </c>
      <c r="F182" s="18">
        <f>EOMONTH(Table13[[#This Row],[Transaction Date]],0)</f>
        <v>45322</v>
      </c>
      <c r="G182" s="20">
        <f ca="1">_xlfn.DAYS(Table13[[#This Row],[Today]],Table13[[#This Row],[Transaction Date]])</f>
        <v>655</v>
      </c>
      <c r="H182">
        <f ca="1">NETWORKDAYS.INTL(Table13[[#This Row],[Transaction Date]],Table13[[#This Row],[Today]],)</f>
        <v>470</v>
      </c>
      <c r="I182">
        <f ca="1">NETWORKDAYS(Table13[[#This Row],[Transaction Date]],Table13[[#This Row],[Today]])</f>
        <v>470</v>
      </c>
    </row>
    <row r="183" spans="1:9" x14ac:dyDescent="0.3">
      <c r="A183" t="s">
        <v>65</v>
      </c>
      <c r="B183" t="s">
        <v>66</v>
      </c>
      <c r="C183" s="10" t="s">
        <v>35</v>
      </c>
      <c r="D183" s="16">
        <f t="shared" ca="1" si="11"/>
        <v>45968</v>
      </c>
      <c r="E183" s="14">
        <f t="shared" ca="1" si="10"/>
        <v>45968.535908912039</v>
      </c>
      <c r="F183" s="18">
        <f>EOMONTH(Table13[[#This Row],[Transaction Date]],0)</f>
        <v>45322</v>
      </c>
      <c r="G183" s="20">
        <f ca="1">_xlfn.DAYS(Table13[[#This Row],[Today]],Table13[[#This Row],[Transaction Date]])</f>
        <v>655</v>
      </c>
      <c r="H183">
        <f ca="1">NETWORKDAYS.INTL(Table13[[#This Row],[Transaction Date]],Table13[[#This Row],[Today]],)</f>
        <v>470</v>
      </c>
      <c r="I183">
        <f ca="1">NETWORKDAYS(Table13[[#This Row],[Transaction Date]],Table13[[#This Row],[Today]])</f>
        <v>470</v>
      </c>
    </row>
    <row r="184" spans="1:9" x14ac:dyDescent="0.3">
      <c r="A184" t="s">
        <v>83</v>
      </c>
      <c r="B184" t="s">
        <v>84</v>
      </c>
      <c r="C184" s="10" t="s">
        <v>35</v>
      </c>
      <c r="D184" s="16">
        <f t="shared" ca="1" si="11"/>
        <v>45968</v>
      </c>
      <c r="E184" s="14">
        <f t="shared" ca="1" si="10"/>
        <v>45968.535908912039</v>
      </c>
      <c r="F184" s="18">
        <f>EOMONTH(Table13[[#This Row],[Transaction Date]],0)</f>
        <v>45322</v>
      </c>
      <c r="G184" s="20">
        <f ca="1">_xlfn.DAYS(Table13[[#This Row],[Today]],Table13[[#This Row],[Transaction Date]])</f>
        <v>655</v>
      </c>
      <c r="H184">
        <f ca="1">NETWORKDAYS.INTL(Table13[[#This Row],[Transaction Date]],Table13[[#This Row],[Today]],)</f>
        <v>470</v>
      </c>
      <c r="I184">
        <f ca="1">NETWORKDAYS(Table13[[#This Row],[Transaction Date]],Table13[[#This Row],[Today]])</f>
        <v>470</v>
      </c>
    </row>
    <row r="185" spans="1:9" x14ac:dyDescent="0.3">
      <c r="A185" t="s">
        <v>36</v>
      </c>
      <c r="B185" t="s">
        <v>37</v>
      </c>
      <c r="C185" s="10" t="s">
        <v>35</v>
      </c>
      <c r="D185" s="16">
        <f t="shared" ca="1" si="11"/>
        <v>45968</v>
      </c>
      <c r="E185" s="14">
        <f t="shared" ca="1" si="10"/>
        <v>45968.535908912039</v>
      </c>
      <c r="F185" s="18">
        <f>EOMONTH(Table13[[#This Row],[Transaction Date]],0)</f>
        <v>45322</v>
      </c>
      <c r="G185" s="20">
        <f ca="1">_xlfn.DAYS(Table13[[#This Row],[Today]],Table13[[#This Row],[Transaction Date]])</f>
        <v>655</v>
      </c>
      <c r="H185">
        <f ca="1">NETWORKDAYS.INTL(Table13[[#This Row],[Transaction Date]],Table13[[#This Row],[Today]],)</f>
        <v>470</v>
      </c>
      <c r="I185">
        <f ca="1">NETWORKDAYS(Table13[[#This Row],[Transaction Date]],Table13[[#This Row],[Today]])</f>
        <v>470</v>
      </c>
    </row>
    <row r="186" spans="1:9" x14ac:dyDescent="0.3">
      <c r="A186" t="s">
        <v>62</v>
      </c>
      <c r="B186" t="s">
        <v>63</v>
      </c>
      <c r="C186" s="10" t="s">
        <v>35</v>
      </c>
      <c r="D186" s="16">
        <f t="shared" ca="1" si="11"/>
        <v>45968</v>
      </c>
      <c r="E186" s="14">
        <f t="shared" ca="1" si="10"/>
        <v>45968.535908912039</v>
      </c>
      <c r="F186" s="18">
        <f>EOMONTH(Table13[[#This Row],[Transaction Date]],0)</f>
        <v>45322</v>
      </c>
      <c r="G186" s="20">
        <f ca="1">_xlfn.DAYS(Table13[[#This Row],[Today]],Table13[[#This Row],[Transaction Date]])</f>
        <v>655</v>
      </c>
      <c r="H186">
        <f ca="1">NETWORKDAYS.INTL(Table13[[#This Row],[Transaction Date]],Table13[[#This Row],[Today]],)</f>
        <v>470</v>
      </c>
      <c r="I186">
        <f ca="1">NETWORKDAYS(Table13[[#This Row],[Transaction Date]],Table13[[#This Row],[Today]])</f>
        <v>470</v>
      </c>
    </row>
    <row r="187" spans="1:9" x14ac:dyDescent="0.3">
      <c r="A187" t="s">
        <v>31</v>
      </c>
      <c r="B187" t="s">
        <v>32</v>
      </c>
      <c r="C187" s="10" t="s">
        <v>35</v>
      </c>
      <c r="D187" s="16">
        <f t="shared" ca="1" si="11"/>
        <v>45968</v>
      </c>
      <c r="E187" s="14">
        <f t="shared" ca="1" si="10"/>
        <v>45968.535908912039</v>
      </c>
      <c r="F187" s="18">
        <f>EOMONTH(Table13[[#This Row],[Transaction Date]],0)</f>
        <v>45322</v>
      </c>
      <c r="G187" s="20">
        <f ca="1">_xlfn.DAYS(Table13[[#This Row],[Today]],Table13[[#This Row],[Transaction Date]])</f>
        <v>655</v>
      </c>
      <c r="H187">
        <f ca="1">NETWORKDAYS.INTL(Table13[[#This Row],[Transaction Date]],Table13[[#This Row],[Today]],)</f>
        <v>470</v>
      </c>
      <c r="I187">
        <f ca="1">NETWORKDAYS(Table13[[#This Row],[Transaction Date]],Table13[[#This Row],[Today]])</f>
        <v>470</v>
      </c>
    </row>
    <row r="188" spans="1:9" x14ac:dyDescent="0.3">
      <c r="A188" t="s">
        <v>80</v>
      </c>
      <c r="B188" t="s">
        <v>81</v>
      </c>
      <c r="C188" s="10" t="s">
        <v>35</v>
      </c>
      <c r="D188" s="16">
        <f t="shared" ca="1" si="11"/>
        <v>45968</v>
      </c>
      <c r="E188" s="14">
        <f t="shared" ca="1" si="10"/>
        <v>45968.535908912039</v>
      </c>
      <c r="F188" s="18">
        <f>EOMONTH(Table13[[#This Row],[Transaction Date]],0)</f>
        <v>45322</v>
      </c>
      <c r="G188" s="20">
        <f ca="1">_xlfn.DAYS(Table13[[#This Row],[Today]],Table13[[#This Row],[Transaction Date]])</f>
        <v>655</v>
      </c>
      <c r="H188">
        <f ca="1">NETWORKDAYS.INTL(Table13[[#This Row],[Transaction Date]],Table13[[#This Row],[Today]],)</f>
        <v>470</v>
      </c>
      <c r="I188">
        <f ca="1">NETWORKDAYS(Table13[[#This Row],[Transaction Date]],Table13[[#This Row],[Today]])</f>
        <v>470</v>
      </c>
    </row>
    <row r="189" spans="1:9" x14ac:dyDescent="0.3">
      <c r="A189" t="s">
        <v>59</v>
      </c>
      <c r="B189" t="s">
        <v>60</v>
      </c>
      <c r="C189" s="10" t="s">
        <v>35</v>
      </c>
      <c r="D189" s="16">
        <f t="shared" ca="1" si="11"/>
        <v>45968</v>
      </c>
      <c r="E189" s="14">
        <f t="shared" ca="1" si="10"/>
        <v>45968.535908912039</v>
      </c>
      <c r="F189" s="18">
        <f>EOMONTH(Table13[[#This Row],[Transaction Date]],0)</f>
        <v>45322</v>
      </c>
      <c r="G189" s="20">
        <f ca="1">_xlfn.DAYS(Table13[[#This Row],[Today]],Table13[[#This Row],[Transaction Date]])</f>
        <v>655</v>
      </c>
      <c r="H189">
        <f ca="1">NETWORKDAYS.INTL(Table13[[#This Row],[Transaction Date]],Table13[[#This Row],[Today]],)</f>
        <v>470</v>
      </c>
      <c r="I189">
        <f ca="1">NETWORKDAYS(Table13[[#This Row],[Transaction Date]],Table13[[#This Row],[Today]])</f>
        <v>470</v>
      </c>
    </row>
    <row r="190" spans="1:9" x14ac:dyDescent="0.3">
      <c r="A190" t="s">
        <v>24</v>
      </c>
      <c r="B190" t="s">
        <v>25</v>
      </c>
      <c r="C190" s="10" t="s">
        <v>35</v>
      </c>
      <c r="D190" s="16">
        <f t="shared" ca="1" si="11"/>
        <v>45968</v>
      </c>
      <c r="E190" s="14">
        <f t="shared" ca="1" si="10"/>
        <v>45968.535908912039</v>
      </c>
      <c r="F190" s="18">
        <f>EOMONTH(Table13[[#This Row],[Transaction Date]],0)</f>
        <v>45322</v>
      </c>
      <c r="G190" s="20">
        <f ca="1">_xlfn.DAYS(Table13[[#This Row],[Today]],Table13[[#This Row],[Transaction Date]])</f>
        <v>655</v>
      </c>
      <c r="H190">
        <f ca="1">NETWORKDAYS.INTL(Table13[[#This Row],[Transaction Date]],Table13[[#This Row],[Today]],)</f>
        <v>470</v>
      </c>
      <c r="I190">
        <f ca="1">NETWORKDAYS(Table13[[#This Row],[Transaction Date]],Table13[[#This Row],[Today]])</f>
        <v>470</v>
      </c>
    </row>
    <row r="191" spans="1:9" x14ac:dyDescent="0.3">
      <c r="A191" t="s">
        <v>77</v>
      </c>
      <c r="B191" t="s">
        <v>78</v>
      </c>
      <c r="C191" s="10" t="s">
        <v>35</v>
      </c>
      <c r="D191" s="16">
        <f t="shared" ca="1" si="11"/>
        <v>45968</v>
      </c>
      <c r="E191" s="14">
        <f t="shared" ca="1" si="10"/>
        <v>45968.535908912039</v>
      </c>
      <c r="F191" s="18">
        <f>EOMONTH(Table13[[#This Row],[Transaction Date]],0)</f>
        <v>45322</v>
      </c>
      <c r="G191" s="20">
        <f ca="1">_xlfn.DAYS(Table13[[#This Row],[Today]],Table13[[#This Row],[Transaction Date]])</f>
        <v>655</v>
      </c>
      <c r="H191">
        <f ca="1">NETWORKDAYS.INTL(Table13[[#This Row],[Transaction Date]],Table13[[#This Row],[Today]],)</f>
        <v>470</v>
      </c>
      <c r="I191">
        <f ca="1">NETWORKDAYS(Table13[[#This Row],[Transaction Date]],Table13[[#This Row],[Today]])</f>
        <v>470</v>
      </c>
    </row>
    <row r="192" spans="1:9" x14ac:dyDescent="0.3">
      <c r="A192" t="s">
        <v>56</v>
      </c>
      <c r="B192" t="s">
        <v>57</v>
      </c>
      <c r="C192" s="10" t="s">
        <v>35</v>
      </c>
      <c r="D192" s="16">
        <f t="shared" ca="1" si="11"/>
        <v>45968</v>
      </c>
      <c r="E192" s="14">
        <f t="shared" ca="1" si="10"/>
        <v>45968.535908912039</v>
      </c>
      <c r="F192" s="18">
        <f>EOMONTH(Table13[[#This Row],[Transaction Date]],0)</f>
        <v>45322</v>
      </c>
      <c r="G192" s="20">
        <f ca="1">_xlfn.DAYS(Table13[[#This Row],[Today]],Table13[[#This Row],[Transaction Date]])</f>
        <v>655</v>
      </c>
      <c r="H192">
        <f ca="1">NETWORKDAYS.INTL(Table13[[#This Row],[Transaction Date]],Table13[[#This Row],[Today]],)</f>
        <v>470</v>
      </c>
      <c r="I192">
        <f ca="1">NETWORKDAYS(Table13[[#This Row],[Transaction Date]],Table13[[#This Row],[Today]])</f>
        <v>470</v>
      </c>
    </row>
    <row r="193" spans="1:9" x14ac:dyDescent="0.3">
      <c r="A193" t="s">
        <v>74</v>
      </c>
      <c r="B193" t="s">
        <v>75</v>
      </c>
      <c r="C193" s="10" t="s">
        <v>35</v>
      </c>
      <c r="D193" s="16">
        <f t="shared" ca="1" si="11"/>
        <v>45968</v>
      </c>
      <c r="E193" s="14">
        <f t="shared" ca="1" si="10"/>
        <v>45968.535908912039</v>
      </c>
      <c r="F193" s="18">
        <f>EOMONTH(Table13[[#This Row],[Transaction Date]],0)</f>
        <v>45322</v>
      </c>
      <c r="G193" s="20">
        <f ca="1">_xlfn.DAYS(Table13[[#This Row],[Today]],Table13[[#This Row],[Transaction Date]])</f>
        <v>655</v>
      </c>
      <c r="H193">
        <f ca="1">NETWORKDAYS.INTL(Table13[[#This Row],[Transaction Date]],Table13[[#This Row],[Today]],)</f>
        <v>470</v>
      </c>
      <c r="I193">
        <f ca="1">NETWORKDAYS(Table13[[#This Row],[Transaction Date]],Table13[[#This Row],[Today]])</f>
        <v>470</v>
      </c>
    </row>
    <row r="194" spans="1:9" x14ac:dyDescent="0.3">
      <c r="A194" t="s">
        <v>17</v>
      </c>
      <c r="B194" t="s">
        <v>18</v>
      </c>
      <c r="C194" s="10" t="s">
        <v>35</v>
      </c>
      <c r="D194" s="16">
        <f t="shared" ca="1" si="11"/>
        <v>45968</v>
      </c>
      <c r="E194" s="14">
        <f t="shared" ca="1" si="10"/>
        <v>45968.535908912039</v>
      </c>
      <c r="F194" s="18">
        <f>EOMONTH(Table13[[#This Row],[Transaction Date]],0)</f>
        <v>45322</v>
      </c>
      <c r="G194" s="20">
        <f ca="1">_xlfn.DAYS(Table13[[#This Row],[Today]],Table13[[#This Row],[Transaction Date]])</f>
        <v>655</v>
      </c>
      <c r="H194">
        <f ca="1">NETWORKDAYS.INTL(Table13[[#This Row],[Transaction Date]],Table13[[#This Row],[Today]],)</f>
        <v>470</v>
      </c>
      <c r="I194">
        <f ca="1">NETWORKDAYS(Table13[[#This Row],[Transaction Date]],Table13[[#This Row],[Today]])</f>
        <v>470</v>
      </c>
    </row>
    <row r="195" spans="1:9" x14ac:dyDescent="0.3">
      <c r="A195" t="s">
        <v>53</v>
      </c>
      <c r="B195" t="s">
        <v>54</v>
      </c>
      <c r="C195" s="10" t="s">
        <v>35</v>
      </c>
      <c r="D195" s="16">
        <f t="shared" ca="1" si="11"/>
        <v>45968</v>
      </c>
      <c r="E195" s="14">
        <f t="shared" ca="1" si="10"/>
        <v>45968.535908912039</v>
      </c>
      <c r="F195" s="18">
        <f>EOMONTH(Table13[[#This Row],[Transaction Date]],0)</f>
        <v>45322</v>
      </c>
      <c r="G195" s="20">
        <f ca="1">_xlfn.DAYS(Table13[[#This Row],[Today]],Table13[[#This Row],[Transaction Date]])</f>
        <v>655</v>
      </c>
      <c r="H195">
        <f ca="1">NETWORKDAYS.INTL(Table13[[#This Row],[Transaction Date]],Table13[[#This Row],[Today]],)</f>
        <v>470</v>
      </c>
      <c r="I195">
        <f ca="1">NETWORKDAYS(Table13[[#This Row],[Transaction Date]],Table13[[#This Row],[Today]])</f>
        <v>470</v>
      </c>
    </row>
    <row r="196" spans="1:9" x14ac:dyDescent="0.3">
      <c r="A196" t="s">
        <v>71</v>
      </c>
      <c r="B196" t="s">
        <v>72</v>
      </c>
      <c r="C196" s="10" t="s">
        <v>35</v>
      </c>
      <c r="D196" s="16">
        <f t="shared" ca="1" si="11"/>
        <v>45968</v>
      </c>
      <c r="E196" s="14">
        <f t="shared" ca="1" si="10"/>
        <v>45968.535908912039</v>
      </c>
      <c r="F196" s="18">
        <f>EOMONTH(Table13[[#This Row],[Transaction Date]],0)</f>
        <v>45322</v>
      </c>
      <c r="G196" s="20">
        <f ca="1">_xlfn.DAYS(Table13[[#This Row],[Today]],Table13[[#This Row],[Transaction Date]])</f>
        <v>655</v>
      </c>
      <c r="H196">
        <f ca="1">NETWORKDAYS.INTL(Table13[[#This Row],[Transaction Date]],Table13[[#This Row],[Today]],)</f>
        <v>470</v>
      </c>
      <c r="I196">
        <f ca="1">NETWORKDAYS(Table13[[#This Row],[Transaction Date]],Table13[[#This Row],[Today]])</f>
        <v>470</v>
      </c>
    </row>
    <row r="197" spans="1:9" x14ac:dyDescent="0.3">
      <c r="A197" t="s">
        <v>49</v>
      </c>
      <c r="B197" t="s">
        <v>50</v>
      </c>
      <c r="C197" s="10" t="s">
        <v>35</v>
      </c>
      <c r="D197" s="16">
        <f t="shared" ca="1" si="11"/>
        <v>45968</v>
      </c>
      <c r="E197" s="14">
        <f t="shared" ca="1" si="10"/>
        <v>45968.535908912039</v>
      </c>
      <c r="F197" s="18">
        <f>EOMONTH(Table13[[#This Row],[Transaction Date]],0)</f>
        <v>45322</v>
      </c>
      <c r="G197" s="20">
        <f ca="1">_xlfn.DAYS(Table13[[#This Row],[Today]],Table13[[#This Row],[Transaction Date]])</f>
        <v>655</v>
      </c>
      <c r="H197">
        <f ca="1">NETWORKDAYS.INTL(Table13[[#This Row],[Transaction Date]],Table13[[#This Row],[Today]],)</f>
        <v>470</v>
      </c>
      <c r="I197">
        <f ca="1">NETWORKDAYS(Table13[[#This Row],[Transaction Date]],Table13[[#This Row],[Today]])</f>
        <v>470</v>
      </c>
    </row>
    <row r="198" spans="1:9" x14ac:dyDescent="0.3">
      <c r="A198" t="s">
        <v>10</v>
      </c>
      <c r="B198" t="s">
        <v>11</v>
      </c>
      <c r="C198" s="10" t="s">
        <v>35</v>
      </c>
      <c r="D198" s="16">
        <f t="shared" ca="1" si="11"/>
        <v>45968</v>
      </c>
      <c r="E198" s="14">
        <f t="shared" ca="1" si="10"/>
        <v>45968.535908912039</v>
      </c>
      <c r="F198" s="18">
        <f>EOMONTH(Table13[[#This Row],[Transaction Date]],0)</f>
        <v>45322</v>
      </c>
      <c r="G198" s="20">
        <f ca="1">_xlfn.DAYS(Table13[[#This Row],[Today]],Table13[[#This Row],[Transaction Date]])</f>
        <v>655</v>
      </c>
      <c r="H198">
        <f ca="1">NETWORKDAYS.INTL(Table13[[#This Row],[Transaction Date]],Table13[[#This Row],[Today]],)</f>
        <v>470</v>
      </c>
      <c r="I198">
        <f ca="1">NETWORKDAYS(Table13[[#This Row],[Transaction Date]],Table13[[#This Row],[Today]])</f>
        <v>470</v>
      </c>
    </row>
    <row r="199" spans="1:9" x14ac:dyDescent="0.3">
      <c r="A199" t="s">
        <v>68</v>
      </c>
      <c r="B199" t="s">
        <v>69</v>
      </c>
      <c r="C199" s="10" t="s">
        <v>35</v>
      </c>
      <c r="D199" s="16">
        <f t="shared" ca="1" si="11"/>
        <v>45968</v>
      </c>
      <c r="E199" s="14">
        <f t="shared" ca="1" si="10"/>
        <v>45968.535908912039</v>
      </c>
      <c r="F199" s="18">
        <f>EOMONTH(Table13[[#This Row],[Transaction Date]],0)</f>
        <v>45322</v>
      </c>
      <c r="G199" s="20">
        <f ca="1">_xlfn.DAYS(Table13[[#This Row],[Today]],Table13[[#This Row],[Transaction Date]])</f>
        <v>655</v>
      </c>
      <c r="H199">
        <f ca="1">NETWORKDAYS.INTL(Table13[[#This Row],[Transaction Date]],Table13[[#This Row],[Today]],)</f>
        <v>470</v>
      </c>
      <c r="I199">
        <f ca="1">NETWORKDAYS(Table13[[#This Row],[Transaction Date]],Table13[[#This Row],[Today]])</f>
        <v>470</v>
      </c>
    </row>
    <row r="200" spans="1:9" x14ac:dyDescent="0.3">
      <c r="A200" t="s">
        <v>44</v>
      </c>
      <c r="B200" t="s">
        <v>45</v>
      </c>
      <c r="C200" s="10" t="s">
        <v>35</v>
      </c>
      <c r="D200" s="16">
        <f t="shared" ca="1" si="11"/>
        <v>45968</v>
      </c>
      <c r="E200" s="14">
        <f t="shared" ca="1" si="10"/>
        <v>45968.535908912039</v>
      </c>
      <c r="F200" s="18">
        <f>EOMONTH(Table13[[#This Row],[Transaction Date]],0)</f>
        <v>45322</v>
      </c>
      <c r="G200" s="20">
        <f ca="1">_xlfn.DAYS(Table13[[#This Row],[Today]],Table13[[#This Row],[Transaction Date]])</f>
        <v>655</v>
      </c>
      <c r="H200">
        <f ca="1">NETWORKDAYS.INTL(Table13[[#This Row],[Transaction Date]],Table13[[#This Row],[Today]],)</f>
        <v>470</v>
      </c>
      <c r="I200">
        <f ca="1">NETWORKDAYS(Table13[[#This Row],[Transaction Date]],Table13[[#This Row],[Today]])</f>
        <v>470</v>
      </c>
    </row>
    <row r="201" spans="1:9" x14ac:dyDescent="0.3">
      <c r="A201" t="s">
        <v>86</v>
      </c>
      <c r="B201" t="s">
        <v>87</v>
      </c>
      <c r="C201" s="10" t="s">
        <v>35</v>
      </c>
      <c r="D201" s="16">
        <f ca="1">TODAY()</f>
        <v>45968</v>
      </c>
      <c r="E201" s="14">
        <f t="shared" ca="1" si="10"/>
        <v>45968.535908912039</v>
      </c>
      <c r="F201" s="18">
        <f>EOMONTH(Table13[[#This Row],[Transaction Date]],0)</f>
        <v>45322</v>
      </c>
      <c r="G201" s="20">
        <f ca="1">_xlfn.DAYS(Table13[[#This Row],[Today]],Table13[[#This Row],[Transaction Date]])</f>
        <v>655</v>
      </c>
      <c r="H201">
        <f ca="1">NETWORKDAYS.INTL(Table13[[#This Row],[Transaction Date]],Table13[[#This Row],[Today]],)</f>
        <v>470</v>
      </c>
      <c r="I201">
        <f ca="1">NETWORKDAYS(Table13[[#This Row],[Transaction Date]],Table13[[#This Row],[Today]])</f>
        <v>470</v>
      </c>
    </row>
    <row r="202" spans="1:9" x14ac:dyDescent="0.3">
      <c r="A202" t="s">
        <v>40</v>
      </c>
      <c r="B202" t="s">
        <v>41</v>
      </c>
      <c r="C202" s="10" t="s">
        <v>35</v>
      </c>
      <c r="D202" s="16">
        <f t="shared" ref="D202:D220" ca="1" si="12">TODAY()</f>
        <v>45968</v>
      </c>
      <c r="E202" s="14">
        <f t="shared" ca="1" si="10"/>
        <v>45968.535908912039</v>
      </c>
      <c r="F202" s="18">
        <f>EOMONTH(Table13[[#This Row],[Transaction Date]],0)</f>
        <v>45322</v>
      </c>
      <c r="G202" s="20">
        <f ca="1">_xlfn.DAYS(Table13[[#This Row],[Today]],Table13[[#This Row],[Transaction Date]])</f>
        <v>655</v>
      </c>
      <c r="H202">
        <f ca="1">NETWORKDAYS.INTL(Table13[[#This Row],[Transaction Date]],Table13[[#This Row],[Today]],)</f>
        <v>470</v>
      </c>
      <c r="I202">
        <f ca="1">NETWORKDAYS(Table13[[#This Row],[Transaction Date]],Table13[[#This Row],[Today]])</f>
        <v>470</v>
      </c>
    </row>
    <row r="203" spans="1:9" x14ac:dyDescent="0.3">
      <c r="A203" t="s">
        <v>65</v>
      </c>
      <c r="B203" t="s">
        <v>66</v>
      </c>
      <c r="C203" s="10" t="s">
        <v>35</v>
      </c>
      <c r="D203" s="16">
        <f t="shared" ca="1" si="12"/>
        <v>45968</v>
      </c>
      <c r="E203" s="14">
        <f t="shared" ca="1" si="10"/>
        <v>45968.535908912039</v>
      </c>
      <c r="F203" s="18">
        <f>EOMONTH(Table13[[#This Row],[Transaction Date]],0)</f>
        <v>45322</v>
      </c>
      <c r="G203" s="20">
        <f ca="1">_xlfn.DAYS(Table13[[#This Row],[Today]],Table13[[#This Row],[Transaction Date]])</f>
        <v>655</v>
      </c>
      <c r="H203">
        <f ca="1">NETWORKDAYS.INTL(Table13[[#This Row],[Transaction Date]],Table13[[#This Row],[Today]],)</f>
        <v>470</v>
      </c>
      <c r="I203">
        <f ca="1">NETWORKDAYS(Table13[[#This Row],[Transaction Date]],Table13[[#This Row],[Today]])</f>
        <v>470</v>
      </c>
    </row>
    <row r="204" spans="1:9" x14ac:dyDescent="0.3">
      <c r="A204" t="s">
        <v>83</v>
      </c>
      <c r="B204" t="s">
        <v>84</v>
      </c>
      <c r="C204" s="10" t="s">
        <v>35</v>
      </c>
      <c r="D204" s="16">
        <f t="shared" ca="1" si="12"/>
        <v>45968</v>
      </c>
      <c r="E204" s="14">
        <f t="shared" ca="1" si="10"/>
        <v>45968.535908912039</v>
      </c>
      <c r="F204" s="18">
        <f>EOMONTH(Table13[[#This Row],[Transaction Date]],0)</f>
        <v>45322</v>
      </c>
      <c r="G204" s="20">
        <f ca="1">_xlfn.DAYS(Table13[[#This Row],[Today]],Table13[[#This Row],[Transaction Date]])</f>
        <v>655</v>
      </c>
      <c r="H204">
        <f ca="1">NETWORKDAYS.INTL(Table13[[#This Row],[Transaction Date]],Table13[[#This Row],[Today]],)</f>
        <v>470</v>
      </c>
      <c r="I204">
        <f ca="1">NETWORKDAYS(Table13[[#This Row],[Transaction Date]],Table13[[#This Row],[Today]])</f>
        <v>470</v>
      </c>
    </row>
    <row r="205" spans="1:9" x14ac:dyDescent="0.3">
      <c r="A205" t="s">
        <v>36</v>
      </c>
      <c r="B205" t="s">
        <v>37</v>
      </c>
      <c r="C205" s="10" t="s">
        <v>35</v>
      </c>
      <c r="D205" s="16">
        <f t="shared" ca="1" si="12"/>
        <v>45968</v>
      </c>
      <c r="E205" s="14">
        <f t="shared" ca="1" si="10"/>
        <v>45968.535908912039</v>
      </c>
      <c r="F205" s="18">
        <f>EOMONTH(Table13[[#This Row],[Transaction Date]],0)</f>
        <v>45322</v>
      </c>
      <c r="G205" s="20">
        <f ca="1">_xlfn.DAYS(Table13[[#This Row],[Today]],Table13[[#This Row],[Transaction Date]])</f>
        <v>655</v>
      </c>
      <c r="H205">
        <f ca="1">NETWORKDAYS.INTL(Table13[[#This Row],[Transaction Date]],Table13[[#This Row],[Today]],)</f>
        <v>470</v>
      </c>
      <c r="I205">
        <f ca="1">NETWORKDAYS(Table13[[#This Row],[Transaction Date]],Table13[[#This Row],[Today]])</f>
        <v>470</v>
      </c>
    </row>
    <row r="206" spans="1:9" x14ac:dyDescent="0.3">
      <c r="A206" t="s">
        <v>62</v>
      </c>
      <c r="B206" t="s">
        <v>63</v>
      </c>
      <c r="C206" s="10" t="s">
        <v>35</v>
      </c>
      <c r="D206" s="16">
        <f t="shared" ca="1" si="12"/>
        <v>45968</v>
      </c>
      <c r="E206" s="14">
        <f t="shared" ca="1" si="10"/>
        <v>45968.535908912039</v>
      </c>
      <c r="F206" s="18">
        <f>EOMONTH(Table13[[#This Row],[Transaction Date]],0)</f>
        <v>45322</v>
      </c>
      <c r="G206" s="20">
        <f ca="1">_xlfn.DAYS(Table13[[#This Row],[Today]],Table13[[#This Row],[Transaction Date]])</f>
        <v>655</v>
      </c>
      <c r="H206">
        <f ca="1">NETWORKDAYS.INTL(Table13[[#This Row],[Transaction Date]],Table13[[#This Row],[Today]],)</f>
        <v>470</v>
      </c>
      <c r="I206">
        <f ca="1">NETWORKDAYS(Table13[[#This Row],[Transaction Date]],Table13[[#This Row],[Today]])</f>
        <v>470</v>
      </c>
    </row>
    <row r="207" spans="1:9" x14ac:dyDescent="0.3">
      <c r="A207" t="s">
        <v>31</v>
      </c>
      <c r="B207" t="s">
        <v>32</v>
      </c>
      <c r="C207" s="10" t="s">
        <v>35</v>
      </c>
      <c r="D207" s="16">
        <f t="shared" ca="1" si="12"/>
        <v>45968</v>
      </c>
      <c r="E207" s="14">
        <f t="shared" ca="1" si="10"/>
        <v>45968.535908912039</v>
      </c>
      <c r="F207" s="18">
        <f>EOMONTH(Table13[[#This Row],[Transaction Date]],0)</f>
        <v>45322</v>
      </c>
      <c r="G207" s="20">
        <f ca="1">_xlfn.DAYS(Table13[[#This Row],[Today]],Table13[[#This Row],[Transaction Date]])</f>
        <v>655</v>
      </c>
      <c r="H207">
        <f ca="1">NETWORKDAYS.INTL(Table13[[#This Row],[Transaction Date]],Table13[[#This Row],[Today]],)</f>
        <v>470</v>
      </c>
      <c r="I207">
        <f ca="1">NETWORKDAYS(Table13[[#This Row],[Transaction Date]],Table13[[#This Row],[Today]])</f>
        <v>470</v>
      </c>
    </row>
    <row r="208" spans="1:9" x14ac:dyDescent="0.3">
      <c r="A208" t="s">
        <v>80</v>
      </c>
      <c r="B208" t="s">
        <v>81</v>
      </c>
      <c r="C208" s="10" t="s">
        <v>35</v>
      </c>
      <c r="D208" s="16">
        <f t="shared" ca="1" si="12"/>
        <v>45968</v>
      </c>
      <c r="E208" s="14">
        <f t="shared" ca="1" si="10"/>
        <v>45968.535908912039</v>
      </c>
      <c r="F208" s="18">
        <f>EOMONTH(Table13[[#This Row],[Transaction Date]],0)</f>
        <v>45322</v>
      </c>
      <c r="G208" s="20">
        <f ca="1">_xlfn.DAYS(Table13[[#This Row],[Today]],Table13[[#This Row],[Transaction Date]])</f>
        <v>655</v>
      </c>
      <c r="H208">
        <f ca="1">NETWORKDAYS.INTL(Table13[[#This Row],[Transaction Date]],Table13[[#This Row],[Today]],)</f>
        <v>470</v>
      </c>
      <c r="I208">
        <f ca="1">NETWORKDAYS(Table13[[#This Row],[Transaction Date]],Table13[[#This Row],[Today]])</f>
        <v>470</v>
      </c>
    </row>
    <row r="209" spans="1:9" x14ac:dyDescent="0.3">
      <c r="A209" t="s">
        <v>59</v>
      </c>
      <c r="B209" t="s">
        <v>60</v>
      </c>
      <c r="C209" s="10" t="s">
        <v>35</v>
      </c>
      <c r="D209" s="16">
        <f t="shared" ca="1" si="12"/>
        <v>45968</v>
      </c>
      <c r="E209" s="14">
        <f t="shared" ca="1" si="10"/>
        <v>45968.535908912039</v>
      </c>
      <c r="F209" s="18">
        <f>EOMONTH(Table13[[#This Row],[Transaction Date]],0)</f>
        <v>45322</v>
      </c>
      <c r="G209" s="20">
        <f ca="1">_xlfn.DAYS(Table13[[#This Row],[Today]],Table13[[#This Row],[Transaction Date]])</f>
        <v>655</v>
      </c>
      <c r="H209">
        <f ca="1">NETWORKDAYS.INTL(Table13[[#This Row],[Transaction Date]],Table13[[#This Row],[Today]],)</f>
        <v>470</v>
      </c>
      <c r="I209">
        <f ca="1">NETWORKDAYS(Table13[[#This Row],[Transaction Date]],Table13[[#This Row],[Today]])</f>
        <v>470</v>
      </c>
    </row>
    <row r="210" spans="1:9" x14ac:dyDescent="0.3">
      <c r="A210" t="s">
        <v>24</v>
      </c>
      <c r="B210" t="s">
        <v>25</v>
      </c>
      <c r="C210" s="10" t="s">
        <v>35</v>
      </c>
      <c r="D210" s="16">
        <f t="shared" ca="1" si="12"/>
        <v>45968</v>
      </c>
      <c r="E210" s="14">
        <f t="shared" ca="1" si="10"/>
        <v>45968.535908912039</v>
      </c>
      <c r="F210" s="18">
        <f>EOMONTH(Table13[[#This Row],[Transaction Date]],0)</f>
        <v>45322</v>
      </c>
      <c r="G210" s="20">
        <f ca="1">_xlfn.DAYS(Table13[[#This Row],[Today]],Table13[[#This Row],[Transaction Date]])</f>
        <v>655</v>
      </c>
      <c r="H210">
        <f ca="1">NETWORKDAYS.INTL(Table13[[#This Row],[Transaction Date]],Table13[[#This Row],[Today]],)</f>
        <v>470</v>
      </c>
      <c r="I210">
        <f ca="1">NETWORKDAYS(Table13[[#This Row],[Transaction Date]],Table13[[#This Row],[Today]])</f>
        <v>470</v>
      </c>
    </row>
    <row r="211" spans="1:9" x14ac:dyDescent="0.3">
      <c r="A211" t="s">
        <v>77</v>
      </c>
      <c r="B211" t="s">
        <v>78</v>
      </c>
      <c r="C211" s="10" t="s">
        <v>35</v>
      </c>
      <c r="D211" s="16">
        <f t="shared" ca="1" si="12"/>
        <v>45968</v>
      </c>
      <c r="E211" s="14">
        <f t="shared" ca="1" si="10"/>
        <v>45968.535908912039</v>
      </c>
      <c r="F211" s="18">
        <f>EOMONTH(Table13[[#This Row],[Transaction Date]],0)</f>
        <v>45322</v>
      </c>
      <c r="G211" s="20">
        <f ca="1">_xlfn.DAYS(Table13[[#This Row],[Today]],Table13[[#This Row],[Transaction Date]])</f>
        <v>655</v>
      </c>
      <c r="H211">
        <f ca="1">NETWORKDAYS.INTL(Table13[[#This Row],[Transaction Date]],Table13[[#This Row],[Today]],)</f>
        <v>470</v>
      </c>
      <c r="I211">
        <f ca="1">NETWORKDAYS(Table13[[#This Row],[Transaction Date]],Table13[[#This Row],[Today]])</f>
        <v>470</v>
      </c>
    </row>
    <row r="212" spans="1:9" x14ac:dyDescent="0.3">
      <c r="A212" t="s">
        <v>56</v>
      </c>
      <c r="B212" t="s">
        <v>57</v>
      </c>
      <c r="C212" s="10" t="s">
        <v>35</v>
      </c>
      <c r="D212" s="16">
        <f t="shared" ca="1" si="12"/>
        <v>45968</v>
      </c>
      <c r="E212" s="14">
        <f t="shared" ca="1" si="10"/>
        <v>45968.535908912039</v>
      </c>
      <c r="F212" s="18">
        <f>EOMONTH(Table13[[#This Row],[Transaction Date]],0)</f>
        <v>45322</v>
      </c>
      <c r="G212" s="20">
        <f ca="1">_xlfn.DAYS(Table13[[#This Row],[Today]],Table13[[#This Row],[Transaction Date]])</f>
        <v>655</v>
      </c>
      <c r="H212">
        <f ca="1">NETWORKDAYS.INTL(Table13[[#This Row],[Transaction Date]],Table13[[#This Row],[Today]],)</f>
        <v>470</v>
      </c>
      <c r="I212">
        <f ca="1">NETWORKDAYS(Table13[[#This Row],[Transaction Date]],Table13[[#This Row],[Today]])</f>
        <v>470</v>
      </c>
    </row>
    <row r="213" spans="1:9" x14ac:dyDescent="0.3">
      <c r="A213" t="s">
        <v>74</v>
      </c>
      <c r="B213" t="s">
        <v>75</v>
      </c>
      <c r="C213" s="10" t="s">
        <v>35</v>
      </c>
      <c r="D213" s="16">
        <f t="shared" ca="1" si="12"/>
        <v>45968</v>
      </c>
      <c r="E213" s="14">
        <f t="shared" ca="1" si="10"/>
        <v>45968.535908912039</v>
      </c>
      <c r="F213" s="18">
        <f>EOMONTH(Table13[[#This Row],[Transaction Date]],0)</f>
        <v>45322</v>
      </c>
      <c r="G213" s="20">
        <f ca="1">_xlfn.DAYS(Table13[[#This Row],[Today]],Table13[[#This Row],[Transaction Date]])</f>
        <v>655</v>
      </c>
      <c r="H213">
        <f ca="1">NETWORKDAYS.INTL(Table13[[#This Row],[Transaction Date]],Table13[[#This Row],[Today]],)</f>
        <v>470</v>
      </c>
      <c r="I213">
        <f ca="1">NETWORKDAYS(Table13[[#This Row],[Transaction Date]],Table13[[#This Row],[Today]])</f>
        <v>470</v>
      </c>
    </row>
    <row r="214" spans="1:9" x14ac:dyDescent="0.3">
      <c r="A214" t="s">
        <v>17</v>
      </c>
      <c r="B214" t="s">
        <v>18</v>
      </c>
      <c r="C214" s="10" t="s">
        <v>35</v>
      </c>
      <c r="D214" s="16">
        <f t="shared" ca="1" si="12"/>
        <v>45968</v>
      </c>
      <c r="E214" s="14">
        <f t="shared" ca="1" si="10"/>
        <v>45968.535908912039</v>
      </c>
      <c r="F214" s="18">
        <f>EOMONTH(Table13[[#This Row],[Transaction Date]],0)</f>
        <v>45322</v>
      </c>
      <c r="G214" s="20">
        <f ca="1">_xlfn.DAYS(Table13[[#This Row],[Today]],Table13[[#This Row],[Transaction Date]])</f>
        <v>655</v>
      </c>
      <c r="H214">
        <f ca="1">NETWORKDAYS.INTL(Table13[[#This Row],[Transaction Date]],Table13[[#This Row],[Today]],)</f>
        <v>470</v>
      </c>
      <c r="I214">
        <f ca="1">NETWORKDAYS(Table13[[#This Row],[Transaction Date]],Table13[[#This Row],[Today]])</f>
        <v>470</v>
      </c>
    </row>
    <row r="215" spans="1:9" x14ac:dyDescent="0.3">
      <c r="A215" t="s">
        <v>53</v>
      </c>
      <c r="B215" t="s">
        <v>54</v>
      </c>
      <c r="C215" s="10" t="s">
        <v>35</v>
      </c>
      <c r="D215" s="16">
        <f t="shared" ca="1" si="12"/>
        <v>45968</v>
      </c>
      <c r="E215" s="14">
        <f t="shared" ca="1" si="10"/>
        <v>45968.535908912039</v>
      </c>
      <c r="F215" s="18">
        <f>EOMONTH(Table13[[#This Row],[Transaction Date]],0)</f>
        <v>45322</v>
      </c>
      <c r="G215" s="20">
        <f ca="1">_xlfn.DAYS(Table13[[#This Row],[Today]],Table13[[#This Row],[Transaction Date]])</f>
        <v>655</v>
      </c>
      <c r="H215">
        <f ca="1">NETWORKDAYS.INTL(Table13[[#This Row],[Transaction Date]],Table13[[#This Row],[Today]],)</f>
        <v>470</v>
      </c>
      <c r="I215">
        <f ca="1">NETWORKDAYS(Table13[[#This Row],[Transaction Date]],Table13[[#This Row],[Today]])</f>
        <v>470</v>
      </c>
    </row>
    <row r="216" spans="1:9" x14ac:dyDescent="0.3">
      <c r="A216" t="s">
        <v>71</v>
      </c>
      <c r="B216" t="s">
        <v>72</v>
      </c>
      <c r="C216" s="10" t="s">
        <v>35</v>
      </c>
      <c r="D216" s="16">
        <f t="shared" ca="1" si="12"/>
        <v>45968</v>
      </c>
      <c r="E216" s="14">
        <f t="shared" ca="1" si="10"/>
        <v>45968.535908912039</v>
      </c>
      <c r="F216" s="18">
        <f>EOMONTH(Table13[[#This Row],[Transaction Date]],0)</f>
        <v>45322</v>
      </c>
      <c r="G216" s="20">
        <f ca="1">_xlfn.DAYS(Table13[[#This Row],[Today]],Table13[[#This Row],[Transaction Date]])</f>
        <v>655</v>
      </c>
      <c r="H216">
        <f ca="1">NETWORKDAYS.INTL(Table13[[#This Row],[Transaction Date]],Table13[[#This Row],[Today]],)</f>
        <v>470</v>
      </c>
      <c r="I216">
        <f ca="1">NETWORKDAYS(Table13[[#This Row],[Transaction Date]],Table13[[#This Row],[Today]])</f>
        <v>470</v>
      </c>
    </row>
    <row r="217" spans="1:9" x14ac:dyDescent="0.3">
      <c r="A217" t="s">
        <v>49</v>
      </c>
      <c r="B217" t="s">
        <v>50</v>
      </c>
      <c r="C217" s="10" t="s">
        <v>35</v>
      </c>
      <c r="D217" s="16">
        <f t="shared" ca="1" si="12"/>
        <v>45968</v>
      </c>
      <c r="E217" s="14">
        <f t="shared" ca="1" si="10"/>
        <v>45968.535908912039</v>
      </c>
      <c r="F217" s="18">
        <f>EOMONTH(Table13[[#This Row],[Transaction Date]],0)</f>
        <v>45322</v>
      </c>
      <c r="G217" s="20">
        <f ca="1">_xlfn.DAYS(Table13[[#This Row],[Today]],Table13[[#This Row],[Transaction Date]])</f>
        <v>655</v>
      </c>
      <c r="H217">
        <f ca="1">NETWORKDAYS.INTL(Table13[[#This Row],[Transaction Date]],Table13[[#This Row],[Today]],)</f>
        <v>470</v>
      </c>
      <c r="I217">
        <f ca="1">NETWORKDAYS(Table13[[#This Row],[Transaction Date]],Table13[[#This Row],[Today]])</f>
        <v>470</v>
      </c>
    </row>
    <row r="218" spans="1:9" x14ac:dyDescent="0.3">
      <c r="A218" t="s">
        <v>10</v>
      </c>
      <c r="B218" t="s">
        <v>11</v>
      </c>
      <c r="C218" s="10" t="s">
        <v>35</v>
      </c>
      <c r="D218" s="16">
        <f t="shared" ca="1" si="12"/>
        <v>45968</v>
      </c>
      <c r="E218" s="14">
        <f t="shared" ca="1" si="10"/>
        <v>45968.535908912039</v>
      </c>
      <c r="F218" s="18">
        <f>EOMONTH(Table13[[#This Row],[Transaction Date]],0)</f>
        <v>45322</v>
      </c>
      <c r="G218" s="20">
        <f ca="1">_xlfn.DAYS(Table13[[#This Row],[Today]],Table13[[#This Row],[Transaction Date]])</f>
        <v>655</v>
      </c>
      <c r="H218">
        <f ca="1">NETWORKDAYS.INTL(Table13[[#This Row],[Transaction Date]],Table13[[#This Row],[Today]],)</f>
        <v>470</v>
      </c>
      <c r="I218">
        <f ca="1">NETWORKDAYS(Table13[[#This Row],[Transaction Date]],Table13[[#This Row],[Today]])</f>
        <v>470</v>
      </c>
    </row>
    <row r="219" spans="1:9" x14ac:dyDescent="0.3">
      <c r="A219" t="s">
        <v>68</v>
      </c>
      <c r="B219" t="s">
        <v>69</v>
      </c>
      <c r="C219" s="10" t="s">
        <v>35</v>
      </c>
      <c r="D219" s="16">
        <f t="shared" ca="1" si="12"/>
        <v>45968</v>
      </c>
      <c r="E219" s="14">
        <f t="shared" ca="1" si="10"/>
        <v>45968.535908912039</v>
      </c>
      <c r="F219" s="18">
        <f>EOMONTH(Table13[[#This Row],[Transaction Date]],0)</f>
        <v>45322</v>
      </c>
      <c r="G219" s="20">
        <f ca="1">_xlfn.DAYS(Table13[[#This Row],[Today]],Table13[[#This Row],[Transaction Date]])</f>
        <v>655</v>
      </c>
      <c r="H219">
        <f ca="1">NETWORKDAYS.INTL(Table13[[#This Row],[Transaction Date]],Table13[[#This Row],[Today]],)</f>
        <v>470</v>
      </c>
      <c r="I219">
        <f ca="1">NETWORKDAYS(Table13[[#This Row],[Transaction Date]],Table13[[#This Row],[Today]])</f>
        <v>470</v>
      </c>
    </row>
    <row r="220" spans="1:9" x14ac:dyDescent="0.3">
      <c r="A220" t="s">
        <v>44</v>
      </c>
      <c r="B220" t="s">
        <v>45</v>
      </c>
      <c r="C220" s="10" t="s">
        <v>35</v>
      </c>
      <c r="D220" s="16">
        <f t="shared" ca="1" si="12"/>
        <v>45968</v>
      </c>
      <c r="E220" s="14">
        <f t="shared" ca="1" si="10"/>
        <v>45968.535908912039</v>
      </c>
      <c r="F220" s="18">
        <f>EOMONTH(Table13[[#This Row],[Transaction Date]],0)</f>
        <v>45322</v>
      </c>
      <c r="G220" s="20">
        <f ca="1">_xlfn.DAYS(Table13[[#This Row],[Today]],Table13[[#This Row],[Transaction Date]])</f>
        <v>655</v>
      </c>
      <c r="H220">
        <f ca="1">NETWORKDAYS.INTL(Table13[[#This Row],[Transaction Date]],Table13[[#This Row],[Today]],)</f>
        <v>470</v>
      </c>
      <c r="I220">
        <f ca="1">NETWORKDAYS(Table13[[#This Row],[Transaction Date]],Table13[[#This Row],[Today]])</f>
        <v>470</v>
      </c>
    </row>
    <row r="221" spans="1:9" x14ac:dyDescent="0.3">
      <c r="A221" t="s">
        <v>86</v>
      </c>
      <c r="B221" t="s">
        <v>87</v>
      </c>
      <c r="C221" s="10" t="s">
        <v>35</v>
      </c>
      <c r="D221" s="16">
        <f ca="1">TODAY()</f>
        <v>45968</v>
      </c>
      <c r="E221" s="14">
        <f t="shared" ca="1" si="10"/>
        <v>45968.535908912039</v>
      </c>
      <c r="F221" s="18">
        <f>EOMONTH(Table13[[#This Row],[Transaction Date]],0)</f>
        <v>45322</v>
      </c>
      <c r="G221" s="20">
        <f ca="1">_xlfn.DAYS(Table13[[#This Row],[Today]],Table13[[#This Row],[Transaction Date]])</f>
        <v>655</v>
      </c>
      <c r="H221">
        <f ca="1">NETWORKDAYS.INTL(Table13[[#This Row],[Transaction Date]],Table13[[#This Row],[Today]],)</f>
        <v>470</v>
      </c>
      <c r="I221">
        <f ca="1">NETWORKDAYS(Table13[[#This Row],[Transaction Date]],Table13[[#This Row],[Today]])</f>
        <v>470</v>
      </c>
    </row>
    <row r="222" spans="1:9" x14ac:dyDescent="0.3">
      <c r="A222" t="s">
        <v>40</v>
      </c>
      <c r="B222" t="s">
        <v>41</v>
      </c>
      <c r="C222" s="10" t="s">
        <v>35</v>
      </c>
      <c r="D222" s="16">
        <f t="shared" ref="D222:D240" ca="1" si="13">TODAY()</f>
        <v>45968</v>
      </c>
      <c r="E222" s="14">
        <f t="shared" ca="1" si="10"/>
        <v>45968.535908912039</v>
      </c>
      <c r="F222" s="18">
        <f>EOMONTH(Table13[[#This Row],[Transaction Date]],0)</f>
        <v>45322</v>
      </c>
      <c r="G222" s="20">
        <f ca="1">_xlfn.DAYS(Table13[[#This Row],[Today]],Table13[[#This Row],[Transaction Date]])</f>
        <v>655</v>
      </c>
      <c r="H222">
        <f ca="1">NETWORKDAYS.INTL(Table13[[#This Row],[Transaction Date]],Table13[[#This Row],[Today]],)</f>
        <v>470</v>
      </c>
      <c r="I222">
        <f ca="1">NETWORKDAYS(Table13[[#This Row],[Transaction Date]],Table13[[#This Row],[Today]])</f>
        <v>470</v>
      </c>
    </row>
    <row r="223" spans="1:9" x14ac:dyDescent="0.3">
      <c r="A223" t="s">
        <v>65</v>
      </c>
      <c r="B223" t="s">
        <v>66</v>
      </c>
      <c r="C223" s="10" t="s">
        <v>35</v>
      </c>
      <c r="D223" s="16">
        <f t="shared" ca="1" si="13"/>
        <v>45968</v>
      </c>
      <c r="E223" s="14">
        <f t="shared" ca="1" si="10"/>
        <v>45968.535908912039</v>
      </c>
      <c r="F223" s="18">
        <f>EOMONTH(Table13[[#This Row],[Transaction Date]],0)</f>
        <v>45322</v>
      </c>
      <c r="G223" s="20">
        <f ca="1">_xlfn.DAYS(Table13[[#This Row],[Today]],Table13[[#This Row],[Transaction Date]])</f>
        <v>655</v>
      </c>
      <c r="H223">
        <f ca="1">NETWORKDAYS.INTL(Table13[[#This Row],[Transaction Date]],Table13[[#This Row],[Today]],)</f>
        <v>470</v>
      </c>
      <c r="I223">
        <f ca="1">NETWORKDAYS(Table13[[#This Row],[Transaction Date]],Table13[[#This Row],[Today]])</f>
        <v>470</v>
      </c>
    </row>
    <row r="224" spans="1:9" x14ac:dyDescent="0.3">
      <c r="A224" t="s">
        <v>83</v>
      </c>
      <c r="B224" t="s">
        <v>84</v>
      </c>
      <c r="C224" s="10" t="s">
        <v>35</v>
      </c>
      <c r="D224" s="16">
        <f t="shared" ca="1" si="13"/>
        <v>45968</v>
      </c>
      <c r="E224" s="14">
        <f t="shared" ca="1" si="10"/>
        <v>45968.535908912039</v>
      </c>
      <c r="F224" s="18">
        <f>EOMONTH(Table13[[#This Row],[Transaction Date]],0)</f>
        <v>45322</v>
      </c>
      <c r="G224" s="20">
        <f ca="1">_xlfn.DAYS(Table13[[#This Row],[Today]],Table13[[#This Row],[Transaction Date]])</f>
        <v>655</v>
      </c>
      <c r="H224">
        <f ca="1">NETWORKDAYS.INTL(Table13[[#This Row],[Transaction Date]],Table13[[#This Row],[Today]],)</f>
        <v>470</v>
      </c>
      <c r="I224">
        <f ca="1">NETWORKDAYS(Table13[[#This Row],[Transaction Date]],Table13[[#This Row],[Today]])</f>
        <v>470</v>
      </c>
    </row>
    <row r="225" spans="1:9" x14ac:dyDescent="0.3">
      <c r="A225" t="s">
        <v>36</v>
      </c>
      <c r="B225" t="s">
        <v>37</v>
      </c>
      <c r="C225" s="10" t="s">
        <v>35</v>
      </c>
      <c r="D225" s="16">
        <f t="shared" ca="1" si="13"/>
        <v>45968</v>
      </c>
      <c r="E225" s="14">
        <f t="shared" ca="1" si="10"/>
        <v>45968.535908912039</v>
      </c>
      <c r="F225" s="18">
        <f>EOMONTH(Table13[[#This Row],[Transaction Date]],0)</f>
        <v>45322</v>
      </c>
      <c r="G225" s="20">
        <f ca="1">_xlfn.DAYS(Table13[[#This Row],[Today]],Table13[[#This Row],[Transaction Date]])</f>
        <v>655</v>
      </c>
      <c r="H225">
        <f ca="1">NETWORKDAYS.INTL(Table13[[#This Row],[Transaction Date]],Table13[[#This Row],[Today]],)</f>
        <v>470</v>
      </c>
      <c r="I225">
        <f ca="1">NETWORKDAYS(Table13[[#This Row],[Transaction Date]],Table13[[#This Row],[Today]])</f>
        <v>470</v>
      </c>
    </row>
    <row r="226" spans="1:9" x14ac:dyDescent="0.3">
      <c r="A226" t="s">
        <v>62</v>
      </c>
      <c r="B226" t="s">
        <v>63</v>
      </c>
      <c r="C226" s="10" t="s">
        <v>35</v>
      </c>
      <c r="D226" s="16">
        <f t="shared" ca="1" si="13"/>
        <v>45968</v>
      </c>
      <c r="E226" s="14">
        <f t="shared" ca="1" si="10"/>
        <v>45968.535908912039</v>
      </c>
      <c r="F226" s="18">
        <f>EOMONTH(Table13[[#This Row],[Transaction Date]],0)</f>
        <v>45322</v>
      </c>
      <c r="G226" s="20">
        <f ca="1">_xlfn.DAYS(Table13[[#This Row],[Today]],Table13[[#This Row],[Transaction Date]])</f>
        <v>655</v>
      </c>
      <c r="H226">
        <f ca="1">NETWORKDAYS.INTL(Table13[[#This Row],[Transaction Date]],Table13[[#This Row],[Today]],)</f>
        <v>470</v>
      </c>
      <c r="I226">
        <f ca="1">NETWORKDAYS(Table13[[#This Row],[Transaction Date]],Table13[[#This Row],[Today]])</f>
        <v>470</v>
      </c>
    </row>
    <row r="227" spans="1:9" x14ac:dyDescent="0.3">
      <c r="A227" t="s">
        <v>31</v>
      </c>
      <c r="B227" t="s">
        <v>32</v>
      </c>
      <c r="C227" s="10" t="s">
        <v>35</v>
      </c>
      <c r="D227" s="16">
        <f t="shared" ca="1" si="13"/>
        <v>45968</v>
      </c>
      <c r="E227" s="14">
        <f t="shared" ca="1" si="10"/>
        <v>45968.535908912039</v>
      </c>
      <c r="F227" s="18">
        <f>EOMONTH(Table13[[#This Row],[Transaction Date]],0)</f>
        <v>45322</v>
      </c>
      <c r="G227" s="20">
        <f ca="1">_xlfn.DAYS(Table13[[#This Row],[Today]],Table13[[#This Row],[Transaction Date]])</f>
        <v>655</v>
      </c>
      <c r="H227">
        <f ca="1">NETWORKDAYS.INTL(Table13[[#This Row],[Transaction Date]],Table13[[#This Row],[Today]],)</f>
        <v>470</v>
      </c>
      <c r="I227">
        <f ca="1">NETWORKDAYS(Table13[[#This Row],[Transaction Date]],Table13[[#This Row],[Today]])</f>
        <v>470</v>
      </c>
    </row>
    <row r="228" spans="1:9" x14ac:dyDescent="0.3">
      <c r="A228" t="s">
        <v>80</v>
      </c>
      <c r="B228" t="s">
        <v>81</v>
      </c>
      <c r="C228" s="10" t="s">
        <v>35</v>
      </c>
      <c r="D228" s="16">
        <f t="shared" ca="1" si="13"/>
        <v>45968</v>
      </c>
      <c r="E228" s="14">
        <f t="shared" ca="1" si="10"/>
        <v>45968.535908912039</v>
      </c>
      <c r="F228" s="18">
        <f>EOMONTH(Table13[[#This Row],[Transaction Date]],0)</f>
        <v>45322</v>
      </c>
      <c r="G228" s="20">
        <f ca="1">_xlfn.DAYS(Table13[[#This Row],[Today]],Table13[[#This Row],[Transaction Date]])</f>
        <v>655</v>
      </c>
      <c r="H228">
        <f ca="1">NETWORKDAYS.INTL(Table13[[#This Row],[Transaction Date]],Table13[[#This Row],[Today]],)</f>
        <v>470</v>
      </c>
      <c r="I228">
        <f ca="1">NETWORKDAYS(Table13[[#This Row],[Transaction Date]],Table13[[#This Row],[Today]])</f>
        <v>470</v>
      </c>
    </row>
    <row r="229" spans="1:9" x14ac:dyDescent="0.3">
      <c r="A229" t="s">
        <v>59</v>
      </c>
      <c r="B229" t="s">
        <v>60</v>
      </c>
      <c r="C229" s="10" t="s">
        <v>35</v>
      </c>
      <c r="D229" s="16">
        <f t="shared" ca="1" si="13"/>
        <v>45968</v>
      </c>
      <c r="E229" s="14">
        <f t="shared" ca="1" si="10"/>
        <v>45968.535908912039</v>
      </c>
      <c r="F229" s="18">
        <f>EOMONTH(Table13[[#This Row],[Transaction Date]],0)</f>
        <v>45322</v>
      </c>
      <c r="G229" s="20">
        <f ca="1">_xlfn.DAYS(Table13[[#This Row],[Today]],Table13[[#This Row],[Transaction Date]])</f>
        <v>655</v>
      </c>
      <c r="H229">
        <f ca="1">NETWORKDAYS.INTL(Table13[[#This Row],[Transaction Date]],Table13[[#This Row],[Today]],)</f>
        <v>470</v>
      </c>
      <c r="I229">
        <f ca="1">NETWORKDAYS(Table13[[#This Row],[Transaction Date]],Table13[[#This Row],[Today]])</f>
        <v>470</v>
      </c>
    </row>
    <row r="230" spans="1:9" x14ac:dyDescent="0.3">
      <c r="A230" t="s">
        <v>24</v>
      </c>
      <c r="B230" t="s">
        <v>25</v>
      </c>
      <c r="C230" s="10" t="s">
        <v>35</v>
      </c>
      <c r="D230" s="16">
        <f t="shared" ca="1" si="13"/>
        <v>45968</v>
      </c>
      <c r="E230" s="14">
        <f t="shared" ca="1" si="10"/>
        <v>45968.535908912039</v>
      </c>
      <c r="F230" s="18">
        <f>EOMONTH(Table13[[#This Row],[Transaction Date]],0)</f>
        <v>45322</v>
      </c>
      <c r="G230" s="20">
        <f ca="1">_xlfn.DAYS(Table13[[#This Row],[Today]],Table13[[#This Row],[Transaction Date]])</f>
        <v>655</v>
      </c>
      <c r="H230">
        <f ca="1">NETWORKDAYS.INTL(Table13[[#This Row],[Transaction Date]],Table13[[#This Row],[Today]],)</f>
        <v>470</v>
      </c>
      <c r="I230">
        <f ca="1">NETWORKDAYS(Table13[[#This Row],[Transaction Date]],Table13[[#This Row],[Today]])</f>
        <v>470</v>
      </c>
    </row>
    <row r="231" spans="1:9" x14ac:dyDescent="0.3">
      <c r="A231" t="s">
        <v>77</v>
      </c>
      <c r="B231" t="s">
        <v>78</v>
      </c>
      <c r="C231" s="10" t="s">
        <v>35</v>
      </c>
      <c r="D231" s="16">
        <f t="shared" ca="1" si="13"/>
        <v>45968</v>
      </c>
      <c r="E231" s="14">
        <f t="shared" ca="1" si="10"/>
        <v>45968.535908912039</v>
      </c>
      <c r="F231" s="18">
        <f>EOMONTH(Table13[[#This Row],[Transaction Date]],0)</f>
        <v>45322</v>
      </c>
      <c r="G231" s="20">
        <f ca="1">_xlfn.DAYS(Table13[[#This Row],[Today]],Table13[[#This Row],[Transaction Date]])</f>
        <v>655</v>
      </c>
      <c r="H231">
        <f ca="1">NETWORKDAYS.INTL(Table13[[#This Row],[Transaction Date]],Table13[[#This Row],[Today]],)</f>
        <v>470</v>
      </c>
      <c r="I231">
        <f ca="1">NETWORKDAYS(Table13[[#This Row],[Transaction Date]],Table13[[#This Row],[Today]])</f>
        <v>470</v>
      </c>
    </row>
    <row r="232" spans="1:9" x14ac:dyDescent="0.3">
      <c r="A232" t="s">
        <v>56</v>
      </c>
      <c r="B232" t="s">
        <v>57</v>
      </c>
      <c r="C232" s="10" t="s">
        <v>35</v>
      </c>
      <c r="D232" s="16">
        <f t="shared" ca="1" si="13"/>
        <v>45968</v>
      </c>
      <c r="E232" s="14">
        <f t="shared" ca="1" si="10"/>
        <v>45968.535908912039</v>
      </c>
      <c r="F232" s="18">
        <f>EOMONTH(Table13[[#This Row],[Transaction Date]],0)</f>
        <v>45322</v>
      </c>
      <c r="G232" s="20">
        <f ca="1">_xlfn.DAYS(Table13[[#This Row],[Today]],Table13[[#This Row],[Transaction Date]])</f>
        <v>655</v>
      </c>
      <c r="H232">
        <f ca="1">NETWORKDAYS.INTL(Table13[[#This Row],[Transaction Date]],Table13[[#This Row],[Today]],)</f>
        <v>470</v>
      </c>
      <c r="I232">
        <f ca="1">NETWORKDAYS(Table13[[#This Row],[Transaction Date]],Table13[[#This Row],[Today]])</f>
        <v>470</v>
      </c>
    </row>
    <row r="233" spans="1:9" x14ac:dyDescent="0.3">
      <c r="A233" t="s">
        <v>74</v>
      </c>
      <c r="B233" t="s">
        <v>75</v>
      </c>
      <c r="C233" s="10" t="s">
        <v>35</v>
      </c>
      <c r="D233" s="16">
        <f t="shared" ca="1" si="13"/>
        <v>45968</v>
      </c>
      <c r="E233" s="14">
        <f t="shared" ref="E233:E296" ca="1" si="14">NOW()</f>
        <v>45968.535908912039</v>
      </c>
      <c r="F233" s="18">
        <f>EOMONTH(Table13[[#This Row],[Transaction Date]],0)</f>
        <v>45322</v>
      </c>
      <c r="G233" s="20">
        <f ca="1">_xlfn.DAYS(Table13[[#This Row],[Today]],Table13[[#This Row],[Transaction Date]])</f>
        <v>655</v>
      </c>
      <c r="H233">
        <f ca="1">NETWORKDAYS.INTL(Table13[[#This Row],[Transaction Date]],Table13[[#This Row],[Today]],)</f>
        <v>470</v>
      </c>
      <c r="I233">
        <f ca="1">NETWORKDAYS(Table13[[#This Row],[Transaction Date]],Table13[[#This Row],[Today]])</f>
        <v>470</v>
      </c>
    </row>
    <row r="234" spans="1:9" x14ac:dyDescent="0.3">
      <c r="A234" t="s">
        <v>17</v>
      </c>
      <c r="B234" t="s">
        <v>18</v>
      </c>
      <c r="C234" s="10" t="s">
        <v>35</v>
      </c>
      <c r="D234" s="16">
        <f t="shared" ca="1" si="13"/>
        <v>45968</v>
      </c>
      <c r="E234" s="14">
        <f t="shared" ca="1" si="14"/>
        <v>45968.535908912039</v>
      </c>
      <c r="F234" s="18">
        <f>EOMONTH(Table13[[#This Row],[Transaction Date]],0)</f>
        <v>45322</v>
      </c>
      <c r="G234" s="20">
        <f ca="1">_xlfn.DAYS(Table13[[#This Row],[Today]],Table13[[#This Row],[Transaction Date]])</f>
        <v>655</v>
      </c>
      <c r="H234">
        <f ca="1">NETWORKDAYS.INTL(Table13[[#This Row],[Transaction Date]],Table13[[#This Row],[Today]],)</f>
        <v>470</v>
      </c>
      <c r="I234">
        <f ca="1">NETWORKDAYS(Table13[[#This Row],[Transaction Date]],Table13[[#This Row],[Today]])</f>
        <v>470</v>
      </c>
    </row>
    <row r="235" spans="1:9" x14ac:dyDescent="0.3">
      <c r="A235" t="s">
        <v>53</v>
      </c>
      <c r="B235" t="s">
        <v>54</v>
      </c>
      <c r="C235" s="10" t="s">
        <v>35</v>
      </c>
      <c r="D235" s="16">
        <f t="shared" ca="1" si="13"/>
        <v>45968</v>
      </c>
      <c r="E235" s="14">
        <f t="shared" ca="1" si="14"/>
        <v>45968.535908912039</v>
      </c>
      <c r="F235" s="18">
        <f>EOMONTH(Table13[[#This Row],[Transaction Date]],0)</f>
        <v>45322</v>
      </c>
      <c r="G235" s="20">
        <f ca="1">_xlfn.DAYS(Table13[[#This Row],[Today]],Table13[[#This Row],[Transaction Date]])</f>
        <v>655</v>
      </c>
      <c r="H235">
        <f ca="1">NETWORKDAYS.INTL(Table13[[#This Row],[Transaction Date]],Table13[[#This Row],[Today]],)</f>
        <v>470</v>
      </c>
      <c r="I235">
        <f ca="1">NETWORKDAYS(Table13[[#This Row],[Transaction Date]],Table13[[#This Row],[Today]])</f>
        <v>470</v>
      </c>
    </row>
    <row r="236" spans="1:9" x14ac:dyDescent="0.3">
      <c r="A236" t="s">
        <v>71</v>
      </c>
      <c r="B236" t="s">
        <v>72</v>
      </c>
      <c r="C236" s="10" t="s">
        <v>35</v>
      </c>
      <c r="D236" s="16">
        <f t="shared" ca="1" si="13"/>
        <v>45968</v>
      </c>
      <c r="E236" s="14">
        <f t="shared" ca="1" si="14"/>
        <v>45968.535908912039</v>
      </c>
      <c r="F236" s="18">
        <f>EOMONTH(Table13[[#This Row],[Transaction Date]],0)</f>
        <v>45322</v>
      </c>
      <c r="G236" s="20">
        <f ca="1">_xlfn.DAYS(Table13[[#This Row],[Today]],Table13[[#This Row],[Transaction Date]])</f>
        <v>655</v>
      </c>
      <c r="H236">
        <f ca="1">NETWORKDAYS.INTL(Table13[[#This Row],[Transaction Date]],Table13[[#This Row],[Today]],)</f>
        <v>470</v>
      </c>
      <c r="I236">
        <f ca="1">NETWORKDAYS(Table13[[#This Row],[Transaction Date]],Table13[[#This Row],[Today]])</f>
        <v>470</v>
      </c>
    </row>
    <row r="237" spans="1:9" x14ac:dyDescent="0.3">
      <c r="A237" t="s">
        <v>49</v>
      </c>
      <c r="B237" t="s">
        <v>50</v>
      </c>
      <c r="C237" s="10" t="s">
        <v>35</v>
      </c>
      <c r="D237" s="16">
        <f t="shared" ca="1" si="13"/>
        <v>45968</v>
      </c>
      <c r="E237" s="14">
        <f t="shared" ca="1" si="14"/>
        <v>45968.535908912039</v>
      </c>
      <c r="F237" s="18">
        <f>EOMONTH(Table13[[#This Row],[Transaction Date]],0)</f>
        <v>45322</v>
      </c>
      <c r="G237" s="20">
        <f ca="1">_xlfn.DAYS(Table13[[#This Row],[Today]],Table13[[#This Row],[Transaction Date]])</f>
        <v>655</v>
      </c>
      <c r="H237">
        <f ca="1">NETWORKDAYS.INTL(Table13[[#This Row],[Transaction Date]],Table13[[#This Row],[Today]],)</f>
        <v>470</v>
      </c>
      <c r="I237">
        <f ca="1">NETWORKDAYS(Table13[[#This Row],[Transaction Date]],Table13[[#This Row],[Today]])</f>
        <v>470</v>
      </c>
    </row>
    <row r="238" spans="1:9" x14ac:dyDescent="0.3">
      <c r="A238" t="s">
        <v>10</v>
      </c>
      <c r="B238" t="s">
        <v>11</v>
      </c>
      <c r="C238" s="10" t="s">
        <v>35</v>
      </c>
      <c r="D238" s="16">
        <f t="shared" ca="1" si="13"/>
        <v>45968</v>
      </c>
      <c r="E238" s="14">
        <f t="shared" ca="1" si="14"/>
        <v>45968.535908912039</v>
      </c>
      <c r="F238" s="18">
        <f>EOMONTH(Table13[[#This Row],[Transaction Date]],0)</f>
        <v>45322</v>
      </c>
      <c r="G238" s="20">
        <f ca="1">_xlfn.DAYS(Table13[[#This Row],[Today]],Table13[[#This Row],[Transaction Date]])</f>
        <v>655</v>
      </c>
      <c r="H238">
        <f ca="1">NETWORKDAYS.INTL(Table13[[#This Row],[Transaction Date]],Table13[[#This Row],[Today]],)</f>
        <v>470</v>
      </c>
      <c r="I238">
        <f ca="1">NETWORKDAYS(Table13[[#This Row],[Transaction Date]],Table13[[#This Row],[Today]])</f>
        <v>470</v>
      </c>
    </row>
    <row r="239" spans="1:9" x14ac:dyDescent="0.3">
      <c r="A239" t="s">
        <v>68</v>
      </c>
      <c r="B239" t="s">
        <v>69</v>
      </c>
      <c r="C239" s="10" t="s">
        <v>35</v>
      </c>
      <c r="D239" s="16">
        <f t="shared" ca="1" si="13"/>
        <v>45968</v>
      </c>
      <c r="E239" s="14">
        <f t="shared" ca="1" si="14"/>
        <v>45968.535908912039</v>
      </c>
      <c r="F239" s="18">
        <f>EOMONTH(Table13[[#This Row],[Transaction Date]],0)</f>
        <v>45322</v>
      </c>
      <c r="G239" s="20">
        <f ca="1">_xlfn.DAYS(Table13[[#This Row],[Today]],Table13[[#This Row],[Transaction Date]])</f>
        <v>655</v>
      </c>
      <c r="H239">
        <f ca="1">NETWORKDAYS.INTL(Table13[[#This Row],[Transaction Date]],Table13[[#This Row],[Today]],)</f>
        <v>470</v>
      </c>
      <c r="I239">
        <f ca="1">NETWORKDAYS(Table13[[#This Row],[Transaction Date]],Table13[[#This Row],[Today]])</f>
        <v>470</v>
      </c>
    </row>
    <row r="240" spans="1:9" x14ac:dyDescent="0.3">
      <c r="A240" t="s">
        <v>44</v>
      </c>
      <c r="B240" t="s">
        <v>45</v>
      </c>
      <c r="C240" s="10" t="s">
        <v>35</v>
      </c>
      <c r="D240" s="16">
        <f t="shared" ca="1" si="13"/>
        <v>45968</v>
      </c>
      <c r="E240" s="14">
        <f t="shared" ca="1" si="14"/>
        <v>45968.535908912039</v>
      </c>
      <c r="F240" s="18">
        <f>EOMONTH(Table13[[#This Row],[Transaction Date]],0)</f>
        <v>45322</v>
      </c>
      <c r="G240" s="20">
        <f ca="1">_xlfn.DAYS(Table13[[#This Row],[Today]],Table13[[#This Row],[Transaction Date]])</f>
        <v>655</v>
      </c>
      <c r="H240">
        <f ca="1">NETWORKDAYS.INTL(Table13[[#This Row],[Transaction Date]],Table13[[#This Row],[Today]],)</f>
        <v>470</v>
      </c>
      <c r="I240">
        <f ca="1">NETWORKDAYS(Table13[[#This Row],[Transaction Date]],Table13[[#This Row],[Today]])</f>
        <v>470</v>
      </c>
    </row>
    <row r="241" spans="1:9" x14ac:dyDescent="0.3">
      <c r="A241" t="s">
        <v>86</v>
      </c>
      <c r="B241" t="s">
        <v>87</v>
      </c>
      <c r="C241" s="10" t="s">
        <v>35</v>
      </c>
      <c r="D241" s="16">
        <f ca="1">TODAY()</f>
        <v>45968</v>
      </c>
      <c r="E241" s="14">
        <f t="shared" ca="1" si="14"/>
        <v>45968.535908912039</v>
      </c>
      <c r="F241" s="18">
        <f>EOMONTH(Table13[[#This Row],[Transaction Date]],0)</f>
        <v>45322</v>
      </c>
      <c r="G241" s="20">
        <f ca="1">_xlfn.DAYS(Table13[[#This Row],[Today]],Table13[[#This Row],[Transaction Date]])</f>
        <v>655</v>
      </c>
      <c r="H241">
        <f ca="1">NETWORKDAYS.INTL(Table13[[#This Row],[Transaction Date]],Table13[[#This Row],[Today]],)</f>
        <v>470</v>
      </c>
      <c r="I241">
        <f ca="1">NETWORKDAYS(Table13[[#This Row],[Transaction Date]],Table13[[#This Row],[Today]])</f>
        <v>470</v>
      </c>
    </row>
    <row r="242" spans="1:9" x14ac:dyDescent="0.3">
      <c r="A242" t="s">
        <v>40</v>
      </c>
      <c r="B242" t="s">
        <v>41</v>
      </c>
      <c r="C242" s="10" t="s">
        <v>35</v>
      </c>
      <c r="D242" s="16">
        <f t="shared" ref="D242:D280" ca="1" si="15">TODAY()</f>
        <v>45968</v>
      </c>
      <c r="E242" s="14">
        <f t="shared" ca="1" si="14"/>
        <v>45968.535908912039</v>
      </c>
      <c r="F242" s="18">
        <f>EOMONTH(Table13[[#This Row],[Transaction Date]],0)</f>
        <v>45322</v>
      </c>
      <c r="G242" s="20">
        <f ca="1">_xlfn.DAYS(Table13[[#This Row],[Today]],Table13[[#This Row],[Transaction Date]])</f>
        <v>655</v>
      </c>
      <c r="H242">
        <f ca="1">NETWORKDAYS.INTL(Table13[[#This Row],[Transaction Date]],Table13[[#This Row],[Today]],)</f>
        <v>470</v>
      </c>
      <c r="I242">
        <f ca="1">NETWORKDAYS(Table13[[#This Row],[Transaction Date]],Table13[[#This Row],[Today]])</f>
        <v>470</v>
      </c>
    </row>
    <row r="243" spans="1:9" x14ac:dyDescent="0.3">
      <c r="A243" t="s">
        <v>65</v>
      </c>
      <c r="B243" t="s">
        <v>66</v>
      </c>
      <c r="C243" s="10" t="s">
        <v>35</v>
      </c>
      <c r="D243" s="16">
        <f t="shared" ca="1" si="15"/>
        <v>45968</v>
      </c>
      <c r="E243" s="14">
        <f t="shared" ca="1" si="14"/>
        <v>45968.535908912039</v>
      </c>
      <c r="F243" s="18">
        <f>EOMONTH(Table13[[#This Row],[Transaction Date]],0)</f>
        <v>45322</v>
      </c>
      <c r="G243" s="20">
        <f ca="1">_xlfn.DAYS(Table13[[#This Row],[Today]],Table13[[#This Row],[Transaction Date]])</f>
        <v>655</v>
      </c>
      <c r="H243">
        <f ca="1">NETWORKDAYS.INTL(Table13[[#This Row],[Transaction Date]],Table13[[#This Row],[Today]],)</f>
        <v>470</v>
      </c>
      <c r="I243">
        <f ca="1">NETWORKDAYS(Table13[[#This Row],[Transaction Date]],Table13[[#This Row],[Today]])</f>
        <v>470</v>
      </c>
    </row>
    <row r="244" spans="1:9" x14ac:dyDescent="0.3">
      <c r="A244" t="s">
        <v>83</v>
      </c>
      <c r="B244" t="s">
        <v>84</v>
      </c>
      <c r="C244" s="10" t="s">
        <v>35</v>
      </c>
      <c r="D244" s="16">
        <f t="shared" ca="1" si="15"/>
        <v>45968</v>
      </c>
      <c r="E244" s="14">
        <f t="shared" ca="1" si="14"/>
        <v>45968.535908912039</v>
      </c>
      <c r="F244" s="18">
        <f>EOMONTH(Table13[[#This Row],[Transaction Date]],0)</f>
        <v>45322</v>
      </c>
      <c r="G244" s="20">
        <f ca="1">_xlfn.DAYS(Table13[[#This Row],[Today]],Table13[[#This Row],[Transaction Date]])</f>
        <v>655</v>
      </c>
      <c r="H244">
        <f ca="1">NETWORKDAYS.INTL(Table13[[#This Row],[Transaction Date]],Table13[[#This Row],[Today]],)</f>
        <v>470</v>
      </c>
      <c r="I244">
        <f ca="1">NETWORKDAYS(Table13[[#This Row],[Transaction Date]],Table13[[#This Row],[Today]])</f>
        <v>470</v>
      </c>
    </row>
    <row r="245" spans="1:9" x14ac:dyDescent="0.3">
      <c r="A245" t="s">
        <v>36</v>
      </c>
      <c r="B245" t="s">
        <v>37</v>
      </c>
      <c r="C245" s="10" t="s">
        <v>35</v>
      </c>
      <c r="D245" s="16">
        <f t="shared" ca="1" si="15"/>
        <v>45968</v>
      </c>
      <c r="E245" s="14">
        <f t="shared" ca="1" si="14"/>
        <v>45968.535908912039</v>
      </c>
      <c r="F245" s="18">
        <f>EOMONTH(Table13[[#This Row],[Transaction Date]],0)</f>
        <v>45322</v>
      </c>
      <c r="G245" s="20">
        <f ca="1">_xlfn.DAYS(Table13[[#This Row],[Today]],Table13[[#This Row],[Transaction Date]])</f>
        <v>655</v>
      </c>
      <c r="H245">
        <f ca="1">NETWORKDAYS.INTL(Table13[[#This Row],[Transaction Date]],Table13[[#This Row],[Today]],)</f>
        <v>470</v>
      </c>
      <c r="I245">
        <f ca="1">NETWORKDAYS(Table13[[#This Row],[Transaction Date]],Table13[[#This Row],[Today]])</f>
        <v>470</v>
      </c>
    </row>
    <row r="246" spans="1:9" x14ac:dyDescent="0.3">
      <c r="A246" t="s">
        <v>62</v>
      </c>
      <c r="B246" t="s">
        <v>63</v>
      </c>
      <c r="C246" s="10" t="s">
        <v>35</v>
      </c>
      <c r="D246" s="16">
        <f t="shared" ca="1" si="15"/>
        <v>45968</v>
      </c>
      <c r="E246" s="14">
        <f t="shared" ca="1" si="14"/>
        <v>45968.535908912039</v>
      </c>
      <c r="F246" s="18">
        <f>EOMONTH(Table13[[#This Row],[Transaction Date]],0)</f>
        <v>45322</v>
      </c>
      <c r="G246" s="20">
        <f ca="1">_xlfn.DAYS(Table13[[#This Row],[Today]],Table13[[#This Row],[Transaction Date]])</f>
        <v>655</v>
      </c>
      <c r="H246">
        <f ca="1">NETWORKDAYS.INTL(Table13[[#This Row],[Transaction Date]],Table13[[#This Row],[Today]],)</f>
        <v>470</v>
      </c>
      <c r="I246">
        <f ca="1">NETWORKDAYS(Table13[[#This Row],[Transaction Date]],Table13[[#This Row],[Today]])</f>
        <v>470</v>
      </c>
    </row>
    <row r="247" spans="1:9" x14ac:dyDescent="0.3">
      <c r="A247" t="s">
        <v>31</v>
      </c>
      <c r="B247" t="s">
        <v>32</v>
      </c>
      <c r="C247" s="10" t="s">
        <v>35</v>
      </c>
      <c r="D247" s="16">
        <f t="shared" ca="1" si="15"/>
        <v>45968</v>
      </c>
      <c r="E247" s="14">
        <f t="shared" ca="1" si="14"/>
        <v>45968.535908912039</v>
      </c>
      <c r="F247" s="18">
        <f>EOMONTH(Table13[[#This Row],[Transaction Date]],0)</f>
        <v>45322</v>
      </c>
      <c r="G247" s="20">
        <f ca="1">_xlfn.DAYS(Table13[[#This Row],[Today]],Table13[[#This Row],[Transaction Date]])</f>
        <v>655</v>
      </c>
      <c r="H247">
        <f ca="1">NETWORKDAYS.INTL(Table13[[#This Row],[Transaction Date]],Table13[[#This Row],[Today]],)</f>
        <v>470</v>
      </c>
      <c r="I247">
        <f ca="1">NETWORKDAYS(Table13[[#This Row],[Transaction Date]],Table13[[#This Row],[Today]])</f>
        <v>470</v>
      </c>
    </row>
    <row r="248" spans="1:9" x14ac:dyDescent="0.3">
      <c r="A248" t="s">
        <v>80</v>
      </c>
      <c r="B248" t="s">
        <v>81</v>
      </c>
      <c r="C248" s="10" t="s">
        <v>35</v>
      </c>
      <c r="D248" s="16">
        <f t="shared" ca="1" si="15"/>
        <v>45968</v>
      </c>
      <c r="E248" s="14">
        <f t="shared" ca="1" si="14"/>
        <v>45968.535908912039</v>
      </c>
      <c r="F248" s="18">
        <f>EOMONTH(Table13[[#This Row],[Transaction Date]],0)</f>
        <v>45322</v>
      </c>
      <c r="G248" s="20">
        <f ca="1">_xlfn.DAYS(Table13[[#This Row],[Today]],Table13[[#This Row],[Transaction Date]])</f>
        <v>655</v>
      </c>
      <c r="H248">
        <f ca="1">NETWORKDAYS.INTL(Table13[[#This Row],[Transaction Date]],Table13[[#This Row],[Today]],)</f>
        <v>470</v>
      </c>
      <c r="I248">
        <f ca="1">NETWORKDAYS(Table13[[#This Row],[Transaction Date]],Table13[[#This Row],[Today]])</f>
        <v>470</v>
      </c>
    </row>
    <row r="249" spans="1:9" x14ac:dyDescent="0.3">
      <c r="A249" t="s">
        <v>59</v>
      </c>
      <c r="B249" t="s">
        <v>60</v>
      </c>
      <c r="C249" s="10" t="s">
        <v>35</v>
      </c>
      <c r="D249" s="16">
        <f t="shared" ca="1" si="15"/>
        <v>45968</v>
      </c>
      <c r="E249" s="14">
        <f t="shared" ca="1" si="14"/>
        <v>45968.535908912039</v>
      </c>
      <c r="F249" s="18">
        <f>EOMONTH(Table13[[#This Row],[Transaction Date]],0)</f>
        <v>45322</v>
      </c>
      <c r="G249" s="20">
        <f ca="1">_xlfn.DAYS(Table13[[#This Row],[Today]],Table13[[#This Row],[Transaction Date]])</f>
        <v>655</v>
      </c>
      <c r="H249">
        <f ca="1">NETWORKDAYS.INTL(Table13[[#This Row],[Transaction Date]],Table13[[#This Row],[Today]],)</f>
        <v>470</v>
      </c>
      <c r="I249">
        <f ca="1">NETWORKDAYS(Table13[[#This Row],[Transaction Date]],Table13[[#This Row],[Today]])</f>
        <v>470</v>
      </c>
    </row>
    <row r="250" spans="1:9" x14ac:dyDescent="0.3">
      <c r="A250" t="s">
        <v>24</v>
      </c>
      <c r="B250" t="s">
        <v>25</v>
      </c>
      <c r="C250" s="10" t="s">
        <v>35</v>
      </c>
      <c r="D250" s="16">
        <f t="shared" ca="1" si="15"/>
        <v>45968</v>
      </c>
      <c r="E250" s="14">
        <f t="shared" ca="1" si="14"/>
        <v>45968.535908912039</v>
      </c>
      <c r="F250" s="18">
        <f>EOMONTH(Table13[[#This Row],[Transaction Date]],0)</f>
        <v>45322</v>
      </c>
      <c r="G250" s="20">
        <f ca="1">_xlfn.DAYS(Table13[[#This Row],[Today]],Table13[[#This Row],[Transaction Date]])</f>
        <v>655</v>
      </c>
      <c r="H250">
        <f ca="1">NETWORKDAYS.INTL(Table13[[#This Row],[Transaction Date]],Table13[[#This Row],[Today]],)</f>
        <v>470</v>
      </c>
      <c r="I250">
        <f ca="1">NETWORKDAYS(Table13[[#This Row],[Transaction Date]],Table13[[#This Row],[Today]])</f>
        <v>470</v>
      </c>
    </row>
    <row r="251" spans="1:9" x14ac:dyDescent="0.3">
      <c r="A251" t="s">
        <v>77</v>
      </c>
      <c r="B251" t="s">
        <v>78</v>
      </c>
      <c r="C251" s="10" t="s">
        <v>35</v>
      </c>
      <c r="D251" s="16">
        <f t="shared" ca="1" si="15"/>
        <v>45968</v>
      </c>
      <c r="E251" s="14">
        <f t="shared" ca="1" si="14"/>
        <v>45968.535908912039</v>
      </c>
      <c r="F251" s="18">
        <f>EOMONTH(Table13[[#This Row],[Transaction Date]],0)</f>
        <v>45322</v>
      </c>
      <c r="G251" s="20">
        <f ca="1">_xlfn.DAYS(Table13[[#This Row],[Today]],Table13[[#This Row],[Transaction Date]])</f>
        <v>655</v>
      </c>
      <c r="H251">
        <f ca="1">NETWORKDAYS.INTL(Table13[[#This Row],[Transaction Date]],Table13[[#This Row],[Today]],)</f>
        <v>470</v>
      </c>
      <c r="I251">
        <f ca="1">NETWORKDAYS(Table13[[#This Row],[Transaction Date]],Table13[[#This Row],[Today]])</f>
        <v>470</v>
      </c>
    </row>
    <row r="252" spans="1:9" x14ac:dyDescent="0.3">
      <c r="A252" t="s">
        <v>56</v>
      </c>
      <c r="B252" t="s">
        <v>57</v>
      </c>
      <c r="C252" s="10" t="s">
        <v>35</v>
      </c>
      <c r="D252" s="16">
        <f t="shared" ca="1" si="15"/>
        <v>45968</v>
      </c>
      <c r="E252" s="14">
        <f t="shared" ca="1" si="14"/>
        <v>45968.535908912039</v>
      </c>
      <c r="F252" s="18">
        <f>EOMONTH(Table13[[#This Row],[Transaction Date]],0)</f>
        <v>45322</v>
      </c>
      <c r="G252" s="20">
        <f ca="1">_xlfn.DAYS(Table13[[#This Row],[Today]],Table13[[#This Row],[Transaction Date]])</f>
        <v>655</v>
      </c>
      <c r="H252">
        <f ca="1">NETWORKDAYS.INTL(Table13[[#This Row],[Transaction Date]],Table13[[#This Row],[Today]],)</f>
        <v>470</v>
      </c>
      <c r="I252">
        <f ca="1">NETWORKDAYS(Table13[[#This Row],[Transaction Date]],Table13[[#This Row],[Today]])</f>
        <v>470</v>
      </c>
    </row>
    <row r="253" spans="1:9" x14ac:dyDescent="0.3">
      <c r="A253" t="s">
        <v>74</v>
      </c>
      <c r="B253" t="s">
        <v>75</v>
      </c>
      <c r="C253" s="10" t="s">
        <v>35</v>
      </c>
      <c r="D253" s="16">
        <f t="shared" ca="1" si="15"/>
        <v>45968</v>
      </c>
      <c r="E253" s="14">
        <f t="shared" ca="1" si="14"/>
        <v>45968.535908912039</v>
      </c>
      <c r="F253" s="18">
        <f>EOMONTH(Table13[[#This Row],[Transaction Date]],0)</f>
        <v>45322</v>
      </c>
      <c r="G253" s="20">
        <f ca="1">_xlfn.DAYS(Table13[[#This Row],[Today]],Table13[[#This Row],[Transaction Date]])</f>
        <v>655</v>
      </c>
      <c r="H253">
        <f ca="1">NETWORKDAYS.INTL(Table13[[#This Row],[Transaction Date]],Table13[[#This Row],[Today]],)</f>
        <v>470</v>
      </c>
      <c r="I253">
        <f ca="1">NETWORKDAYS(Table13[[#This Row],[Transaction Date]],Table13[[#This Row],[Today]])</f>
        <v>470</v>
      </c>
    </row>
    <row r="254" spans="1:9" x14ac:dyDescent="0.3">
      <c r="A254" t="s">
        <v>17</v>
      </c>
      <c r="B254" t="s">
        <v>18</v>
      </c>
      <c r="C254" s="10" t="s">
        <v>35</v>
      </c>
      <c r="D254" s="16">
        <f t="shared" ca="1" si="15"/>
        <v>45968</v>
      </c>
      <c r="E254" s="14">
        <f t="shared" ca="1" si="14"/>
        <v>45968.535908912039</v>
      </c>
      <c r="F254" s="18">
        <f>EOMONTH(Table13[[#This Row],[Transaction Date]],0)</f>
        <v>45322</v>
      </c>
      <c r="G254" s="20">
        <f ca="1">_xlfn.DAYS(Table13[[#This Row],[Today]],Table13[[#This Row],[Transaction Date]])</f>
        <v>655</v>
      </c>
      <c r="H254">
        <f ca="1">NETWORKDAYS.INTL(Table13[[#This Row],[Transaction Date]],Table13[[#This Row],[Today]],)</f>
        <v>470</v>
      </c>
      <c r="I254">
        <f ca="1">NETWORKDAYS(Table13[[#This Row],[Transaction Date]],Table13[[#This Row],[Today]])</f>
        <v>470</v>
      </c>
    </row>
    <row r="255" spans="1:9" x14ac:dyDescent="0.3">
      <c r="A255" t="s">
        <v>53</v>
      </c>
      <c r="B255" t="s">
        <v>54</v>
      </c>
      <c r="C255" s="10" t="s">
        <v>35</v>
      </c>
      <c r="D255" s="16">
        <f t="shared" ca="1" si="15"/>
        <v>45968</v>
      </c>
      <c r="E255" s="14">
        <f t="shared" ca="1" si="14"/>
        <v>45968.535908912039</v>
      </c>
      <c r="F255" s="18">
        <f>EOMONTH(Table13[[#This Row],[Transaction Date]],0)</f>
        <v>45322</v>
      </c>
      <c r="G255" s="20">
        <f ca="1">_xlfn.DAYS(Table13[[#This Row],[Today]],Table13[[#This Row],[Transaction Date]])</f>
        <v>655</v>
      </c>
      <c r="H255">
        <f ca="1">NETWORKDAYS.INTL(Table13[[#This Row],[Transaction Date]],Table13[[#This Row],[Today]],)</f>
        <v>470</v>
      </c>
      <c r="I255">
        <f ca="1">NETWORKDAYS(Table13[[#This Row],[Transaction Date]],Table13[[#This Row],[Today]])</f>
        <v>470</v>
      </c>
    </row>
    <row r="256" spans="1:9" x14ac:dyDescent="0.3">
      <c r="A256" t="s">
        <v>71</v>
      </c>
      <c r="B256" t="s">
        <v>72</v>
      </c>
      <c r="C256" s="10" t="s">
        <v>35</v>
      </c>
      <c r="D256" s="16">
        <f t="shared" ca="1" si="15"/>
        <v>45968</v>
      </c>
      <c r="E256" s="14">
        <f t="shared" ca="1" si="14"/>
        <v>45968.535908912039</v>
      </c>
      <c r="F256" s="18">
        <f>EOMONTH(Table13[[#This Row],[Transaction Date]],0)</f>
        <v>45322</v>
      </c>
      <c r="G256" s="20">
        <f ca="1">_xlfn.DAYS(Table13[[#This Row],[Today]],Table13[[#This Row],[Transaction Date]])</f>
        <v>655</v>
      </c>
      <c r="H256">
        <f ca="1">NETWORKDAYS.INTL(Table13[[#This Row],[Transaction Date]],Table13[[#This Row],[Today]],)</f>
        <v>470</v>
      </c>
      <c r="I256">
        <f ca="1">NETWORKDAYS(Table13[[#This Row],[Transaction Date]],Table13[[#This Row],[Today]])</f>
        <v>470</v>
      </c>
    </row>
    <row r="257" spans="1:9" x14ac:dyDescent="0.3">
      <c r="A257" t="s">
        <v>49</v>
      </c>
      <c r="B257" t="s">
        <v>50</v>
      </c>
      <c r="C257" s="10" t="s">
        <v>35</v>
      </c>
      <c r="D257" s="16">
        <f t="shared" ca="1" si="15"/>
        <v>45968</v>
      </c>
      <c r="E257" s="14">
        <f t="shared" ca="1" si="14"/>
        <v>45968.535908912039</v>
      </c>
      <c r="F257" s="18">
        <f>EOMONTH(Table13[[#This Row],[Transaction Date]],0)</f>
        <v>45322</v>
      </c>
      <c r="G257" s="20">
        <f ca="1">_xlfn.DAYS(Table13[[#This Row],[Today]],Table13[[#This Row],[Transaction Date]])</f>
        <v>655</v>
      </c>
      <c r="H257">
        <f ca="1">NETWORKDAYS.INTL(Table13[[#This Row],[Transaction Date]],Table13[[#This Row],[Today]],)</f>
        <v>470</v>
      </c>
      <c r="I257">
        <f ca="1">NETWORKDAYS(Table13[[#This Row],[Transaction Date]],Table13[[#This Row],[Today]])</f>
        <v>470</v>
      </c>
    </row>
    <row r="258" spans="1:9" x14ac:dyDescent="0.3">
      <c r="A258" t="s">
        <v>10</v>
      </c>
      <c r="B258" t="s">
        <v>11</v>
      </c>
      <c r="C258" s="10" t="s">
        <v>35</v>
      </c>
      <c r="D258" s="16">
        <f t="shared" ca="1" si="15"/>
        <v>45968</v>
      </c>
      <c r="E258" s="14">
        <f t="shared" ca="1" si="14"/>
        <v>45968.535908912039</v>
      </c>
      <c r="F258" s="18">
        <f>EOMONTH(Table13[[#This Row],[Transaction Date]],0)</f>
        <v>45322</v>
      </c>
      <c r="G258" s="20">
        <f ca="1">_xlfn.DAYS(Table13[[#This Row],[Today]],Table13[[#This Row],[Transaction Date]])</f>
        <v>655</v>
      </c>
      <c r="H258">
        <f ca="1">NETWORKDAYS.INTL(Table13[[#This Row],[Transaction Date]],Table13[[#This Row],[Today]],)</f>
        <v>470</v>
      </c>
      <c r="I258">
        <f ca="1">NETWORKDAYS(Table13[[#This Row],[Transaction Date]],Table13[[#This Row],[Today]])</f>
        <v>470</v>
      </c>
    </row>
    <row r="259" spans="1:9" x14ac:dyDescent="0.3">
      <c r="A259" t="s">
        <v>68</v>
      </c>
      <c r="B259" t="s">
        <v>69</v>
      </c>
      <c r="C259" s="10" t="s">
        <v>35</v>
      </c>
      <c r="D259" s="16">
        <f t="shared" ca="1" si="15"/>
        <v>45968</v>
      </c>
      <c r="E259" s="14">
        <f t="shared" ca="1" si="14"/>
        <v>45968.535908912039</v>
      </c>
      <c r="F259" s="18">
        <f>EOMONTH(Table13[[#This Row],[Transaction Date]],0)</f>
        <v>45322</v>
      </c>
      <c r="G259" s="20">
        <f ca="1">_xlfn.DAYS(Table13[[#This Row],[Today]],Table13[[#This Row],[Transaction Date]])</f>
        <v>655</v>
      </c>
      <c r="H259">
        <f ca="1">NETWORKDAYS.INTL(Table13[[#This Row],[Transaction Date]],Table13[[#This Row],[Today]],)</f>
        <v>470</v>
      </c>
      <c r="I259">
        <f ca="1">NETWORKDAYS(Table13[[#This Row],[Transaction Date]],Table13[[#This Row],[Today]])</f>
        <v>470</v>
      </c>
    </row>
    <row r="260" spans="1:9" x14ac:dyDescent="0.3">
      <c r="A260" t="s">
        <v>44</v>
      </c>
      <c r="B260" t="s">
        <v>45</v>
      </c>
      <c r="C260" s="10" t="s">
        <v>35</v>
      </c>
      <c r="D260" s="16">
        <f t="shared" ca="1" si="15"/>
        <v>45968</v>
      </c>
      <c r="E260" s="14">
        <f t="shared" ca="1" si="14"/>
        <v>45968.535908912039</v>
      </c>
      <c r="F260" s="18">
        <f>EOMONTH(Table13[[#This Row],[Transaction Date]],0)</f>
        <v>45322</v>
      </c>
      <c r="G260" s="20">
        <f ca="1">_xlfn.DAYS(Table13[[#This Row],[Today]],Table13[[#This Row],[Transaction Date]])</f>
        <v>655</v>
      </c>
      <c r="H260">
        <f ca="1">NETWORKDAYS.INTL(Table13[[#This Row],[Transaction Date]],Table13[[#This Row],[Today]],)</f>
        <v>470</v>
      </c>
      <c r="I260">
        <f ca="1">NETWORKDAYS(Table13[[#This Row],[Transaction Date]],Table13[[#This Row],[Today]])</f>
        <v>470</v>
      </c>
    </row>
    <row r="261" spans="1:9" x14ac:dyDescent="0.3">
      <c r="A261" t="s">
        <v>86</v>
      </c>
      <c r="B261" t="s">
        <v>87</v>
      </c>
      <c r="C261" s="10" t="s">
        <v>35</v>
      </c>
      <c r="D261" s="16">
        <f ca="1">TODAY()</f>
        <v>45968</v>
      </c>
      <c r="E261" s="14">
        <f t="shared" ca="1" si="14"/>
        <v>45968.535908912039</v>
      </c>
      <c r="F261" s="18">
        <f>EOMONTH(Table13[[#This Row],[Transaction Date]],0)</f>
        <v>45322</v>
      </c>
      <c r="G261" s="20">
        <f ca="1">_xlfn.DAYS(Table13[[#This Row],[Today]],Table13[[#This Row],[Transaction Date]])</f>
        <v>655</v>
      </c>
      <c r="H261">
        <f ca="1">NETWORKDAYS.INTL(Table13[[#This Row],[Transaction Date]],Table13[[#This Row],[Today]],)</f>
        <v>470</v>
      </c>
      <c r="I261">
        <f ca="1">NETWORKDAYS(Table13[[#This Row],[Transaction Date]],Table13[[#This Row],[Today]])</f>
        <v>470</v>
      </c>
    </row>
    <row r="262" spans="1:9" x14ac:dyDescent="0.3">
      <c r="A262" t="s">
        <v>40</v>
      </c>
      <c r="B262" t="s">
        <v>41</v>
      </c>
      <c r="C262" s="10" t="s">
        <v>35</v>
      </c>
      <c r="D262" s="16">
        <f t="shared" ca="1" si="15"/>
        <v>45968</v>
      </c>
      <c r="E262" s="14">
        <f t="shared" ca="1" si="14"/>
        <v>45968.535908912039</v>
      </c>
      <c r="F262" s="18">
        <f>EOMONTH(Table13[[#This Row],[Transaction Date]],0)</f>
        <v>45322</v>
      </c>
      <c r="G262" s="20">
        <f ca="1">_xlfn.DAYS(Table13[[#This Row],[Today]],Table13[[#This Row],[Transaction Date]])</f>
        <v>655</v>
      </c>
      <c r="H262">
        <f ca="1">NETWORKDAYS.INTL(Table13[[#This Row],[Transaction Date]],Table13[[#This Row],[Today]],)</f>
        <v>470</v>
      </c>
      <c r="I262">
        <f ca="1">NETWORKDAYS(Table13[[#This Row],[Transaction Date]],Table13[[#This Row],[Today]])</f>
        <v>470</v>
      </c>
    </row>
    <row r="263" spans="1:9" x14ac:dyDescent="0.3">
      <c r="A263" t="s">
        <v>65</v>
      </c>
      <c r="B263" t="s">
        <v>66</v>
      </c>
      <c r="C263" s="10" t="s">
        <v>35</v>
      </c>
      <c r="D263" s="16">
        <f t="shared" ca="1" si="15"/>
        <v>45968</v>
      </c>
      <c r="E263" s="14">
        <f t="shared" ca="1" si="14"/>
        <v>45968.535908912039</v>
      </c>
      <c r="F263" s="18">
        <f>EOMONTH(Table13[[#This Row],[Transaction Date]],0)</f>
        <v>45322</v>
      </c>
      <c r="G263" s="20">
        <f ca="1">_xlfn.DAYS(Table13[[#This Row],[Today]],Table13[[#This Row],[Transaction Date]])</f>
        <v>655</v>
      </c>
      <c r="H263">
        <f ca="1">NETWORKDAYS.INTL(Table13[[#This Row],[Transaction Date]],Table13[[#This Row],[Today]],)</f>
        <v>470</v>
      </c>
      <c r="I263">
        <f ca="1">NETWORKDAYS(Table13[[#This Row],[Transaction Date]],Table13[[#This Row],[Today]])</f>
        <v>470</v>
      </c>
    </row>
    <row r="264" spans="1:9" x14ac:dyDescent="0.3">
      <c r="A264" t="s">
        <v>83</v>
      </c>
      <c r="B264" t="s">
        <v>84</v>
      </c>
      <c r="C264" s="10" t="s">
        <v>35</v>
      </c>
      <c r="D264" s="16">
        <f t="shared" ca="1" si="15"/>
        <v>45968</v>
      </c>
      <c r="E264" s="14">
        <f t="shared" ca="1" si="14"/>
        <v>45968.535908912039</v>
      </c>
      <c r="F264" s="18">
        <f>EOMONTH(Table13[[#This Row],[Transaction Date]],0)</f>
        <v>45322</v>
      </c>
      <c r="G264" s="20">
        <f ca="1">_xlfn.DAYS(Table13[[#This Row],[Today]],Table13[[#This Row],[Transaction Date]])</f>
        <v>655</v>
      </c>
      <c r="H264">
        <f ca="1">NETWORKDAYS.INTL(Table13[[#This Row],[Transaction Date]],Table13[[#This Row],[Today]],)</f>
        <v>470</v>
      </c>
      <c r="I264">
        <f ca="1">NETWORKDAYS(Table13[[#This Row],[Transaction Date]],Table13[[#This Row],[Today]])</f>
        <v>470</v>
      </c>
    </row>
    <row r="265" spans="1:9" x14ac:dyDescent="0.3">
      <c r="A265" t="s">
        <v>36</v>
      </c>
      <c r="B265" t="s">
        <v>37</v>
      </c>
      <c r="C265" s="10" t="s">
        <v>35</v>
      </c>
      <c r="D265" s="16">
        <f t="shared" ca="1" si="15"/>
        <v>45968</v>
      </c>
      <c r="E265" s="14">
        <f t="shared" ca="1" si="14"/>
        <v>45968.535908912039</v>
      </c>
      <c r="F265" s="18">
        <f>EOMONTH(Table13[[#This Row],[Transaction Date]],0)</f>
        <v>45322</v>
      </c>
      <c r="G265" s="20">
        <f ca="1">_xlfn.DAYS(Table13[[#This Row],[Today]],Table13[[#This Row],[Transaction Date]])</f>
        <v>655</v>
      </c>
      <c r="H265">
        <f ca="1">NETWORKDAYS.INTL(Table13[[#This Row],[Transaction Date]],Table13[[#This Row],[Today]],)</f>
        <v>470</v>
      </c>
      <c r="I265">
        <f ca="1">NETWORKDAYS(Table13[[#This Row],[Transaction Date]],Table13[[#This Row],[Today]])</f>
        <v>470</v>
      </c>
    </row>
    <row r="266" spans="1:9" x14ac:dyDescent="0.3">
      <c r="A266" t="s">
        <v>62</v>
      </c>
      <c r="B266" t="s">
        <v>63</v>
      </c>
      <c r="C266" s="10" t="s">
        <v>35</v>
      </c>
      <c r="D266" s="16">
        <f t="shared" ca="1" si="15"/>
        <v>45968</v>
      </c>
      <c r="E266" s="14">
        <f t="shared" ca="1" si="14"/>
        <v>45968.535908912039</v>
      </c>
      <c r="F266" s="18">
        <f>EOMONTH(Table13[[#This Row],[Transaction Date]],0)</f>
        <v>45322</v>
      </c>
      <c r="G266" s="20">
        <f ca="1">_xlfn.DAYS(Table13[[#This Row],[Today]],Table13[[#This Row],[Transaction Date]])</f>
        <v>655</v>
      </c>
      <c r="H266">
        <f ca="1">NETWORKDAYS.INTL(Table13[[#This Row],[Transaction Date]],Table13[[#This Row],[Today]],)</f>
        <v>470</v>
      </c>
      <c r="I266">
        <f ca="1">NETWORKDAYS(Table13[[#This Row],[Transaction Date]],Table13[[#This Row],[Today]])</f>
        <v>470</v>
      </c>
    </row>
    <row r="267" spans="1:9" x14ac:dyDescent="0.3">
      <c r="A267" t="s">
        <v>31</v>
      </c>
      <c r="B267" t="s">
        <v>32</v>
      </c>
      <c r="C267" s="10" t="s">
        <v>35</v>
      </c>
      <c r="D267" s="16">
        <f t="shared" ca="1" si="15"/>
        <v>45968</v>
      </c>
      <c r="E267" s="14">
        <f t="shared" ca="1" si="14"/>
        <v>45968.535908912039</v>
      </c>
      <c r="F267" s="18">
        <f>EOMONTH(Table13[[#This Row],[Transaction Date]],0)</f>
        <v>45322</v>
      </c>
      <c r="G267" s="20">
        <f ca="1">_xlfn.DAYS(Table13[[#This Row],[Today]],Table13[[#This Row],[Transaction Date]])</f>
        <v>655</v>
      </c>
      <c r="H267">
        <f ca="1">NETWORKDAYS.INTL(Table13[[#This Row],[Transaction Date]],Table13[[#This Row],[Today]],)</f>
        <v>470</v>
      </c>
      <c r="I267">
        <f ca="1">NETWORKDAYS(Table13[[#This Row],[Transaction Date]],Table13[[#This Row],[Today]])</f>
        <v>470</v>
      </c>
    </row>
    <row r="268" spans="1:9" x14ac:dyDescent="0.3">
      <c r="A268" t="s">
        <v>80</v>
      </c>
      <c r="B268" t="s">
        <v>81</v>
      </c>
      <c r="C268" s="10" t="s">
        <v>35</v>
      </c>
      <c r="D268" s="16">
        <f t="shared" ca="1" si="15"/>
        <v>45968</v>
      </c>
      <c r="E268" s="14">
        <f t="shared" ca="1" si="14"/>
        <v>45968.535908912039</v>
      </c>
      <c r="F268" s="18">
        <f>EOMONTH(Table13[[#This Row],[Transaction Date]],0)</f>
        <v>45322</v>
      </c>
      <c r="G268" s="20">
        <f ca="1">_xlfn.DAYS(Table13[[#This Row],[Today]],Table13[[#This Row],[Transaction Date]])</f>
        <v>655</v>
      </c>
      <c r="H268">
        <f ca="1">NETWORKDAYS.INTL(Table13[[#This Row],[Transaction Date]],Table13[[#This Row],[Today]],)</f>
        <v>470</v>
      </c>
      <c r="I268">
        <f ca="1">NETWORKDAYS(Table13[[#This Row],[Transaction Date]],Table13[[#This Row],[Today]])</f>
        <v>470</v>
      </c>
    </row>
    <row r="269" spans="1:9" x14ac:dyDescent="0.3">
      <c r="A269" t="s">
        <v>59</v>
      </c>
      <c r="B269" t="s">
        <v>60</v>
      </c>
      <c r="C269" s="10" t="s">
        <v>35</v>
      </c>
      <c r="D269" s="16">
        <f t="shared" ca="1" si="15"/>
        <v>45968</v>
      </c>
      <c r="E269" s="14">
        <f t="shared" ca="1" si="14"/>
        <v>45968.535908912039</v>
      </c>
      <c r="F269" s="18">
        <f>EOMONTH(Table13[[#This Row],[Transaction Date]],0)</f>
        <v>45322</v>
      </c>
      <c r="G269" s="20">
        <f ca="1">_xlfn.DAYS(Table13[[#This Row],[Today]],Table13[[#This Row],[Transaction Date]])</f>
        <v>655</v>
      </c>
      <c r="H269">
        <f ca="1">NETWORKDAYS.INTL(Table13[[#This Row],[Transaction Date]],Table13[[#This Row],[Today]],)</f>
        <v>470</v>
      </c>
      <c r="I269">
        <f ca="1">NETWORKDAYS(Table13[[#This Row],[Transaction Date]],Table13[[#This Row],[Today]])</f>
        <v>470</v>
      </c>
    </row>
    <row r="270" spans="1:9" x14ac:dyDescent="0.3">
      <c r="A270" t="s">
        <v>24</v>
      </c>
      <c r="B270" t="s">
        <v>25</v>
      </c>
      <c r="C270" s="10" t="s">
        <v>35</v>
      </c>
      <c r="D270" s="16">
        <f t="shared" ca="1" si="15"/>
        <v>45968</v>
      </c>
      <c r="E270" s="14">
        <f t="shared" ca="1" si="14"/>
        <v>45968.535908912039</v>
      </c>
      <c r="F270" s="18">
        <f>EOMONTH(Table13[[#This Row],[Transaction Date]],0)</f>
        <v>45322</v>
      </c>
      <c r="G270" s="20">
        <f ca="1">_xlfn.DAYS(Table13[[#This Row],[Today]],Table13[[#This Row],[Transaction Date]])</f>
        <v>655</v>
      </c>
      <c r="H270">
        <f ca="1">NETWORKDAYS.INTL(Table13[[#This Row],[Transaction Date]],Table13[[#This Row],[Today]],)</f>
        <v>470</v>
      </c>
      <c r="I270">
        <f ca="1">NETWORKDAYS(Table13[[#This Row],[Transaction Date]],Table13[[#This Row],[Today]])</f>
        <v>470</v>
      </c>
    </row>
    <row r="271" spans="1:9" x14ac:dyDescent="0.3">
      <c r="A271" t="s">
        <v>77</v>
      </c>
      <c r="B271" t="s">
        <v>78</v>
      </c>
      <c r="C271" s="10" t="s">
        <v>35</v>
      </c>
      <c r="D271" s="16">
        <f t="shared" ca="1" si="15"/>
        <v>45968</v>
      </c>
      <c r="E271" s="14">
        <f t="shared" ca="1" si="14"/>
        <v>45968.535908912039</v>
      </c>
      <c r="F271" s="18">
        <f>EOMONTH(Table13[[#This Row],[Transaction Date]],0)</f>
        <v>45322</v>
      </c>
      <c r="G271" s="20">
        <f ca="1">_xlfn.DAYS(Table13[[#This Row],[Today]],Table13[[#This Row],[Transaction Date]])</f>
        <v>655</v>
      </c>
      <c r="H271">
        <f ca="1">NETWORKDAYS.INTL(Table13[[#This Row],[Transaction Date]],Table13[[#This Row],[Today]],)</f>
        <v>470</v>
      </c>
      <c r="I271">
        <f ca="1">NETWORKDAYS(Table13[[#This Row],[Transaction Date]],Table13[[#This Row],[Today]])</f>
        <v>470</v>
      </c>
    </row>
    <row r="272" spans="1:9" x14ac:dyDescent="0.3">
      <c r="A272" t="s">
        <v>56</v>
      </c>
      <c r="B272" t="s">
        <v>57</v>
      </c>
      <c r="C272" s="10" t="s">
        <v>35</v>
      </c>
      <c r="D272" s="16">
        <f t="shared" ca="1" si="15"/>
        <v>45968</v>
      </c>
      <c r="E272" s="14">
        <f t="shared" ca="1" si="14"/>
        <v>45968.535908912039</v>
      </c>
      <c r="F272" s="18">
        <f>EOMONTH(Table13[[#This Row],[Transaction Date]],0)</f>
        <v>45322</v>
      </c>
      <c r="G272" s="20">
        <f ca="1">_xlfn.DAYS(Table13[[#This Row],[Today]],Table13[[#This Row],[Transaction Date]])</f>
        <v>655</v>
      </c>
      <c r="H272">
        <f ca="1">NETWORKDAYS.INTL(Table13[[#This Row],[Transaction Date]],Table13[[#This Row],[Today]],)</f>
        <v>470</v>
      </c>
      <c r="I272">
        <f ca="1">NETWORKDAYS(Table13[[#This Row],[Transaction Date]],Table13[[#This Row],[Today]])</f>
        <v>470</v>
      </c>
    </row>
    <row r="273" spans="1:9" x14ac:dyDescent="0.3">
      <c r="A273" t="s">
        <v>74</v>
      </c>
      <c r="B273" t="s">
        <v>75</v>
      </c>
      <c r="C273" s="10" t="s">
        <v>35</v>
      </c>
      <c r="D273" s="16">
        <f t="shared" ca="1" si="15"/>
        <v>45968</v>
      </c>
      <c r="E273" s="14">
        <f t="shared" ca="1" si="14"/>
        <v>45968.535908912039</v>
      </c>
      <c r="F273" s="18">
        <f>EOMONTH(Table13[[#This Row],[Transaction Date]],0)</f>
        <v>45322</v>
      </c>
      <c r="G273" s="20">
        <f ca="1">_xlfn.DAYS(Table13[[#This Row],[Today]],Table13[[#This Row],[Transaction Date]])</f>
        <v>655</v>
      </c>
      <c r="H273">
        <f ca="1">NETWORKDAYS.INTL(Table13[[#This Row],[Transaction Date]],Table13[[#This Row],[Today]],)</f>
        <v>470</v>
      </c>
      <c r="I273">
        <f ca="1">NETWORKDAYS(Table13[[#This Row],[Transaction Date]],Table13[[#This Row],[Today]])</f>
        <v>470</v>
      </c>
    </row>
    <row r="274" spans="1:9" x14ac:dyDescent="0.3">
      <c r="A274" t="s">
        <v>17</v>
      </c>
      <c r="B274" t="s">
        <v>18</v>
      </c>
      <c r="C274" s="10" t="s">
        <v>35</v>
      </c>
      <c r="D274" s="16">
        <f t="shared" ca="1" si="15"/>
        <v>45968</v>
      </c>
      <c r="E274" s="14">
        <f t="shared" ca="1" si="14"/>
        <v>45968.535908912039</v>
      </c>
      <c r="F274" s="18">
        <f>EOMONTH(Table13[[#This Row],[Transaction Date]],0)</f>
        <v>45322</v>
      </c>
      <c r="G274" s="20">
        <f ca="1">_xlfn.DAYS(Table13[[#This Row],[Today]],Table13[[#This Row],[Transaction Date]])</f>
        <v>655</v>
      </c>
      <c r="H274">
        <f ca="1">NETWORKDAYS.INTL(Table13[[#This Row],[Transaction Date]],Table13[[#This Row],[Today]],)</f>
        <v>470</v>
      </c>
      <c r="I274">
        <f ca="1">NETWORKDAYS(Table13[[#This Row],[Transaction Date]],Table13[[#This Row],[Today]])</f>
        <v>470</v>
      </c>
    </row>
    <row r="275" spans="1:9" x14ac:dyDescent="0.3">
      <c r="A275" t="s">
        <v>53</v>
      </c>
      <c r="B275" t="s">
        <v>54</v>
      </c>
      <c r="C275" s="10" t="s">
        <v>35</v>
      </c>
      <c r="D275" s="16">
        <f t="shared" ca="1" si="15"/>
        <v>45968</v>
      </c>
      <c r="E275" s="14">
        <f t="shared" ca="1" si="14"/>
        <v>45968.535908912039</v>
      </c>
      <c r="F275" s="18">
        <f>EOMONTH(Table13[[#This Row],[Transaction Date]],0)</f>
        <v>45322</v>
      </c>
      <c r="G275" s="20">
        <f ca="1">_xlfn.DAYS(Table13[[#This Row],[Today]],Table13[[#This Row],[Transaction Date]])</f>
        <v>655</v>
      </c>
      <c r="H275">
        <f ca="1">NETWORKDAYS.INTL(Table13[[#This Row],[Transaction Date]],Table13[[#This Row],[Today]],)</f>
        <v>470</v>
      </c>
      <c r="I275">
        <f ca="1">NETWORKDAYS(Table13[[#This Row],[Transaction Date]],Table13[[#This Row],[Today]])</f>
        <v>470</v>
      </c>
    </row>
    <row r="276" spans="1:9" x14ac:dyDescent="0.3">
      <c r="A276" t="s">
        <v>71</v>
      </c>
      <c r="B276" t="s">
        <v>72</v>
      </c>
      <c r="C276" s="10" t="s">
        <v>35</v>
      </c>
      <c r="D276" s="16">
        <f t="shared" ca="1" si="15"/>
        <v>45968</v>
      </c>
      <c r="E276" s="14">
        <f t="shared" ca="1" si="14"/>
        <v>45968.535908912039</v>
      </c>
      <c r="F276" s="18">
        <f>EOMONTH(Table13[[#This Row],[Transaction Date]],0)</f>
        <v>45322</v>
      </c>
      <c r="G276" s="20">
        <f ca="1">_xlfn.DAYS(Table13[[#This Row],[Today]],Table13[[#This Row],[Transaction Date]])</f>
        <v>655</v>
      </c>
      <c r="H276">
        <f ca="1">NETWORKDAYS.INTL(Table13[[#This Row],[Transaction Date]],Table13[[#This Row],[Today]],)</f>
        <v>470</v>
      </c>
      <c r="I276">
        <f ca="1">NETWORKDAYS(Table13[[#This Row],[Transaction Date]],Table13[[#This Row],[Today]])</f>
        <v>470</v>
      </c>
    </row>
    <row r="277" spans="1:9" x14ac:dyDescent="0.3">
      <c r="A277" t="s">
        <v>49</v>
      </c>
      <c r="B277" t="s">
        <v>50</v>
      </c>
      <c r="C277" s="10" t="s">
        <v>35</v>
      </c>
      <c r="D277" s="16">
        <f t="shared" ca="1" si="15"/>
        <v>45968</v>
      </c>
      <c r="E277" s="14">
        <f t="shared" ca="1" si="14"/>
        <v>45968.535908912039</v>
      </c>
      <c r="F277" s="18">
        <f>EOMONTH(Table13[[#This Row],[Transaction Date]],0)</f>
        <v>45322</v>
      </c>
      <c r="G277" s="20">
        <f ca="1">_xlfn.DAYS(Table13[[#This Row],[Today]],Table13[[#This Row],[Transaction Date]])</f>
        <v>655</v>
      </c>
      <c r="H277">
        <f ca="1">NETWORKDAYS.INTL(Table13[[#This Row],[Transaction Date]],Table13[[#This Row],[Today]],)</f>
        <v>470</v>
      </c>
      <c r="I277">
        <f ca="1">NETWORKDAYS(Table13[[#This Row],[Transaction Date]],Table13[[#This Row],[Today]])</f>
        <v>470</v>
      </c>
    </row>
    <row r="278" spans="1:9" x14ac:dyDescent="0.3">
      <c r="A278" t="s">
        <v>10</v>
      </c>
      <c r="B278" t="s">
        <v>11</v>
      </c>
      <c r="C278" s="10" t="s">
        <v>35</v>
      </c>
      <c r="D278" s="16">
        <f t="shared" ca="1" si="15"/>
        <v>45968</v>
      </c>
      <c r="E278" s="14">
        <f t="shared" ca="1" si="14"/>
        <v>45968.535908912039</v>
      </c>
      <c r="F278" s="18">
        <f>EOMONTH(Table13[[#This Row],[Transaction Date]],0)</f>
        <v>45322</v>
      </c>
      <c r="G278" s="20">
        <f ca="1">_xlfn.DAYS(Table13[[#This Row],[Today]],Table13[[#This Row],[Transaction Date]])</f>
        <v>655</v>
      </c>
      <c r="H278">
        <f ca="1">NETWORKDAYS.INTL(Table13[[#This Row],[Transaction Date]],Table13[[#This Row],[Today]],)</f>
        <v>470</v>
      </c>
      <c r="I278">
        <f ca="1">NETWORKDAYS(Table13[[#This Row],[Transaction Date]],Table13[[#This Row],[Today]])</f>
        <v>470</v>
      </c>
    </row>
    <row r="279" spans="1:9" x14ac:dyDescent="0.3">
      <c r="A279" t="s">
        <v>68</v>
      </c>
      <c r="B279" t="s">
        <v>69</v>
      </c>
      <c r="C279" s="10" t="s">
        <v>35</v>
      </c>
      <c r="D279" s="16">
        <f t="shared" ca="1" si="15"/>
        <v>45968</v>
      </c>
      <c r="E279" s="14">
        <f t="shared" ca="1" si="14"/>
        <v>45968.535908912039</v>
      </c>
      <c r="F279" s="18">
        <f>EOMONTH(Table13[[#This Row],[Transaction Date]],0)</f>
        <v>45322</v>
      </c>
      <c r="G279" s="20">
        <f ca="1">_xlfn.DAYS(Table13[[#This Row],[Today]],Table13[[#This Row],[Transaction Date]])</f>
        <v>655</v>
      </c>
      <c r="H279">
        <f ca="1">NETWORKDAYS.INTL(Table13[[#This Row],[Transaction Date]],Table13[[#This Row],[Today]],)</f>
        <v>470</v>
      </c>
      <c r="I279">
        <f ca="1">NETWORKDAYS(Table13[[#This Row],[Transaction Date]],Table13[[#This Row],[Today]])</f>
        <v>470</v>
      </c>
    </row>
    <row r="280" spans="1:9" x14ac:dyDescent="0.3">
      <c r="A280" t="s">
        <v>44</v>
      </c>
      <c r="B280" t="s">
        <v>45</v>
      </c>
      <c r="C280" s="10" t="s">
        <v>35</v>
      </c>
      <c r="D280" s="16">
        <f t="shared" ca="1" si="15"/>
        <v>45968</v>
      </c>
      <c r="E280" s="14">
        <f t="shared" ca="1" si="14"/>
        <v>45968.535908912039</v>
      </c>
      <c r="F280" s="18">
        <f>EOMONTH(Table13[[#This Row],[Transaction Date]],0)</f>
        <v>45322</v>
      </c>
      <c r="G280" s="20">
        <f ca="1">_xlfn.DAYS(Table13[[#This Row],[Today]],Table13[[#This Row],[Transaction Date]])</f>
        <v>655</v>
      </c>
      <c r="H280">
        <f ca="1">NETWORKDAYS.INTL(Table13[[#This Row],[Transaction Date]],Table13[[#This Row],[Today]],)</f>
        <v>470</v>
      </c>
      <c r="I280">
        <f ca="1">NETWORKDAYS(Table13[[#This Row],[Transaction Date]],Table13[[#This Row],[Today]])</f>
        <v>470</v>
      </c>
    </row>
    <row r="281" spans="1:9" x14ac:dyDescent="0.3">
      <c r="A281" t="s">
        <v>86</v>
      </c>
      <c r="B281" t="s">
        <v>87</v>
      </c>
      <c r="C281" s="10" t="s">
        <v>35</v>
      </c>
      <c r="D281" s="16">
        <f ca="1">TODAY()</f>
        <v>45968</v>
      </c>
      <c r="E281" s="14">
        <f t="shared" ca="1" si="14"/>
        <v>45968.535908912039</v>
      </c>
      <c r="F281" s="18">
        <f>EOMONTH(Table13[[#This Row],[Transaction Date]],0)</f>
        <v>45322</v>
      </c>
      <c r="G281" s="20">
        <f ca="1">_xlfn.DAYS(Table13[[#This Row],[Today]],Table13[[#This Row],[Transaction Date]])</f>
        <v>655</v>
      </c>
      <c r="H281">
        <f ca="1">NETWORKDAYS.INTL(Table13[[#This Row],[Transaction Date]],Table13[[#This Row],[Today]],)</f>
        <v>470</v>
      </c>
      <c r="I281">
        <f ca="1">NETWORKDAYS(Table13[[#This Row],[Transaction Date]],Table13[[#This Row],[Today]])</f>
        <v>470</v>
      </c>
    </row>
    <row r="282" spans="1:9" x14ac:dyDescent="0.3">
      <c r="A282" t="s">
        <v>40</v>
      </c>
      <c r="B282" t="s">
        <v>41</v>
      </c>
      <c r="C282" s="10" t="s">
        <v>35</v>
      </c>
      <c r="D282" s="16">
        <f t="shared" ref="D282:D300" ca="1" si="16">TODAY()</f>
        <v>45968</v>
      </c>
      <c r="E282" s="14">
        <f t="shared" ca="1" si="14"/>
        <v>45968.535908912039</v>
      </c>
      <c r="F282" s="18">
        <f>EOMONTH(Table13[[#This Row],[Transaction Date]],0)</f>
        <v>45322</v>
      </c>
      <c r="G282" s="20">
        <f ca="1">_xlfn.DAYS(Table13[[#This Row],[Today]],Table13[[#This Row],[Transaction Date]])</f>
        <v>655</v>
      </c>
      <c r="H282">
        <f ca="1">NETWORKDAYS.INTL(Table13[[#This Row],[Transaction Date]],Table13[[#This Row],[Today]],)</f>
        <v>470</v>
      </c>
      <c r="I282">
        <f ca="1">NETWORKDAYS(Table13[[#This Row],[Transaction Date]],Table13[[#This Row],[Today]])</f>
        <v>470</v>
      </c>
    </row>
    <row r="283" spans="1:9" x14ac:dyDescent="0.3">
      <c r="A283" t="s">
        <v>65</v>
      </c>
      <c r="B283" t="s">
        <v>66</v>
      </c>
      <c r="C283" s="10" t="s">
        <v>35</v>
      </c>
      <c r="D283" s="16">
        <f t="shared" ca="1" si="16"/>
        <v>45968</v>
      </c>
      <c r="E283" s="14">
        <f t="shared" ca="1" si="14"/>
        <v>45968.535908912039</v>
      </c>
      <c r="F283" s="18">
        <f>EOMONTH(Table13[[#This Row],[Transaction Date]],0)</f>
        <v>45322</v>
      </c>
      <c r="G283" s="20">
        <f ca="1">_xlfn.DAYS(Table13[[#This Row],[Today]],Table13[[#This Row],[Transaction Date]])</f>
        <v>655</v>
      </c>
      <c r="H283">
        <f ca="1">NETWORKDAYS.INTL(Table13[[#This Row],[Transaction Date]],Table13[[#This Row],[Today]],)</f>
        <v>470</v>
      </c>
      <c r="I283">
        <f ca="1">NETWORKDAYS(Table13[[#This Row],[Transaction Date]],Table13[[#This Row],[Today]])</f>
        <v>470</v>
      </c>
    </row>
    <row r="284" spans="1:9" x14ac:dyDescent="0.3">
      <c r="A284" t="s">
        <v>83</v>
      </c>
      <c r="B284" t="s">
        <v>84</v>
      </c>
      <c r="C284" s="10" t="s">
        <v>35</v>
      </c>
      <c r="D284" s="16">
        <f t="shared" ca="1" si="16"/>
        <v>45968</v>
      </c>
      <c r="E284" s="14">
        <f t="shared" ca="1" si="14"/>
        <v>45968.535908912039</v>
      </c>
      <c r="F284" s="18">
        <f>EOMONTH(Table13[[#This Row],[Transaction Date]],0)</f>
        <v>45322</v>
      </c>
      <c r="G284" s="20">
        <f ca="1">_xlfn.DAYS(Table13[[#This Row],[Today]],Table13[[#This Row],[Transaction Date]])</f>
        <v>655</v>
      </c>
      <c r="H284">
        <f ca="1">NETWORKDAYS.INTL(Table13[[#This Row],[Transaction Date]],Table13[[#This Row],[Today]],)</f>
        <v>470</v>
      </c>
      <c r="I284">
        <f ca="1">NETWORKDAYS(Table13[[#This Row],[Transaction Date]],Table13[[#This Row],[Today]])</f>
        <v>470</v>
      </c>
    </row>
    <row r="285" spans="1:9" x14ac:dyDescent="0.3">
      <c r="A285" t="s">
        <v>36</v>
      </c>
      <c r="B285" t="s">
        <v>37</v>
      </c>
      <c r="C285" s="10" t="s">
        <v>35</v>
      </c>
      <c r="D285" s="16">
        <f t="shared" ca="1" si="16"/>
        <v>45968</v>
      </c>
      <c r="E285" s="14">
        <f t="shared" ca="1" si="14"/>
        <v>45968.535908912039</v>
      </c>
      <c r="F285" s="18">
        <f>EOMONTH(Table13[[#This Row],[Transaction Date]],0)</f>
        <v>45322</v>
      </c>
      <c r="G285" s="20">
        <f ca="1">_xlfn.DAYS(Table13[[#This Row],[Today]],Table13[[#This Row],[Transaction Date]])</f>
        <v>655</v>
      </c>
      <c r="H285">
        <f ca="1">NETWORKDAYS.INTL(Table13[[#This Row],[Transaction Date]],Table13[[#This Row],[Today]],)</f>
        <v>470</v>
      </c>
      <c r="I285">
        <f ca="1">NETWORKDAYS(Table13[[#This Row],[Transaction Date]],Table13[[#This Row],[Today]])</f>
        <v>470</v>
      </c>
    </row>
    <row r="286" spans="1:9" x14ac:dyDescent="0.3">
      <c r="A286" t="s">
        <v>62</v>
      </c>
      <c r="B286" t="s">
        <v>63</v>
      </c>
      <c r="C286" s="10" t="s">
        <v>35</v>
      </c>
      <c r="D286" s="16">
        <f t="shared" ca="1" si="16"/>
        <v>45968</v>
      </c>
      <c r="E286" s="14">
        <f t="shared" ca="1" si="14"/>
        <v>45968.535908912039</v>
      </c>
      <c r="F286" s="18">
        <f>EOMONTH(Table13[[#This Row],[Transaction Date]],0)</f>
        <v>45322</v>
      </c>
      <c r="G286" s="20">
        <f ca="1">_xlfn.DAYS(Table13[[#This Row],[Today]],Table13[[#This Row],[Transaction Date]])</f>
        <v>655</v>
      </c>
      <c r="H286">
        <f ca="1">NETWORKDAYS.INTL(Table13[[#This Row],[Transaction Date]],Table13[[#This Row],[Today]],)</f>
        <v>470</v>
      </c>
      <c r="I286">
        <f ca="1">NETWORKDAYS(Table13[[#This Row],[Transaction Date]],Table13[[#This Row],[Today]])</f>
        <v>470</v>
      </c>
    </row>
    <row r="287" spans="1:9" x14ac:dyDescent="0.3">
      <c r="A287" t="s">
        <v>31</v>
      </c>
      <c r="B287" t="s">
        <v>32</v>
      </c>
      <c r="C287" s="10" t="s">
        <v>35</v>
      </c>
      <c r="D287" s="16">
        <f t="shared" ca="1" si="16"/>
        <v>45968</v>
      </c>
      <c r="E287" s="14">
        <f t="shared" ca="1" si="14"/>
        <v>45968.535908912039</v>
      </c>
      <c r="F287" s="18">
        <f>EOMONTH(Table13[[#This Row],[Transaction Date]],0)</f>
        <v>45322</v>
      </c>
      <c r="G287" s="20">
        <f ca="1">_xlfn.DAYS(Table13[[#This Row],[Today]],Table13[[#This Row],[Transaction Date]])</f>
        <v>655</v>
      </c>
      <c r="H287">
        <f ca="1">NETWORKDAYS.INTL(Table13[[#This Row],[Transaction Date]],Table13[[#This Row],[Today]],)</f>
        <v>470</v>
      </c>
      <c r="I287">
        <f ca="1">NETWORKDAYS(Table13[[#This Row],[Transaction Date]],Table13[[#This Row],[Today]])</f>
        <v>470</v>
      </c>
    </row>
    <row r="288" spans="1:9" x14ac:dyDescent="0.3">
      <c r="A288" t="s">
        <v>80</v>
      </c>
      <c r="B288" t="s">
        <v>81</v>
      </c>
      <c r="C288" s="10" t="s">
        <v>35</v>
      </c>
      <c r="D288" s="16">
        <f t="shared" ca="1" si="16"/>
        <v>45968</v>
      </c>
      <c r="E288" s="14">
        <f t="shared" ca="1" si="14"/>
        <v>45968.535908912039</v>
      </c>
      <c r="F288" s="18">
        <f>EOMONTH(Table13[[#This Row],[Transaction Date]],0)</f>
        <v>45322</v>
      </c>
      <c r="G288" s="20">
        <f ca="1">_xlfn.DAYS(Table13[[#This Row],[Today]],Table13[[#This Row],[Transaction Date]])</f>
        <v>655</v>
      </c>
      <c r="H288">
        <f ca="1">NETWORKDAYS.INTL(Table13[[#This Row],[Transaction Date]],Table13[[#This Row],[Today]],)</f>
        <v>470</v>
      </c>
      <c r="I288">
        <f ca="1">NETWORKDAYS(Table13[[#This Row],[Transaction Date]],Table13[[#This Row],[Today]])</f>
        <v>470</v>
      </c>
    </row>
    <row r="289" spans="1:9" x14ac:dyDescent="0.3">
      <c r="A289" t="s">
        <v>59</v>
      </c>
      <c r="B289" t="s">
        <v>60</v>
      </c>
      <c r="C289" s="10" t="s">
        <v>35</v>
      </c>
      <c r="D289" s="16">
        <f t="shared" ca="1" si="16"/>
        <v>45968</v>
      </c>
      <c r="E289" s="14">
        <f t="shared" ca="1" si="14"/>
        <v>45968.535908912039</v>
      </c>
      <c r="F289" s="18">
        <f>EOMONTH(Table13[[#This Row],[Transaction Date]],0)</f>
        <v>45322</v>
      </c>
      <c r="G289" s="20">
        <f ca="1">_xlfn.DAYS(Table13[[#This Row],[Today]],Table13[[#This Row],[Transaction Date]])</f>
        <v>655</v>
      </c>
      <c r="H289">
        <f ca="1">NETWORKDAYS.INTL(Table13[[#This Row],[Transaction Date]],Table13[[#This Row],[Today]],)</f>
        <v>470</v>
      </c>
      <c r="I289">
        <f ca="1">NETWORKDAYS(Table13[[#This Row],[Transaction Date]],Table13[[#This Row],[Today]])</f>
        <v>470</v>
      </c>
    </row>
    <row r="290" spans="1:9" x14ac:dyDescent="0.3">
      <c r="A290" t="s">
        <v>24</v>
      </c>
      <c r="B290" t="s">
        <v>25</v>
      </c>
      <c r="C290" s="10" t="s">
        <v>35</v>
      </c>
      <c r="D290" s="16">
        <f t="shared" ca="1" si="16"/>
        <v>45968</v>
      </c>
      <c r="E290" s="14">
        <f t="shared" ca="1" si="14"/>
        <v>45968.535908912039</v>
      </c>
      <c r="F290" s="18">
        <f>EOMONTH(Table13[[#This Row],[Transaction Date]],0)</f>
        <v>45322</v>
      </c>
      <c r="G290" s="20">
        <f ca="1">_xlfn.DAYS(Table13[[#This Row],[Today]],Table13[[#This Row],[Transaction Date]])</f>
        <v>655</v>
      </c>
      <c r="H290">
        <f ca="1">NETWORKDAYS.INTL(Table13[[#This Row],[Transaction Date]],Table13[[#This Row],[Today]],)</f>
        <v>470</v>
      </c>
      <c r="I290">
        <f ca="1">NETWORKDAYS(Table13[[#This Row],[Transaction Date]],Table13[[#This Row],[Today]])</f>
        <v>470</v>
      </c>
    </row>
    <row r="291" spans="1:9" x14ac:dyDescent="0.3">
      <c r="A291" t="s">
        <v>77</v>
      </c>
      <c r="B291" t="s">
        <v>78</v>
      </c>
      <c r="C291" s="10" t="s">
        <v>35</v>
      </c>
      <c r="D291" s="16">
        <f t="shared" ca="1" si="16"/>
        <v>45968</v>
      </c>
      <c r="E291" s="14">
        <f t="shared" ca="1" si="14"/>
        <v>45968.535908912039</v>
      </c>
      <c r="F291" s="18">
        <f>EOMONTH(Table13[[#This Row],[Transaction Date]],0)</f>
        <v>45322</v>
      </c>
      <c r="G291" s="20">
        <f ca="1">_xlfn.DAYS(Table13[[#This Row],[Today]],Table13[[#This Row],[Transaction Date]])</f>
        <v>655</v>
      </c>
      <c r="H291">
        <f ca="1">NETWORKDAYS.INTL(Table13[[#This Row],[Transaction Date]],Table13[[#This Row],[Today]],)</f>
        <v>470</v>
      </c>
      <c r="I291">
        <f ca="1">NETWORKDAYS(Table13[[#This Row],[Transaction Date]],Table13[[#This Row],[Today]])</f>
        <v>470</v>
      </c>
    </row>
    <row r="292" spans="1:9" x14ac:dyDescent="0.3">
      <c r="A292" t="s">
        <v>56</v>
      </c>
      <c r="B292" t="s">
        <v>57</v>
      </c>
      <c r="C292" s="10" t="s">
        <v>35</v>
      </c>
      <c r="D292" s="16">
        <f t="shared" ca="1" si="16"/>
        <v>45968</v>
      </c>
      <c r="E292" s="14">
        <f t="shared" ca="1" si="14"/>
        <v>45968.535908912039</v>
      </c>
      <c r="F292" s="18">
        <f>EOMONTH(Table13[[#This Row],[Transaction Date]],0)</f>
        <v>45322</v>
      </c>
      <c r="G292" s="20">
        <f ca="1">_xlfn.DAYS(Table13[[#This Row],[Today]],Table13[[#This Row],[Transaction Date]])</f>
        <v>655</v>
      </c>
      <c r="H292">
        <f ca="1">NETWORKDAYS.INTL(Table13[[#This Row],[Transaction Date]],Table13[[#This Row],[Today]],)</f>
        <v>470</v>
      </c>
      <c r="I292">
        <f ca="1">NETWORKDAYS(Table13[[#This Row],[Transaction Date]],Table13[[#This Row],[Today]])</f>
        <v>470</v>
      </c>
    </row>
    <row r="293" spans="1:9" x14ac:dyDescent="0.3">
      <c r="A293" t="s">
        <v>74</v>
      </c>
      <c r="B293" t="s">
        <v>75</v>
      </c>
      <c r="C293" s="10" t="s">
        <v>35</v>
      </c>
      <c r="D293" s="16">
        <f t="shared" ca="1" si="16"/>
        <v>45968</v>
      </c>
      <c r="E293" s="14">
        <f t="shared" ca="1" si="14"/>
        <v>45968.535908912039</v>
      </c>
      <c r="F293" s="18">
        <f>EOMONTH(Table13[[#This Row],[Transaction Date]],0)</f>
        <v>45322</v>
      </c>
      <c r="G293" s="20">
        <f ca="1">_xlfn.DAYS(Table13[[#This Row],[Today]],Table13[[#This Row],[Transaction Date]])</f>
        <v>655</v>
      </c>
      <c r="H293">
        <f ca="1">NETWORKDAYS.INTL(Table13[[#This Row],[Transaction Date]],Table13[[#This Row],[Today]],)</f>
        <v>470</v>
      </c>
      <c r="I293">
        <f ca="1">NETWORKDAYS(Table13[[#This Row],[Transaction Date]],Table13[[#This Row],[Today]])</f>
        <v>470</v>
      </c>
    </row>
    <row r="294" spans="1:9" x14ac:dyDescent="0.3">
      <c r="A294" t="s">
        <v>17</v>
      </c>
      <c r="B294" t="s">
        <v>18</v>
      </c>
      <c r="C294" s="10" t="s">
        <v>35</v>
      </c>
      <c r="D294" s="16">
        <f t="shared" ca="1" si="16"/>
        <v>45968</v>
      </c>
      <c r="E294" s="14">
        <f t="shared" ca="1" si="14"/>
        <v>45968.535908912039</v>
      </c>
      <c r="F294" s="18">
        <f>EOMONTH(Table13[[#This Row],[Transaction Date]],0)</f>
        <v>45322</v>
      </c>
      <c r="G294" s="20">
        <f ca="1">_xlfn.DAYS(Table13[[#This Row],[Today]],Table13[[#This Row],[Transaction Date]])</f>
        <v>655</v>
      </c>
      <c r="H294">
        <f ca="1">NETWORKDAYS.INTL(Table13[[#This Row],[Transaction Date]],Table13[[#This Row],[Today]],)</f>
        <v>470</v>
      </c>
      <c r="I294">
        <f ca="1">NETWORKDAYS(Table13[[#This Row],[Transaction Date]],Table13[[#This Row],[Today]])</f>
        <v>470</v>
      </c>
    </row>
    <row r="295" spans="1:9" x14ac:dyDescent="0.3">
      <c r="A295" t="s">
        <v>53</v>
      </c>
      <c r="B295" t="s">
        <v>54</v>
      </c>
      <c r="C295" s="10" t="s">
        <v>35</v>
      </c>
      <c r="D295" s="16">
        <f t="shared" ca="1" si="16"/>
        <v>45968</v>
      </c>
      <c r="E295" s="14">
        <f t="shared" ca="1" si="14"/>
        <v>45968.535908912039</v>
      </c>
      <c r="F295" s="18">
        <f>EOMONTH(Table13[[#This Row],[Transaction Date]],0)</f>
        <v>45322</v>
      </c>
      <c r="G295" s="20">
        <f ca="1">_xlfn.DAYS(Table13[[#This Row],[Today]],Table13[[#This Row],[Transaction Date]])</f>
        <v>655</v>
      </c>
      <c r="H295">
        <f ca="1">NETWORKDAYS.INTL(Table13[[#This Row],[Transaction Date]],Table13[[#This Row],[Today]],)</f>
        <v>470</v>
      </c>
      <c r="I295">
        <f ca="1">NETWORKDAYS(Table13[[#This Row],[Transaction Date]],Table13[[#This Row],[Today]])</f>
        <v>470</v>
      </c>
    </row>
    <row r="296" spans="1:9" x14ac:dyDescent="0.3">
      <c r="A296" t="s">
        <v>71</v>
      </c>
      <c r="B296" t="s">
        <v>72</v>
      </c>
      <c r="C296" s="10" t="s">
        <v>35</v>
      </c>
      <c r="D296" s="16">
        <f t="shared" ca="1" si="16"/>
        <v>45968</v>
      </c>
      <c r="E296" s="14">
        <f t="shared" ca="1" si="14"/>
        <v>45968.535908912039</v>
      </c>
      <c r="F296" s="18">
        <f>EOMONTH(Table13[[#This Row],[Transaction Date]],0)</f>
        <v>45322</v>
      </c>
      <c r="G296" s="20">
        <f ca="1">_xlfn.DAYS(Table13[[#This Row],[Today]],Table13[[#This Row],[Transaction Date]])</f>
        <v>655</v>
      </c>
      <c r="H296">
        <f ca="1">NETWORKDAYS.INTL(Table13[[#This Row],[Transaction Date]],Table13[[#This Row],[Today]],)</f>
        <v>470</v>
      </c>
      <c r="I296">
        <f ca="1">NETWORKDAYS(Table13[[#This Row],[Transaction Date]],Table13[[#This Row],[Today]])</f>
        <v>470</v>
      </c>
    </row>
    <row r="297" spans="1:9" x14ac:dyDescent="0.3">
      <c r="A297" t="s">
        <v>49</v>
      </c>
      <c r="B297" t="s">
        <v>50</v>
      </c>
      <c r="C297" s="10" t="s">
        <v>35</v>
      </c>
      <c r="D297" s="16">
        <f t="shared" ca="1" si="16"/>
        <v>45968</v>
      </c>
      <c r="E297" s="14">
        <f t="shared" ref="E297:E360" ca="1" si="17">NOW()</f>
        <v>45968.535908912039</v>
      </c>
      <c r="F297" s="18">
        <f>EOMONTH(Table13[[#This Row],[Transaction Date]],0)</f>
        <v>45322</v>
      </c>
      <c r="G297" s="20">
        <f ca="1">_xlfn.DAYS(Table13[[#This Row],[Today]],Table13[[#This Row],[Transaction Date]])</f>
        <v>655</v>
      </c>
      <c r="H297">
        <f ca="1">NETWORKDAYS.INTL(Table13[[#This Row],[Transaction Date]],Table13[[#This Row],[Today]],)</f>
        <v>470</v>
      </c>
      <c r="I297">
        <f ca="1">NETWORKDAYS(Table13[[#This Row],[Transaction Date]],Table13[[#This Row],[Today]])</f>
        <v>470</v>
      </c>
    </row>
    <row r="298" spans="1:9" x14ac:dyDescent="0.3">
      <c r="A298" t="s">
        <v>10</v>
      </c>
      <c r="B298" t="s">
        <v>11</v>
      </c>
      <c r="C298" s="10" t="s">
        <v>35</v>
      </c>
      <c r="D298" s="16">
        <f t="shared" ca="1" si="16"/>
        <v>45968</v>
      </c>
      <c r="E298" s="14">
        <f t="shared" ca="1" si="17"/>
        <v>45968.535908912039</v>
      </c>
      <c r="F298" s="18">
        <f>EOMONTH(Table13[[#This Row],[Transaction Date]],0)</f>
        <v>45322</v>
      </c>
      <c r="G298" s="20">
        <f ca="1">_xlfn.DAYS(Table13[[#This Row],[Today]],Table13[[#This Row],[Transaction Date]])</f>
        <v>655</v>
      </c>
      <c r="H298">
        <f ca="1">NETWORKDAYS.INTL(Table13[[#This Row],[Transaction Date]],Table13[[#This Row],[Today]],)</f>
        <v>470</v>
      </c>
      <c r="I298">
        <f ca="1">NETWORKDAYS(Table13[[#This Row],[Transaction Date]],Table13[[#This Row],[Today]])</f>
        <v>470</v>
      </c>
    </row>
    <row r="299" spans="1:9" x14ac:dyDescent="0.3">
      <c r="A299" t="s">
        <v>68</v>
      </c>
      <c r="B299" t="s">
        <v>69</v>
      </c>
      <c r="C299" s="10" t="s">
        <v>35</v>
      </c>
      <c r="D299" s="16">
        <f t="shared" ca="1" si="16"/>
        <v>45968</v>
      </c>
      <c r="E299" s="14">
        <f t="shared" ca="1" si="17"/>
        <v>45968.535908912039</v>
      </c>
      <c r="F299" s="18">
        <f>EOMONTH(Table13[[#This Row],[Transaction Date]],0)</f>
        <v>45322</v>
      </c>
      <c r="G299" s="20">
        <f ca="1">_xlfn.DAYS(Table13[[#This Row],[Today]],Table13[[#This Row],[Transaction Date]])</f>
        <v>655</v>
      </c>
      <c r="H299">
        <f ca="1">NETWORKDAYS.INTL(Table13[[#This Row],[Transaction Date]],Table13[[#This Row],[Today]],)</f>
        <v>470</v>
      </c>
      <c r="I299">
        <f ca="1">NETWORKDAYS(Table13[[#This Row],[Transaction Date]],Table13[[#This Row],[Today]])</f>
        <v>470</v>
      </c>
    </row>
    <row r="300" spans="1:9" x14ac:dyDescent="0.3">
      <c r="A300" t="s">
        <v>44</v>
      </c>
      <c r="B300" t="s">
        <v>45</v>
      </c>
      <c r="C300" s="10" t="s">
        <v>35</v>
      </c>
      <c r="D300" s="16">
        <f t="shared" ca="1" si="16"/>
        <v>45968</v>
      </c>
      <c r="E300" s="14">
        <f t="shared" ca="1" si="17"/>
        <v>45968.535908912039</v>
      </c>
      <c r="F300" s="18">
        <f>EOMONTH(Table13[[#This Row],[Transaction Date]],0)</f>
        <v>45322</v>
      </c>
      <c r="G300" s="20">
        <f ca="1">_xlfn.DAYS(Table13[[#This Row],[Today]],Table13[[#This Row],[Transaction Date]])</f>
        <v>655</v>
      </c>
      <c r="H300">
        <f ca="1">NETWORKDAYS.INTL(Table13[[#This Row],[Transaction Date]],Table13[[#This Row],[Today]],)</f>
        <v>470</v>
      </c>
      <c r="I300">
        <f ca="1">NETWORKDAYS(Table13[[#This Row],[Transaction Date]],Table13[[#This Row],[Today]])</f>
        <v>470</v>
      </c>
    </row>
    <row r="301" spans="1:9" x14ac:dyDescent="0.3">
      <c r="A301" t="s">
        <v>86</v>
      </c>
      <c r="B301" t="s">
        <v>87</v>
      </c>
      <c r="C301" s="10" t="s">
        <v>35</v>
      </c>
      <c r="D301" s="16">
        <f ca="1">TODAY()</f>
        <v>45968</v>
      </c>
      <c r="E301" s="14">
        <f t="shared" ca="1" si="17"/>
        <v>45968.535908912039</v>
      </c>
      <c r="F301" s="18">
        <f>EOMONTH(Table13[[#This Row],[Transaction Date]],0)</f>
        <v>45322</v>
      </c>
      <c r="G301" s="20">
        <f ca="1">_xlfn.DAYS(Table13[[#This Row],[Today]],Table13[[#This Row],[Transaction Date]])</f>
        <v>655</v>
      </c>
      <c r="H301">
        <f ca="1">NETWORKDAYS.INTL(Table13[[#This Row],[Transaction Date]],Table13[[#This Row],[Today]],)</f>
        <v>470</v>
      </c>
      <c r="I301">
        <f ca="1">NETWORKDAYS(Table13[[#This Row],[Transaction Date]],Table13[[#This Row],[Today]])</f>
        <v>470</v>
      </c>
    </row>
    <row r="302" spans="1:9" x14ac:dyDescent="0.3">
      <c r="A302" t="s">
        <v>40</v>
      </c>
      <c r="B302" t="s">
        <v>41</v>
      </c>
      <c r="C302" s="10" t="s">
        <v>35</v>
      </c>
      <c r="D302" s="16">
        <f t="shared" ref="D302:D320" ca="1" si="18">TODAY()</f>
        <v>45968</v>
      </c>
      <c r="E302" s="14">
        <f t="shared" ca="1" si="17"/>
        <v>45968.535908912039</v>
      </c>
      <c r="F302" s="18">
        <f>EOMONTH(Table13[[#This Row],[Transaction Date]],0)</f>
        <v>45322</v>
      </c>
      <c r="G302" s="20">
        <f ca="1">_xlfn.DAYS(Table13[[#This Row],[Today]],Table13[[#This Row],[Transaction Date]])</f>
        <v>655</v>
      </c>
      <c r="H302">
        <f ca="1">NETWORKDAYS.INTL(Table13[[#This Row],[Transaction Date]],Table13[[#This Row],[Today]],)</f>
        <v>470</v>
      </c>
      <c r="I302">
        <f ca="1">NETWORKDAYS(Table13[[#This Row],[Transaction Date]],Table13[[#This Row],[Today]])</f>
        <v>470</v>
      </c>
    </row>
    <row r="303" spans="1:9" x14ac:dyDescent="0.3">
      <c r="A303" t="s">
        <v>65</v>
      </c>
      <c r="B303" t="s">
        <v>66</v>
      </c>
      <c r="C303" s="10" t="s">
        <v>35</v>
      </c>
      <c r="D303" s="16">
        <f t="shared" ca="1" si="18"/>
        <v>45968</v>
      </c>
      <c r="E303" s="14">
        <f t="shared" ca="1" si="17"/>
        <v>45968.535908912039</v>
      </c>
      <c r="F303" s="18">
        <f>EOMONTH(Table13[[#This Row],[Transaction Date]],0)</f>
        <v>45322</v>
      </c>
      <c r="G303" s="20">
        <f ca="1">_xlfn.DAYS(Table13[[#This Row],[Today]],Table13[[#This Row],[Transaction Date]])</f>
        <v>655</v>
      </c>
      <c r="H303">
        <f ca="1">NETWORKDAYS.INTL(Table13[[#This Row],[Transaction Date]],Table13[[#This Row],[Today]],)</f>
        <v>470</v>
      </c>
      <c r="I303">
        <f ca="1">NETWORKDAYS(Table13[[#This Row],[Transaction Date]],Table13[[#This Row],[Today]])</f>
        <v>470</v>
      </c>
    </row>
    <row r="304" spans="1:9" x14ac:dyDescent="0.3">
      <c r="A304" t="s">
        <v>83</v>
      </c>
      <c r="B304" t="s">
        <v>84</v>
      </c>
      <c r="C304" s="10" t="s">
        <v>35</v>
      </c>
      <c r="D304" s="16">
        <f t="shared" ca="1" si="18"/>
        <v>45968</v>
      </c>
      <c r="E304" s="14">
        <f t="shared" ca="1" si="17"/>
        <v>45968.535908912039</v>
      </c>
      <c r="F304" s="18">
        <f>EOMONTH(Table13[[#This Row],[Transaction Date]],0)</f>
        <v>45322</v>
      </c>
      <c r="G304" s="20">
        <f ca="1">_xlfn.DAYS(Table13[[#This Row],[Today]],Table13[[#This Row],[Transaction Date]])</f>
        <v>655</v>
      </c>
      <c r="H304">
        <f ca="1">NETWORKDAYS.INTL(Table13[[#This Row],[Transaction Date]],Table13[[#This Row],[Today]],)</f>
        <v>470</v>
      </c>
      <c r="I304">
        <f ca="1">NETWORKDAYS(Table13[[#This Row],[Transaction Date]],Table13[[#This Row],[Today]])</f>
        <v>470</v>
      </c>
    </row>
    <row r="305" spans="1:9" x14ac:dyDescent="0.3">
      <c r="A305" t="s">
        <v>36</v>
      </c>
      <c r="B305" t="s">
        <v>37</v>
      </c>
      <c r="C305" s="10" t="s">
        <v>35</v>
      </c>
      <c r="D305" s="16">
        <f t="shared" ca="1" si="18"/>
        <v>45968</v>
      </c>
      <c r="E305" s="14">
        <f t="shared" ca="1" si="17"/>
        <v>45968.535908912039</v>
      </c>
      <c r="F305" s="18">
        <f>EOMONTH(Table13[[#This Row],[Transaction Date]],0)</f>
        <v>45322</v>
      </c>
      <c r="G305" s="20">
        <f ca="1">_xlfn.DAYS(Table13[[#This Row],[Today]],Table13[[#This Row],[Transaction Date]])</f>
        <v>655</v>
      </c>
      <c r="H305">
        <f ca="1">NETWORKDAYS.INTL(Table13[[#This Row],[Transaction Date]],Table13[[#This Row],[Today]],)</f>
        <v>470</v>
      </c>
      <c r="I305">
        <f ca="1">NETWORKDAYS(Table13[[#This Row],[Transaction Date]],Table13[[#This Row],[Today]])</f>
        <v>470</v>
      </c>
    </row>
    <row r="306" spans="1:9" x14ac:dyDescent="0.3">
      <c r="A306" t="s">
        <v>62</v>
      </c>
      <c r="B306" t="s">
        <v>63</v>
      </c>
      <c r="C306" s="10" t="s">
        <v>35</v>
      </c>
      <c r="D306" s="16">
        <f t="shared" ca="1" si="18"/>
        <v>45968</v>
      </c>
      <c r="E306" s="14">
        <f t="shared" ca="1" si="17"/>
        <v>45968.535908912039</v>
      </c>
      <c r="F306" s="18">
        <f>EOMONTH(Table13[[#This Row],[Transaction Date]],0)</f>
        <v>45322</v>
      </c>
      <c r="G306" s="20">
        <f ca="1">_xlfn.DAYS(Table13[[#This Row],[Today]],Table13[[#This Row],[Transaction Date]])</f>
        <v>655</v>
      </c>
      <c r="H306">
        <f ca="1">NETWORKDAYS.INTL(Table13[[#This Row],[Transaction Date]],Table13[[#This Row],[Today]],)</f>
        <v>470</v>
      </c>
      <c r="I306">
        <f ca="1">NETWORKDAYS(Table13[[#This Row],[Transaction Date]],Table13[[#This Row],[Today]])</f>
        <v>470</v>
      </c>
    </row>
    <row r="307" spans="1:9" x14ac:dyDescent="0.3">
      <c r="A307" t="s">
        <v>31</v>
      </c>
      <c r="B307" t="s">
        <v>32</v>
      </c>
      <c r="C307" s="10" t="s">
        <v>35</v>
      </c>
      <c r="D307" s="16">
        <f t="shared" ca="1" si="18"/>
        <v>45968</v>
      </c>
      <c r="E307" s="14">
        <f t="shared" ca="1" si="17"/>
        <v>45968.535908912039</v>
      </c>
      <c r="F307" s="18">
        <f>EOMONTH(Table13[[#This Row],[Transaction Date]],0)</f>
        <v>45322</v>
      </c>
      <c r="G307" s="20">
        <f ca="1">_xlfn.DAYS(Table13[[#This Row],[Today]],Table13[[#This Row],[Transaction Date]])</f>
        <v>655</v>
      </c>
      <c r="H307">
        <f ca="1">NETWORKDAYS.INTL(Table13[[#This Row],[Transaction Date]],Table13[[#This Row],[Today]],)</f>
        <v>470</v>
      </c>
      <c r="I307">
        <f ca="1">NETWORKDAYS(Table13[[#This Row],[Transaction Date]],Table13[[#This Row],[Today]])</f>
        <v>470</v>
      </c>
    </row>
    <row r="308" spans="1:9" x14ac:dyDescent="0.3">
      <c r="A308" t="s">
        <v>80</v>
      </c>
      <c r="B308" t="s">
        <v>81</v>
      </c>
      <c r="C308" s="10" t="s">
        <v>35</v>
      </c>
      <c r="D308" s="16">
        <f t="shared" ca="1" si="18"/>
        <v>45968</v>
      </c>
      <c r="E308" s="14">
        <f t="shared" ca="1" si="17"/>
        <v>45968.535908912039</v>
      </c>
      <c r="F308" s="18">
        <f>EOMONTH(Table13[[#This Row],[Transaction Date]],0)</f>
        <v>45322</v>
      </c>
      <c r="G308" s="20">
        <f ca="1">_xlfn.DAYS(Table13[[#This Row],[Today]],Table13[[#This Row],[Transaction Date]])</f>
        <v>655</v>
      </c>
      <c r="H308">
        <f ca="1">NETWORKDAYS.INTL(Table13[[#This Row],[Transaction Date]],Table13[[#This Row],[Today]],)</f>
        <v>470</v>
      </c>
      <c r="I308">
        <f ca="1">NETWORKDAYS(Table13[[#This Row],[Transaction Date]],Table13[[#This Row],[Today]])</f>
        <v>470</v>
      </c>
    </row>
    <row r="309" spans="1:9" x14ac:dyDescent="0.3">
      <c r="A309" t="s">
        <v>59</v>
      </c>
      <c r="B309" t="s">
        <v>60</v>
      </c>
      <c r="C309" s="10" t="s">
        <v>35</v>
      </c>
      <c r="D309" s="16">
        <f t="shared" ca="1" si="18"/>
        <v>45968</v>
      </c>
      <c r="E309" s="14">
        <f t="shared" ca="1" si="17"/>
        <v>45968.535908912039</v>
      </c>
      <c r="F309" s="18">
        <f>EOMONTH(Table13[[#This Row],[Transaction Date]],0)</f>
        <v>45322</v>
      </c>
      <c r="G309" s="20">
        <f ca="1">_xlfn.DAYS(Table13[[#This Row],[Today]],Table13[[#This Row],[Transaction Date]])</f>
        <v>655</v>
      </c>
      <c r="H309">
        <f ca="1">NETWORKDAYS.INTL(Table13[[#This Row],[Transaction Date]],Table13[[#This Row],[Today]],)</f>
        <v>470</v>
      </c>
      <c r="I309">
        <f ca="1">NETWORKDAYS(Table13[[#This Row],[Transaction Date]],Table13[[#This Row],[Today]])</f>
        <v>470</v>
      </c>
    </row>
    <row r="310" spans="1:9" x14ac:dyDescent="0.3">
      <c r="A310" t="s">
        <v>24</v>
      </c>
      <c r="B310" t="s">
        <v>25</v>
      </c>
      <c r="C310" s="10" t="s">
        <v>35</v>
      </c>
      <c r="D310" s="16">
        <f t="shared" ca="1" si="18"/>
        <v>45968</v>
      </c>
      <c r="E310" s="14">
        <f t="shared" ca="1" si="17"/>
        <v>45968.535908912039</v>
      </c>
      <c r="F310" s="18">
        <f>EOMONTH(Table13[[#This Row],[Transaction Date]],0)</f>
        <v>45322</v>
      </c>
      <c r="G310" s="20">
        <f ca="1">_xlfn.DAYS(Table13[[#This Row],[Today]],Table13[[#This Row],[Transaction Date]])</f>
        <v>655</v>
      </c>
      <c r="H310">
        <f ca="1">NETWORKDAYS.INTL(Table13[[#This Row],[Transaction Date]],Table13[[#This Row],[Today]],)</f>
        <v>470</v>
      </c>
      <c r="I310">
        <f ca="1">NETWORKDAYS(Table13[[#This Row],[Transaction Date]],Table13[[#This Row],[Today]])</f>
        <v>470</v>
      </c>
    </row>
    <row r="311" spans="1:9" x14ac:dyDescent="0.3">
      <c r="A311" t="s">
        <v>77</v>
      </c>
      <c r="B311" t="s">
        <v>78</v>
      </c>
      <c r="C311" s="10" t="s">
        <v>35</v>
      </c>
      <c r="D311" s="16">
        <f t="shared" ca="1" si="18"/>
        <v>45968</v>
      </c>
      <c r="E311" s="14">
        <f t="shared" ca="1" si="17"/>
        <v>45968.535908912039</v>
      </c>
      <c r="F311" s="18">
        <f>EOMONTH(Table13[[#This Row],[Transaction Date]],0)</f>
        <v>45322</v>
      </c>
      <c r="G311" s="20">
        <f ca="1">_xlfn.DAYS(Table13[[#This Row],[Today]],Table13[[#This Row],[Transaction Date]])</f>
        <v>655</v>
      </c>
      <c r="H311">
        <f ca="1">NETWORKDAYS.INTL(Table13[[#This Row],[Transaction Date]],Table13[[#This Row],[Today]],)</f>
        <v>470</v>
      </c>
      <c r="I311">
        <f ca="1">NETWORKDAYS(Table13[[#This Row],[Transaction Date]],Table13[[#This Row],[Today]])</f>
        <v>470</v>
      </c>
    </row>
    <row r="312" spans="1:9" x14ac:dyDescent="0.3">
      <c r="A312" t="s">
        <v>56</v>
      </c>
      <c r="B312" t="s">
        <v>57</v>
      </c>
      <c r="C312" s="10" t="s">
        <v>35</v>
      </c>
      <c r="D312" s="16">
        <f t="shared" ca="1" si="18"/>
        <v>45968</v>
      </c>
      <c r="E312" s="14">
        <f t="shared" ca="1" si="17"/>
        <v>45968.535908912039</v>
      </c>
      <c r="F312" s="18">
        <f>EOMONTH(Table13[[#This Row],[Transaction Date]],0)</f>
        <v>45322</v>
      </c>
      <c r="G312" s="20">
        <f ca="1">_xlfn.DAYS(Table13[[#This Row],[Today]],Table13[[#This Row],[Transaction Date]])</f>
        <v>655</v>
      </c>
      <c r="H312">
        <f ca="1">NETWORKDAYS.INTL(Table13[[#This Row],[Transaction Date]],Table13[[#This Row],[Today]],)</f>
        <v>470</v>
      </c>
      <c r="I312">
        <f ca="1">NETWORKDAYS(Table13[[#This Row],[Transaction Date]],Table13[[#This Row],[Today]])</f>
        <v>470</v>
      </c>
    </row>
    <row r="313" spans="1:9" x14ac:dyDescent="0.3">
      <c r="A313" t="s">
        <v>74</v>
      </c>
      <c r="B313" t="s">
        <v>75</v>
      </c>
      <c r="C313" s="10" t="s">
        <v>35</v>
      </c>
      <c r="D313" s="16">
        <f t="shared" ca="1" si="18"/>
        <v>45968</v>
      </c>
      <c r="E313" s="14">
        <f t="shared" ca="1" si="17"/>
        <v>45968.535908912039</v>
      </c>
      <c r="F313" s="18">
        <f>EOMONTH(Table13[[#This Row],[Transaction Date]],0)</f>
        <v>45322</v>
      </c>
      <c r="G313" s="20">
        <f ca="1">_xlfn.DAYS(Table13[[#This Row],[Today]],Table13[[#This Row],[Transaction Date]])</f>
        <v>655</v>
      </c>
      <c r="H313">
        <f ca="1">NETWORKDAYS.INTL(Table13[[#This Row],[Transaction Date]],Table13[[#This Row],[Today]],)</f>
        <v>470</v>
      </c>
      <c r="I313">
        <f ca="1">NETWORKDAYS(Table13[[#This Row],[Transaction Date]],Table13[[#This Row],[Today]])</f>
        <v>470</v>
      </c>
    </row>
    <row r="314" spans="1:9" x14ac:dyDescent="0.3">
      <c r="A314" t="s">
        <v>17</v>
      </c>
      <c r="B314" t="s">
        <v>18</v>
      </c>
      <c r="C314" s="10" t="s">
        <v>35</v>
      </c>
      <c r="D314" s="16">
        <f t="shared" ca="1" si="18"/>
        <v>45968</v>
      </c>
      <c r="E314" s="14">
        <f t="shared" ca="1" si="17"/>
        <v>45968.535908912039</v>
      </c>
      <c r="F314" s="18">
        <f>EOMONTH(Table13[[#This Row],[Transaction Date]],0)</f>
        <v>45322</v>
      </c>
      <c r="G314" s="20">
        <f ca="1">_xlfn.DAYS(Table13[[#This Row],[Today]],Table13[[#This Row],[Transaction Date]])</f>
        <v>655</v>
      </c>
      <c r="H314">
        <f ca="1">NETWORKDAYS.INTL(Table13[[#This Row],[Transaction Date]],Table13[[#This Row],[Today]],)</f>
        <v>470</v>
      </c>
      <c r="I314">
        <f ca="1">NETWORKDAYS(Table13[[#This Row],[Transaction Date]],Table13[[#This Row],[Today]])</f>
        <v>470</v>
      </c>
    </row>
    <row r="315" spans="1:9" x14ac:dyDescent="0.3">
      <c r="A315" t="s">
        <v>53</v>
      </c>
      <c r="B315" t="s">
        <v>54</v>
      </c>
      <c r="C315" s="10" t="s">
        <v>35</v>
      </c>
      <c r="D315" s="16">
        <f t="shared" ca="1" si="18"/>
        <v>45968</v>
      </c>
      <c r="E315" s="14">
        <f t="shared" ca="1" si="17"/>
        <v>45968.535908912039</v>
      </c>
      <c r="F315" s="18">
        <f>EOMONTH(Table13[[#This Row],[Transaction Date]],0)</f>
        <v>45322</v>
      </c>
      <c r="G315" s="20">
        <f ca="1">_xlfn.DAYS(Table13[[#This Row],[Today]],Table13[[#This Row],[Transaction Date]])</f>
        <v>655</v>
      </c>
      <c r="H315">
        <f ca="1">NETWORKDAYS.INTL(Table13[[#This Row],[Transaction Date]],Table13[[#This Row],[Today]],)</f>
        <v>470</v>
      </c>
      <c r="I315">
        <f ca="1">NETWORKDAYS(Table13[[#This Row],[Transaction Date]],Table13[[#This Row],[Today]])</f>
        <v>470</v>
      </c>
    </row>
    <row r="316" spans="1:9" x14ac:dyDescent="0.3">
      <c r="A316" t="s">
        <v>71</v>
      </c>
      <c r="B316" t="s">
        <v>72</v>
      </c>
      <c r="C316" s="10" t="s">
        <v>35</v>
      </c>
      <c r="D316" s="16">
        <f t="shared" ca="1" si="18"/>
        <v>45968</v>
      </c>
      <c r="E316" s="14">
        <f t="shared" ca="1" si="17"/>
        <v>45968.535908912039</v>
      </c>
      <c r="F316" s="18">
        <f>EOMONTH(Table13[[#This Row],[Transaction Date]],0)</f>
        <v>45322</v>
      </c>
      <c r="G316" s="20">
        <f ca="1">_xlfn.DAYS(Table13[[#This Row],[Today]],Table13[[#This Row],[Transaction Date]])</f>
        <v>655</v>
      </c>
      <c r="H316">
        <f ca="1">NETWORKDAYS.INTL(Table13[[#This Row],[Transaction Date]],Table13[[#This Row],[Today]],)</f>
        <v>470</v>
      </c>
      <c r="I316">
        <f ca="1">NETWORKDAYS(Table13[[#This Row],[Transaction Date]],Table13[[#This Row],[Today]])</f>
        <v>470</v>
      </c>
    </row>
    <row r="317" spans="1:9" x14ac:dyDescent="0.3">
      <c r="A317" t="s">
        <v>49</v>
      </c>
      <c r="B317" t="s">
        <v>50</v>
      </c>
      <c r="C317" s="10" t="s">
        <v>35</v>
      </c>
      <c r="D317" s="16">
        <f t="shared" ca="1" si="18"/>
        <v>45968</v>
      </c>
      <c r="E317" s="14">
        <f t="shared" ca="1" si="17"/>
        <v>45968.535908912039</v>
      </c>
      <c r="F317" s="18">
        <f>EOMONTH(Table13[[#This Row],[Transaction Date]],0)</f>
        <v>45322</v>
      </c>
      <c r="G317" s="20">
        <f ca="1">_xlfn.DAYS(Table13[[#This Row],[Today]],Table13[[#This Row],[Transaction Date]])</f>
        <v>655</v>
      </c>
      <c r="H317">
        <f ca="1">NETWORKDAYS.INTL(Table13[[#This Row],[Transaction Date]],Table13[[#This Row],[Today]],)</f>
        <v>470</v>
      </c>
      <c r="I317">
        <f ca="1">NETWORKDAYS(Table13[[#This Row],[Transaction Date]],Table13[[#This Row],[Today]])</f>
        <v>470</v>
      </c>
    </row>
    <row r="318" spans="1:9" x14ac:dyDescent="0.3">
      <c r="A318" t="s">
        <v>10</v>
      </c>
      <c r="B318" t="s">
        <v>11</v>
      </c>
      <c r="C318" s="10" t="s">
        <v>35</v>
      </c>
      <c r="D318" s="16">
        <f t="shared" ca="1" si="18"/>
        <v>45968</v>
      </c>
      <c r="E318" s="14">
        <f t="shared" ca="1" si="17"/>
        <v>45968.535908912039</v>
      </c>
      <c r="F318" s="18">
        <f>EOMONTH(Table13[[#This Row],[Transaction Date]],0)</f>
        <v>45322</v>
      </c>
      <c r="G318" s="20">
        <f ca="1">_xlfn.DAYS(Table13[[#This Row],[Today]],Table13[[#This Row],[Transaction Date]])</f>
        <v>655</v>
      </c>
      <c r="H318">
        <f ca="1">NETWORKDAYS.INTL(Table13[[#This Row],[Transaction Date]],Table13[[#This Row],[Today]],)</f>
        <v>470</v>
      </c>
      <c r="I318">
        <f ca="1">NETWORKDAYS(Table13[[#This Row],[Transaction Date]],Table13[[#This Row],[Today]])</f>
        <v>470</v>
      </c>
    </row>
    <row r="319" spans="1:9" x14ac:dyDescent="0.3">
      <c r="A319" t="s">
        <v>68</v>
      </c>
      <c r="B319" t="s">
        <v>69</v>
      </c>
      <c r="C319" s="10" t="s">
        <v>35</v>
      </c>
      <c r="D319" s="16">
        <f t="shared" ca="1" si="18"/>
        <v>45968</v>
      </c>
      <c r="E319" s="14">
        <f t="shared" ca="1" si="17"/>
        <v>45968.535908912039</v>
      </c>
      <c r="F319" s="18">
        <f>EOMONTH(Table13[[#This Row],[Transaction Date]],0)</f>
        <v>45322</v>
      </c>
      <c r="G319" s="20">
        <f ca="1">_xlfn.DAYS(Table13[[#This Row],[Today]],Table13[[#This Row],[Transaction Date]])</f>
        <v>655</v>
      </c>
      <c r="H319">
        <f ca="1">NETWORKDAYS.INTL(Table13[[#This Row],[Transaction Date]],Table13[[#This Row],[Today]],)</f>
        <v>470</v>
      </c>
      <c r="I319">
        <f ca="1">NETWORKDAYS(Table13[[#This Row],[Transaction Date]],Table13[[#This Row],[Today]])</f>
        <v>470</v>
      </c>
    </row>
    <row r="320" spans="1:9" x14ac:dyDescent="0.3">
      <c r="A320" t="s">
        <v>44</v>
      </c>
      <c r="B320" t="s">
        <v>45</v>
      </c>
      <c r="C320" s="10" t="s">
        <v>35</v>
      </c>
      <c r="D320" s="16">
        <f t="shared" ca="1" si="18"/>
        <v>45968</v>
      </c>
      <c r="E320" s="14">
        <f t="shared" ca="1" si="17"/>
        <v>45968.535908912039</v>
      </c>
      <c r="F320" s="18">
        <f>EOMONTH(Table13[[#This Row],[Transaction Date]],0)</f>
        <v>45322</v>
      </c>
      <c r="G320" s="20">
        <f ca="1">_xlfn.DAYS(Table13[[#This Row],[Today]],Table13[[#This Row],[Transaction Date]])</f>
        <v>655</v>
      </c>
      <c r="H320">
        <f ca="1">NETWORKDAYS.INTL(Table13[[#This Row],[Transaction Date]],Table13[[#This Row],[Today]],)</f>
        <v>470</v>
      </c>
      <c r="I320">
        <f ca="1">NETWORKDAYS(Table13[[#This Row],[Transaction Date]],Table13[[#This Row],[Today]])</f>
        <v>470</v>
      </c>
    </row>
    <row r="321" spans="1:9" x14ac:dyDescent="0.3">
      <c r="A321" t="s">
        <v>86</v>
      </c>
      <c r="B321" t="s">
        <v>87</v>
      </c>
      <c r="C321" s="10" t="s">
        <v>35</v>
      </c>
      <c r="D321" s="16">
        <f ca="1">TODAY()</f>
        <v>45968</v>
      </c>
      <c r="E321" s="14">
        <f t="shared" ca="1" si="17"/>
        <v>45968.535908912039</v>
      </c>
      <c r="F321" s="18">
        <f>EOMONTH(Table13[[#This Row],[Transaction Date]],0)</f>
        <v>45322</v>
      </c>
      <c r="G321" s="20">
        <f ca="1">_xlfn.DAYS(Table13[[#This Row],[Today]],Table13[[#This Row],[Transaction Date]])</f>
        <v>655</v>
      </c>
      <c r="H321">
        <f ca="1">NETWORKDAYS.INTL(Table13[[#This Row],[Transaction Date]],Table13[[#This Row],[Today]],)</f>
        <v>470</v>
      </c>
      <c r="I321">
        <f ca="1">NETWORKDAYS(Table13[[#This Row],[Transaction Date]],Table13[[#This Row],[Today]])</f>
        <v>470</v>
      </c>
    </row>
    <row r="322" spans="1:9" x14ac:dyDescent="0.3">
      <c r="A322" t="s">
        <v>40</v>
      </c>
      <c r="B322" t="s">
        <v>41</v>
      </c>
      <c r="C322" s="10" t="s">
        <v>35</v>
      </c>
      <c r="D322" s="16">
        <f t="shared" ref="D322:D340" ca="1" si="19">TODAY()</f>
        <v>45968</v>
      </c>
      <c r="E322" s="14">
        <f t="shared" ca="1" si="17"/>
        <v>45968.535908912039</v>
      </c>
      <c r="F322" s="18">
        <f>EOMONTH(Table13[[#This Row],[Transaction Date]],0)</f>
        <v>45322</v>
      </c>
      <c r="G322" s="20">
        <f ca="1">_xlfn.DAYS(Table13[[#This Row],[Today]],Table13[[#This Row],[Transaction Date]])</f>
        <v>655</v>
      </c>
      <c r="H322">
        <f ca="1">NETWORKDAYS.INTL(Table13[[#This Row],[Transaction Date]],Table13[[#This Row],[Today]],)</f>
        <v>470</v>
      </c>
      <c r="I322">
        <f ca="1">NETWORKDAYS(Table13[[#This Row],[Transaction Date]],Table13[[#This Row],[Today]])</f>
        <v>470</v>
      </c>
    </row>
    <row r="323" spans="1:9" x14ac:dyDescent="0.3">
      <c r="A323" t="s">
        <v>65</v>
      </c>
      <c r="B323" t="s">
        <v>66</v>
      </c>
      <c r="C323" s="10" t="s">
        <v>35</v>
      </c>
      <c r="D323" s="16">
        <f t="shared" ca="1" si="19"/>
        <v>45968</v>
      </c>
      <c r="E323" s="14">
        <f t="shared" ca="1" si="17"/>
        <v>45968.535908912039</v>
      </c>
      <c r="F323" s="18">
        <f>EOMONTH(Table13[[#This Row],[Transaction Date]],0)</f>
        <v>45322</v>
      </c>
      <c r="G323" s="20">
        <f ca="1">_xlfn.DAYS(Table13[[#This Row],[Today]],Table13[[#This Row],[Transaction Date]])</f>
        <v>655</v>
      </c>
      <c r="H323">
        <f ca="1">NETWORKDAYS.INTL(Table13[[#This Row],[Transaction Date]],Table13[[#This Row],[Today]],)</f>
        <v>470</v>
      </c>
      <c r="I323">
        <f ca="1">NETWORKDAYS(Table13[[#This Row],[Transaction Date]],Table13[[#This Row],[Today]])</f>
        <v>470</v>
      </c>
    </row>
    <row r="324" spans="1:9" x14ac:dyDescent="0.3">
      <c r="A324" t="s">
        <v>83</v>
      </c>
      <c r="B324" t="s">
        <v>84</v>
      </c>
      <c r="C324" s="10" t="s">
        <v>35</v>
      </c>
      <c r="D324" s="16">
        <f t="shared" ca="1" si="19"/>
        <v>45968</v>
      </c>
      <c r="E324" s="14">
        <f t="shared" ca="1" si="17"/>
        <v>45968.535908912039</v>
      </c>
      <c r="F324" s="18">
        <f>EOMONTH(Table13[[#This Row],[Transaction Date]],0)</f>
        <v>45322</v>
      </c>
      <c r="G324" s="20">
        <f ca="1">_xlfn.DAYS(Table13[[#This Row],[Today]],Table13[[#This Row],[Transaction Date]])</f>
        <v>655</v>
      </c>
      <c r="H324">
        <f ca="1">NETWORKDAYS.INTL(Table13[[#This Row],[Transaction Date]],Table13[[#This Row],[Today]],)</f>
        <v>470</v>
      </c>
      <c r="I324">
        <f ca="1">NETWORKDAYS(Table13[[#This Row],[Transaction Date]],Table13[[#This Row],[Today]])</f>
        <v>470</v>
      </c>
    </row>
    <row r="325" spans="1:9" x14ac:dyDescent="0.3">
      <c r="A325" t="s">
        <v>36</v>
      </c>
      <c r="B325" t="s">
        <v>37</v>
      </c>
      <c r="C325" s="10" t="s">
        <v>35</v>
      </c>
      <c r="D325" s="16">
        <f t="shared" ca="1" si="19"/>
        <v>45968</v>
      </c>
      <c r="E325" s="14">
        <f t="shared" ca="1" si="17"/>
        <v>45968.535908912039</v>
      </c>
      <c r="F325" s="18">
        <f>EOMONTH(Table13[[#This Row],[Transaction Date]],0)</f>
        <v>45322</v>
      </c>
      <c r="G325" s="20">
        <f ca="1">_xlfn.DAYS(Table13[[#This Row],[Today]],Table13[[#This Row],[Transaction Date]])</f>
        <v>655</v>
      </c>
      <c r="H325">
        <f ca="1">NETWORKDAYS.INTL(Table13[[#This Row],[Transaction Date]],Table13[[#This Row],[Today]],)</f>
        <v>470</v>
      </c>
      <c r="I325">
        <f ca="1">NETWORKDAYS(Table13[[#This Row],[Transaction Date]],Table13[[#This Row],[Today]])</f>
        <v>470</v>
      </c>
    </row>
    <row r="326" spans="1:9" x14ac:dyDescent="0.3">
      <c r="A326" t="s">
        <v>62</v>
      </c>
      <c r="B326" t="s">
        <v>63</v>
      </c>
      <c r="C326" s="10" t="s">
        <v>35</v>
      </c>
      <c r="D326" s="16">
        <f t="shared" ca="1" si="19"/>
        <v>45968</v>
      </c>
      <c r="E326" s="14">
        <f t="shared" ca="1" si="17"/>
        <v>45968.535908912039</v>
      </c>
      <c r="F326" s="18">
        <f>EOMONTH(Table13[[#This Row],[Transaction Date]],0)</f>
        <v>45322</v>
      </c>
      <c r="G326" s="20">
        <f ca="1">_xlfn.DAYS(Table13[[#This Row],[Today]],Table13[[#This Row],[Transaction Date]])</f>
        <v>655</v>
      </c>
      <c r="H326">
        <f ca="1">NETWORKDAYS.INTL(Table13[[#This Row],[Transaction Date]],Table13[[#This Row],[Today]],)</f>
        <v>470</v>
      </c>
      <c r="I326">
        <f ca="1">NETWORKDAYS(Table13[[#This Row],[Transaction Date]],Table13[[#This Row],[Today]])</f>
        <v>470</v>
      </c>
    </row>
    <row r="327" spans="1:9" x14ac:dyDescent="0.3">
      <c r="A327" t="s">
        <v>31</v>
      </c>
      <c r="B327" t="s">
        <v>32</v>
      </c>
      <c r="C327" s="10" t="s">
        <v>35</v>
      </c>
      <c r="D327" s="16">
        <f t="shared" ca="1" si="19"/>
        <v>45968</v>
      </c>
      <c r="E327" s="14">
        <f t="shared" ca="1" si="17"/>
        <v>45968.535908912039</v>
      </c>
      <c r="F327" s="18">
        <f>EOMONTH(Table13[[#This Row],[Transaction Date]],0)</f>
        <v>45322</v>
      </c>
      <c r="G327" s="20">
        <f ca="1">_xlfn.DAYS(Table13[[#This Row],[Today]],Table13[[#This Row],[Transaction Date]])</f>
        <v>655</v>
      </c>
      <c r="H327">
        <f ca="1">NETWORKDAYS.INTL(Table13[[#This Row],[Transaction Date]],Table13[[#This Row],[Today]],)</f>
        <v>470</v>
      </c>
      <c r="I327">
        <f ca="1">NETWORKDAYS(Table13[[#This Row],[Transaction Date]],Table13[[#This Row],[Today]])</f>
        <v>470</v>
      </c>
    </row>
    <row r="328" spans="1:9" x14ac:dyDescent="0.3">
      <c r="A328" t="s">
        <v>80</v>
      </c>
      <c r="B328" t="s">
        <v>81</v>
      </c>
      <c r="C328" s="10" t="s">
        <v>35</v>
      </c>
      <c r="D328" s="16">
        <f t="shared" ca="1" si="19"/>
        <v>45968</v>
      </c>
      <c r="E328" s="14">
        <f t="shared" ca="1" si="17"/>
        <v>45968.535908912039</v>
      </c>
      <c r="F328" s="18">
        <f>EOMONTH(Table13[[#This Row],[Transaction Date]],0)</f>
        <v>45322</v>
      </c>
      <c r="G328" s="20">
        <f ca="1">_xlfn.DAYS(Table13[[#This Row],[Today]],Table13[[#This Row],[Transaction Date]])</f>
        <v>655</v>
      </c>
      <c r="H328">
        <f ca="1">NETWORKDAYS.INTL(Table13[[#This Row],[Transaction Date]],Table13[[#This Row],[Today]],)</f>
        <v>470</v>
      </c>
      <c r="I328">
        <f ca="1">NETWORKDAYS(Table13[[#This Row],[Transaction Date]],Table13[[#This Row],[Today]])</f>
        <v>470</v>
      </c>
    </row>
    <row r="329" spans="1:9" x14ac:dyDescent="0.3">
      <c r="A329" t="s">
        <v>59</v>
      </c>
      <c r="B329" t="s">
        <v>60</v>
      </c>
      <c r="C329" s="10" t="s">
        <v>35</v>
      </c>
      <c r="D329" s="16">
        <f t="shared" ca="1" si="19"/>
        <v>45968</v>
      </c>
      <c r="E329" s="14">
        <f t="shared" ca="1" si="17"/>
        <v>45968.535908912039</v>
      </c>
      <c r="F329" s="18">
        <f>EOMONTH(Table13[[#This Row],[Transaction Date]],0)</f>
        <v>45322</v>
      </c>
      <c r="G329" s="20">
        <f ca="1">_xlfn.DAYS(Table13[[#This Row],[Today]],Table13[[#This Row],[Transaction Date]])</f>
        <v>655</v>
      </c>
      <c r="H329">
        <f ca="1">NETWORKDAYS.INTL(Table13[[#This Row],[Transaction Date]],Table13[[#This Row],[Today]],)</f>
        <v>470</v>
      </c>
      <c r="I329">
        <f ca="1">NETWORKDAYS(Table13[[#This Row],[Transaction Date]],Table13[[#This Row],[Today]])</f>
        <v>470</v>
      </c>
    </row>
    <row r="330" spans="1:9" x14ac:dyDescent="0.3">
      <c r="A330" t="s">
        <v>24</v>
      </c>
      <c r="B330" t="s">
        <v>25</v>
      </c>
      <c r="C330" s="10" t="s">
        <v>35</v>
      </c>
      <c r="D330" s="16">
        <f t="shared" ca="1" si="19"/>
        <v>45968</v>
      </c>
      <c r="E330" s="14">
        <f t="shared" ca="1" si="17"/>
        <v>45968.535908912039</v>
      </c>
      <c r="F330" s="18">
        <f>EOMONTH(Table13[[#This Row],[Transaction Date]],0)</f>
        <v>45322</v>
      </c>
      <c r="G330" s="20">
        <f ca="1">_xlfn.DAYS(Table13[[#This Row],[Today]],Table13[[#This Row],[Transaction Date]])</f>
        <v>655</v>
      </c>
      <c r="H330">
        <f ca="1">NETWORKDAYS.INTL(Table13[[#This Row],[Transaction Date]],Table13[[#This Row],[Today]],)</f>
        <v>470</v>
      </c>
      <c r="I330">
        <f ca="1">NETWORKDAYS(Table13[[#This Row],[Transaction Date]],Table13[[#This Row],[Today]])</f>
        <v>470</v>
      </c>
    </row>
    <row r="331" spans="1:9" x14ac:dyDescent="0.3">
      <c r="A331" t="s">
        <v>77</v>
      </c>
      <c r="B331" t="s">
        <v>78</v>
      </c>
      <c r="C331" s="10" t="s">
        <v>35</v>
      </c>
      <c r="D331" s="16">
        <f t="shared" ca="1" si="19"/>
        <v>45968</v>
      </c>
      <c r="E331" s="14">
        <f t="shared" ca="1" si="17"/>
        <v>45968.535908912039</v>
      </c>
      <c r="F331" s="18">
        <f>EOMONTH(Table13[[#This Row],[Transaction Date]],0)</f>
        <v>45322</v>
      </c>
      <c r="G331" s="20">
        <f ca="1">_xlfn.DAYS(Table13[[#This Row],[Today]],Table13[[#This Row],[Transaction Date]])</f>
        <v>655</v>
      </c>
      <c r="H331">
        <f ca="1">NETWORKDAYS.INTL(Table13[[#This Row],[Transaction Date]],Table13[[#This Row],[Today]],)</f>
        <v>470</v>
      </c>
      <c r="I331">
        <f ca="1">NETWORKDAYS(Table13[[#This Row],[Transaction Date]],Table13[[#This Row],[Today]])</f>
        <v>470</v>
      </c>
    </row>
    <row r="332" spans="1:9" x14ac:dyDescent="0.3">
      <c r="A332" t="s">
        <v>56</v>
      </c>
      <c r="B332" t="s">
        <v>57</v>
      </c>
      <c r="C332" s="10" t="s">
        <v>35</v>
      </c>
      <c r="D332" s="16">
        <f t="shared" ca="1" si="19"/>
        <v>45968</v>
      </c>
      <c r="E332" s="14">
        <f t="shared" ca="1" si="17"/>
        <v>45968.535908912039</v>
      </c>
      <c r="F332" s="18">
        <f>EOMONTH(Table13[[#This Row],[Transaction Date]],0)</f>
        <v>45322</v>
      </c>
      <c r="G332" s="20">
        <f ca="1">_xlfn.DAYS(Table13[[#This Row],[Today]],Table13[[#This Row],[Transaction Date]])</f>
        <v>655</v>
      </c>
      <c r="H332">
        <f ca="1">NETWORKDAYS.INTL(Table13[[#This Row],[Transaction Date]],Table13[[#This Row],[Today]],)</f>
        <v>470</v>
      </c>
      <c r="I332">
        <f ca="1">NETWORKDAYS(Table13[[#This Row],[Transaction Date]],Table13[[#This Row],[Today]])</f>
        <v>470</v>
      </c>
    </row>
    <row r="333" spans="1:9" x14ac:dyDescent="0.3">
      <c r="A333" t="s">
        <v>74</v>
      </c>
      <c r="B333" t="s">
        <v>75</v>
      </c>
      <c r="C333" s="10" t="s">
        <v>35</v>
      </c>
      <c r="D333" s="16">
        <f t="shared" ca="1" si="19"/>
        <v>45968</v>
      </c>
      <c r="E333" s="14">
        <f t="shared" ca="1" si="17"/>
        <v>45968.535908912039</v>
      </c>
      <c r="F333" s="18">
        <f>EOMONTH(Table13[[#This Row],[Transaction Date]],0)</f>
        <v>45322</v>
      </c>
      <c r="G333" s="20">
        <f ca="1">_xlfn.DAYS(Table13[[#This Row],[Today]],Table13[[#This Row],[Transaction Date]])</f>
        <v>655</v>
      </c>
      <c r="H333">
        <f ca="1">NETWORKDAYS.INTL(Table13[[#This Row],[Transaction Date]],Table13[[#This Row],[Today]],)</f>
        <v>470</v>
      </c>
      <c r="I333">
        <f ca="1">NETWORKDAYS(Table13[[#This Row],[Transaction Date]],Table13[[#This Row],[Today]])</f>
        <v>470</v>
      </c>
    </row>
    <row r="334" spans="1:9" x14ac:dyDescent="0.3">
      <c r="A334" t="s">
        <v>17</v>
      </c>
      <c r="B334" t="s">
        <v>18</v>
      </c>
      <c r="C334" s="10" t="s">
        <v>35</v>
      </c>
      <c r="D334" s="16">
        <f t="shared" ca="1" si="19"/>
        <v>45968</v>
      </c>
      <c r="E334" s="14">
        <f t="shared" ca="1" si="17"/>
        <v>45968.535908912039</v>
      </c>
      <c r="F334" s="18">
        <f>EOMONTH(Table13[[#This Row],[Transaction Date]],0)</f>
        <v>45322</v>
      </c>
      <c r="G334" s="20">
        <f ca="1">_xlfn.DAYS(Table13[[#This Row],[Today]],Table13[[#This Row],[Transaction Date]])</f>
        <v>655</v>
      </c>
      <c r="H334">
        <f ca="1">NETWORKDAYS.INTL(Table13[[#This Row],[Transaction Date]],Table13[[#This Row],[Today]],)</f>
        <v>470</v>
      </c>
      <c r="I334">
        <f ca="1">NETWORKDAYS(Table13[[#This Row],[Transaction Date]],Table13[[#This Row],[Today]])</f>
        <v>470</v>
      </c>
    </row>
    <row r="335" spans="1:9" x14ac:dyDescent="0.3">
      <c r="A335" t="s">
        <v>53</v>
      </c>
      <c r="B335" t="s">
        <v>54</v>
      </c>
      <c r="C335" s="10" t="s">
        <v>35</v>
      </c>
      <c r="D335" s="16">
        <f t="shared" ca="1" si="19"/>
        <v>45968</v>
      </c>
      <c r="E335" s="14">
        <f t="shared" ca="1" si="17"/>
        <v>45968.535908912039</v>
      </c>
      <c r="F335" s="18">
        <f>EOMONTH(Table13[[#This Row],[Transaction Date]],0)</f>
        <v>45322</v>
      </c>
      <c r="G335" s="20">
        <f ca="1">_xlfn.DAYS(Table13[[#This Row],[Today]],Table13[[#This Row],[Transaction Date]])</f>
        <v>655</v>
      </c>
      <c r="H335">
        <f ca="1">NETWORKDAYS.INTL(Table13[[#This Row],[Transaction Date]],Table13[[#This Row],[Today]],)</f>
        <v>470</v>
      </c>
      <c r="I335">
        <f ca="1">NETWORKDAYS(Table13[[#This Row],[Transaction Date]],Table13[[#This Row],[Today]])</f>
        <v>470</v>
      </c>
    </row>
    <row r="336" spans="1:9" x14ac:dyDescent="0.3">
      <c r="A336" t="s">
        <v>71</v>
      </c>
      <c r="B336" t="s">
        <v>72</v>
      </c>
      <c r="C336" s="10" t="s">
        <v>35</v>
      </c>
      <c r="D336" s="16">
        <f t="shared" ca="1" si="19"/>
        <v>45968</v>
      </c>
      <c r="E336" s="14">
        <f t="shared" ca="1" si="17"/>
        <v>45968.535908912039</v>
      </c>
      <c r="F336" s="18">
        <f>EOMONTH(Table13[[#This Row],[Transaction Date]],0)</f>
        <v>45322</v>
      </c>
      <c r="G336" s="20">
        <f ca="1">_xlfn.DAYS(Table13[[#This Row],[Today]],Table13[[#This Row],[Transaction Date]])</f>
        <v>655</v>
      </c>
      <c r="H336">
        <f ca="1">NETWORKDAYS.INTL(Table13[[#This Row],[Transaction Date]],Table13[[#This Row],[Today]],)</f>
        <v>470</v>
      </c>
      <c r="I336">
        <f ca="1">NETWORKDAYS(Table13[[#This Row],[Transaction Date]],Table13[[#This Row],[Today]])</f>
        <v>470</v>
      </c>
    </row>
    <row r="337" spans="1:9" x14ac:dyDescent="0.3">
      <c r="A337" t="s">
        <v>49</v>
      </c>
      <c r="B337" t="s">
        <v>50</v>
      </c>
      <c r="C337" s="10" t="s">
        <v>35</v>
      </c>
      <c r="D337" s="16">
        <f t="shared" ca="1" si="19"/>
        <v>45968</v>
      </c>
      <c r="E337" s="14">
        <f t="shared" ca="1" si="17"/>
        <v>45968.535908912039</v>
      </c>
      <c r="F337" s="18">
        <f>EOMONTH(Table13[[#This Row],[Transaction Date]],0)</f>
        <v>45322</v>
      </c>
      <c r="G337" s="20">
        <f ca="1">_xlfn.DAYS(Table13[[#This Row],[Today]],Table13[[#This Row],[Transaction Date]])</f>
        <v>655</v>
      </c>
      <c r="H337">
        <f ca="1">NETWORKDAYS.INTL(Table13[[#This Row],[Transaction Date]],Table13[[#This Row],[Today]],)</f>
        <v>470</v>
      </c>
      <c r="I337">
        <f ca="1">NETWORKDAYS(Table13[[#This Row],[Transaction Date]],Table13[[#This Row],[Today]])</f>
        <v>470</v>
      </c>
    </row>
    <row r="338" spans="1:9" x14ac:dyDescent="0.3">
      <c r="A338" t="s">
        <v>10</v>
      </c>
      <c r="B338" t="s">
        <v>11</v>
      </c>
      <c r="C338" s="10" t="s">
        <v>35</v>
      </c>
      <c r="D338" s="16">
        <f t="shared" ca="1" si="19"/>
        <v>45968</v>
      </c>
      <c r="E338" s="14">
        <f t="shared" ca="1" si="17"/>
        <v>45968.535908912039</v>
      </c>
      <c r="F338" s="18">
        <f>EOMONTH(Table13[[#This Row],[Transaction Date]],0)</f>
        <v>45322</v>
      </c>
      <c r="G338" s="20">
        <f ca="1">_xlfn.DAYS(Table13[[#This Row],[Today]],Table13[[#This Row],[Transaction Date]])</f>
        <v>655</v>
      </c>
      <c r="H338">
        <f ca="1">NETWORKDAYS.INTL(Table13[[#This Row],[Transaction Date]],Table13[[#This Row],[Today]],)</f>
        <v>470</v>
      </c>
      <c r="I338">
        <f ca="1">NETWORKDAYS(Table13[[#This Row],[Transaction Date]],Table13[[#This Row],[Today]])</f>
        <v>470</v>
      </c>
    </row>
    <row r="339" spans="1:9" x14ac:dyDescent="0.3">
      <c r="A339" t="s">
        <v>68</v>
      </c>
      <c r="B339" t="s">
        <v>69</v>
      </c>
      <c r="C339" s="10" t="s">
        <v>35</v>
      </c>
      <c r="D339" s="16">
        <f t="shared" ca="1" si="19"/>
        <v>45968</v>
      </c>
      <c r="E339" s="14">
        <f t="shared" ca="1" si="17"/>
        <v>45968.535908912039</v>
      </c>
      <c r="F339" s="18">
        <f>EOMONTH(Table13[[#This Row],[Transaction Date]],0)</f>
        <v>45322</v>
      </c>
      <c r="G339" s="20">
        <f ca="1">_xlfn.DAYS(Table13[[#This Row],[Today]],Table13[[#This Row],[Transaction Date]])</f>
        <v>655</v>
      </c>
      <c r="H339">
        <f ca="1">NETWORKDAYS.INTL(Table13[[#This Row],[Transaction Date]],Table13[[#This Row],[Today]],)</f>
        <v>470</v>
      </c>
      <c r="I339">
        <f ca="1">NETWORKDAYS(Table13[[#This Row],[Transaction Date]],Table13[[#This Row],[Today]])</f>
        <v>470</v>
      </c>
    </row>
    <row r="340" spans="1:9" x14ac:dyDescent="0.3">
      <c r="A340" t="s">
        <v>44</v>
      </c>
      <c r="B340" t="s">
        <v>45</v>
      </c>
      <c r="C340" s="10" t="s">
        <v>35</v>
      </c>
      <c r="D340" s="16">
        <f t="shared" ca="1" si="19"/>
        <v>45968</v>
      </c>
      <c r="E340" s="14">
        <f t="shared" ca="1" si="17"/>
        <v>45968.535908912039</v>
      </c>
      <c r="F340" s="18">
        <f>EOMONTH(Table13[[#This Row],[Transaction Date]],0)</f>
        <v>45322</v>
      </c>
      <c r="G340" s="20">
        <f ca="1">_xlfn.DAYS(Table13[[#This Row],[Today]],Table13[[#This Row],[Transaction Date]])</f>
        <v>655</v>
      </c>
      <c r="H340">
        <f ca="1">NETWORKDAYS.INTL(Table13[[#This Row],[Transaction Date]],Table13[[#This Row],[Today]],)</f>
        <v>470</v>
      </c>
      <c r="I340">
        <f ca="1">NETWORKDAYS(Table13[[#This Row],[Transaction Date]],Table13[[#This Row],[Today]])</f>
        <v>470</v>
      </c>
    </row>
    <row r="341" spans="1:9" x14ac:dyDescent="0.3">
      <c r="A341" t="s">
        <v>86</v>
      </c>
      <c r="B341" t="s">
        <v>87</v>
      </c>
      <c r="C341" s="10" t="s">
        <v>35</v>
      </c>
      <c r="D341" s="16">
        <f ca="1">TODAY()</f>
        <v>45968</v>
      </c>
      <c r="E341" s="14">
        <f t="shared" ca="1" si="17"/>
        <v>45968.535908912039</v>
      </c>
      <c r="F341" s="18">
        <f>EOMONTH(Table13[[#This Row],[Transaction Date]],0)</f>
        <v>45322</v>
      </c>
      <c r="G341" s="20">
        <f ca="1">_xlfn.DAYS(Table13[[#This Row],[Today]],Table13[[#This Row],[Transaction Date]])</f>
        <v>655</v>
      </c>
      <c r="H341">
        <f ca="1">NETWORKDAYS.INTL(Table13[[#This Row],[Transaction Date]],Table13[[#This Row],[Today]],)</f>
        <v>470</v>
      </c>
      <c r="I341">
        <f ca="1">NETWORKDAYS(Table13[[#This Row],[Transaction Date]],Table13[[#This Row],[Today]])</f>
        <v>470</v>
      </c>
    </row>
    <row r="342" spans="1:9" x14ac:dyDescent="0.3">
      <c r="A342" t="s">
        <v>40</v>
      </c>
      <c r="B342" t="s">
        <v>41</v>
      </c>
      <c r="C342" s="10" t="s">
        <v>35</v>
      </c>
      <c r="D342" s="16">
        <f t="shared" ref="D342:D360" ca="1" si="20">TODAY()</f>
        <v>45968</v>
      </c>
      <c r="E342" s="14">
        <f t="shared" ca="1" si="17"/>
        <v>45968.535908912039</v>
      </c>
      <c r="F342" s="18">
        <f>EOMONTH(Table13[[#This Row],[Transaction Date]],0)</f>
        <v>45322</v>
      </c>
      <c r="G342" s="20">
        <f ca="1">_xlfn.DAYS(Table13[[#This Row],[Today]],Table13[[#This Row],[Transaction Date]])</f>
        <v>655</v>
      </c>
      <c r="H342">
        <f ca="1">NETWORKDAYS.INTL(Table13[[#This Row],[Transaction Date]],Table13[[#This Row],[Today]],)</f>
        <v>470</v>
      </c>
      <c r="I342">
        <f ca="1">NETWORKDAYS(Table13[[#This Row],[Transaction Date]],Table13[[#This Row],[Today]])</f>
        <v>470</v>
      </c>
    </row>
    <row r="343" spans="1:9" x14ac:dyDescent="0.3">
      <c r="A343" t="s">
        <v>65</v>
      </c>
      <c r="B343" t="s">
        <v>66</v>
      </c>
      <c r="C343" s="10" t="s">
        <v>35</v>
      </c>
      <c r="D343" s="16">
        <f t="shared" ca="1" si="20"/>
        <v>45968</v>
      </c>
      <c r="E343" s="14">
        <f t="shared" ca="1" si="17"/>
        <v>45968.535908912039</v>
      </c>
      <c r="F343" s="18">
        <f>EOMONTH(Table13[[#This Row],[Transaction Date]],0)</f>
        <v>45322</v>
      </c>
      <c r="G343" s="20">
        <f ca="1">_xlfn.DAYS(Table13[[#This Row],[Today]],Table13[[#This Row],[Transaction Date]])</f>
        <v>655</v>
      </c>
      <c r="H343">
        <f ca="1">NETWORKDAYS.INTL(Table13[[#This Row],[Transaction Date]],Table13[[#This Row],[Today]],)</f>
        <v>470</v>
      </c>
      <c r="I343">
        <f ca="1">NETWORKDAYS(Table13[[#This Row],[Transaction Date]],Table13[[#This Row],[Today]])</f>
        <v>470</v>
      </c>
    </row>
    <row r="344" spans="1:9" x14ac:dyDescent="0.3">
      <c r="A344" t="s">
        <v>83</v>
      </c>
      <c r="B344" t="s">
        <v>84</v>
      </c>
      <c r="C344" s="10" t="s">
        <v>35</v>
      </c>
      <c r="D344" s="16">
        <f t="shared" ca="1" si="20"/>
        <v>45968</v>
      </c>
      <c r="E344" s="14">
        <f t="shared" ca="1" si="17"/>
        <v>45968.535908912039</v>
      </c>
      <c r="F344" s="18">
        <f>EOMONTH(Table13[[#This Row],[Transaction Date]],0)</f>
        <v>45322</v>
      </c>
      <c r="G344" s="20">
        <f ca="1">_xlfn.DAYS(Table13[[#This Row],[Today]],Table13[[#This Row],[Transaction Date]])</f>
        <v>655</v>
      </c>
      <c r="H344">
        <f ca="1">NETWORKDAYS.INTL(Table13[[#This Row],[Transaction Date]],Table13[[#This Row],[Today]],)</f>
        <v>470</v>
      </c>
      <c r="I344">
        <f ca="1">NETWORKDAYS(Table13[[#This Row],[Transaction Date]],Table13[[#This Row],[Today]])</f>
        <v>470</v>
      </c>
    </row>
    <row r="345" spans="1:9" x14ac:dyDescent="0.3">
      <c r="A345" t="s">
        <v>36</v>
      </c>
      <c r="B345" t="s">
        <v>37</v>
      </c>
      <c r="C345" s="10" t="s">
        <v>35</v>
      </c>
      <c r="D345" s="16">
        <f t="shared" ca="1" si="20"/>
        <v>45968</v>
      </c>
      <c r="E345" s="14">
        <f t="shared" ca="1" si="17"/>
        <v>45968.535908912039</v>
      </c>
      <c r="F345" s="18">
        <f>EOMONTH(Table13[[#This Row],[Transaction Date]],0)</f>
        <v>45322</v>
      </c>
      <c r="G345" s="20">
        <f ca="1">_xlfn.DAYS(Table13[[#This Row],[Today]],Table13[[#This Row],[Transaction Date]])</f>
        <v>655</v>
      </c>
      <c r="H345">
        <f ca="1">NETWORKDAYS.INTL(Table13[[#This Row],[Transaction Date]],Table13[[#This Row],[Today]],)</f>
        <v>470</v>
      </c>
      <c r="I345">
        <f ca="1">NETWORKDAYS(Table13[[#This Row],[Transaction Date]],Table13[[#This Row],[Today]])</f>
        <v>470</v>
      </c>
    </row>
    <row r="346" spans="1:9" x14ac:dyDescent="0.3">
      <c r="A346" t="s">
        <v>62</v>
      </c>
      <c r="B346" t="s">
        <v>63</v>
      </c>
      <c r="C346" s="10" t="s">
        <v>35</v>
      </c>
      <c r="D346" s="16">
        <f t="shared" ca="1" si="20"/>
        <v>45968</v>
      </c>
      <c r="E346" s="14">
        <f t="shared" ca="1" si="17"/>
        <v>45968.535908912039</v>
      </c>
      <c r="F346" s="18">
        <f>EOMONTH(Table13[[#This Row],[Transaction Date]],0)</f>
        <v>45322</v>
      </c>
      <c r="G346" s="20">
        <f ca="1">_xlfn.DAYS(Table13[[#This Row],[Today]],Table13[[#This Row],[Transaction Date]])</f>
        <v>655</v>
      </c>
      <c r="H346">
        <f ca="1">NETWORKDAYS.INTL(Table13[[#This Row],[Transaction Date]],Table13[[#This Row],[Today]],)</f>
        <v>470</v>
      </c>
      <c r="I346">
        <f ca="1">NETWORKDAYS(Table13[[#This Row],[Transaction Date]],Table13[[#This Row],[Today]])</f>
        <v>470</v>
      </c>
    </row>
    <row r="347" spans="1:9" x14ac:dyDescent="0.3">
      <c r="A347" t="s">
        <v>31</v>
      </c>
      <c r="B347" t="s">
        <v>32</v>
      </c>
      <c r="C347" s="10" t="s">
        <v>35</v>
      </c>
      <c r="D347" s="16">
        <f t="shared" ca="1" si="20"/>
        <v>45968</v>
      </c>
      <c r="E347" s="14">
        <f t="shared" ca="1" si="17"/>
        <v>45968.535908912039</v>
      </c>
      <c r="F347" s="18">
        <f>EOMONTH(Table13[[#This Row],[Transaction Date]],0)</f>
        <v>45322</v>
      </c>
      <c r="G347" s="20">
        <f ca="1">_xlfn.DAYS(Table13[[#This Row],[Today]],Table13[[#This Row],[Transaction Date]])</f>
        <v>655</v>
      </c>
      <c r="H347">
        <f ca="1">NETWORKDAYS.INTL(Table13[[#This Row],[Transaction Date]],Table13[[#This Row],[Today]],)</f>
        <v>470</v>
      </c>
      <c r="I347">
        <f ca="1">NETWORKDAYS(Table13[[#This Row],[Transaction Date]],Table13[[#This Row],[Today]])</f>
        <v>470</v>
      </c>
    </row>
    <row r="348" spans="1:9" x14ac:dyDescent="0.3">
      <c r="A348" t="s">
        <v>80</v>
      </c>
      <c r="B348" t="s">
        <v>81</v>
      </c>
      <c r="C348" s="10" t="s">
        <v>35</v>
      </c>
      <c r="D348" s="16">
        <f t="shared" ca="1" si="20"/>
        <v>45968</v>
      </c>
      <c r="E348" s="14">
        <f t="shared" ca="1" si="17"/>
        <v>45968.535908912039</v>
      </c>
      <c r="F348" s="18">
        <f>EOMONTH(Table13[[#This Row],[Transaction Date]],0)</f>
        <v>45322</v>
      </c>
      <c r="G348" s="20">
        <f ca="1">_xlfn.DAYS(Table13[[#This Row],[Today]],Table13[[#This Row],[Transaction Date]])</f>
        <v>655</v>
      </c>
      <c r="H348">
        <f ca="1">NETWORKDAYS.INTL(Table13[[#This Row],[Transaction Date]],Table13[[#This Row],[Today]],)</f>
        <v>470</v>
      </c>
      <c r="I348">
        <f ca="1">NETWORKDAYS(Table13[[#This Row],[Transaction Date]],Table13[[#This Row],[Today]])</f>
        <v>470</v>
      </c>
    </row>
    <row r="349" spans="1:9" x14ac:dyDescent="0.3">
      <c r="A349" t="s">
        <v>59</v>
      </c>
      <c r="B349" t="s">
        <v>60</v>
      </c>
      <c r="C349" s="10" t="s">
        <v>35</v>
      </c>
      <c r="D349" s="16">
        <f t="shared" ca="1" si="20"/>
        <v>45968</v>
      </c>
      <c r="E349" s="14">
        <f t="shared" ca="1" si="17"/>
        <v>45968.535908912039</v>
      </c>
      <c r="F349" s="18">
        <f>EOMONTH(Table13[[#This Row],[Transaction Date]],0)</f>
        <v>45322</v>
      </c>
      <c r="G349" s="20">
        <f ca="1">_xlfn.DAYS(Table13[[#This Row],[Today]],Table13[[#This Row],[Transaction Date]])</f>
        <v>655</v>
      </c>
      <c r="H349">
        <f ca="1">NETWORKDAYS.INTL(Table13[[#This Row],[Transaction Date]],Table13[[#This Row],[Today]],)</f>
        <v>470</v>
      </c>
      <c r="I349">
        <f ca="1">NETWORKDAYS(Table13[[#This Row],[Transaction Date]],Table13[[#This Row],[Today]])</f>
        <v>470</v>
      </c>
    </row>
    <row r="350" spans="1:9" x14ac:dyDescent="0.3">
      <c r="A350" t="s">
        <v>24</v>
      </c>
      <c r="B350" t="s">
        <v>25</v>
      </c>
      <c r="C350" s="10" t="s">
        <v>35</v>
      </c>
      <c r="D350" s="16">
        <f t="shared" ca="1" si="20"/>
        <v>45968</v>
      </c>
      <c r="E350" s="14">
        <f t="shared" ca="1" si="17"/>
        <v>45968.535908912039</v>
      </c>
      <c r="F350" s="18">
        <f>EOMONTH(Table13[[#This Row],[Transaction Date]],0)</f>
        <v>45322</v>
      </c>
      <c r="G350" s="20">
        <f ca="1">_xlfn.DAYS(Table13[[#This Row],[Today]],Table13[[#This Row],[Transaction Date]])</f>
        <v>655</v>
      </c>
      <c r="H350">
        <f ca="1">NETWORKDAYS.INTL(Table13[[#This Row],[Transaction Date]],Table13[[#This Row],[Today]],)</f>
        <v>470</v>
      </c>
      <c r="I350">
        <f ca="1">NETWORKDAYS(Table13[[#This Row],[Transaction Date]],Table13[[#This Row],[Today]])</f>
        <v>470</v>
      </c>
    </row>
    <row r="351" spans="1:9" x14ac:dyDescent="0.3">
      <c r="A351" t="s">
        <v>77</v>
      </c>
      <c r="B351" t="s">
        <v>78</v>
      </c>
      <c r="C351" s="10" t="s">
        <v>35</v>
      </c>
      <c r="D351" s="16">
        <f t="shared" ca="1" si="20"/>
        <v>45968</v>
      </c>
      <c r="E351" s="14">
        <f t="shared" ca="1" si="17"/>
        <v>45968.535908912039</v>
      </c>
      <c r="F351" s="18">
        <f>EOMONTH(Table13[[#This Row],[Transaction Date]],0)</f>
        <v>45322</v>
      </c>
      <c r="G351" s="20">
        <f ca="1">_xlfn.DAYS(Table13[[#This Row],[Today]],Table13[[#This Row],[Transaction Date]])</f>
        <v>655</v>
      </c>
      <c r="H351">
        <f ca="1">NETWORKDAYS.INTL(Table13[[#This Row],[Transaction Date]],Table13[[#This Row],[Today]],)</f>
        <v>470</v>
      </c>
      <c r="I351">
        <f ca="1">NETWORKDAYS(Table13[[#This Row],[Transaction Date]],Table13[[#This Row],[Today]])</f>
        <v>470</v>
      </c>
    </row>
    <row r="352" spans="1:9" x14ac:dyDescent="0.3">
      <c r="A352" t="s">
        <v>56</v>
      </c>
      <c r="B352" t="s">
        <v>57</v>
      </c>
      <c r="C352" s="10" t="s">
        <v>35</v>
      </c>
      <c r="D352" s="16">
        <f t="shared" ca="1" si="20"/>
        <v>45968</v>
      </c>
      <c r="E352" s="14">
        <f t="shared" ca="1" si="17"/>
        <v>45968.535908912039</v>
      </c>
      <c r="F352" s="18">
        <f>EOMONTH(Table13[[#This Row],[Transaction Date]],0)</f>
        <v>45322</v>
      </c>
      <c r="G352" s="20">
        <f ca="1">_xlfn.DAYS(Table13[[#This Row],[Today]],Table13[[#This Row],[Transaction Date]])</f>
        <v>655</v>
      </c>
      <c r="H352">
        <f ca="1">NETWORKDAYS.INTL(Table13[[#This Row],[Transaction Date]],Table13[[#This Row],[Today]],)</f>
        <v>470</v>
      </c>
      <c r="I352">
        <f ca="1">NETWORKDAYS(Table13[[#This Row],[Transaction Date]],Table13[[#This Row],[Today]])</f>
        <v>470</v>
      </c>
    </row>
    <row r="353" spans="1:9" x14ac:dyDescent="0.3">
      <c r="A353" t="s">
        <v>74</v>
      </c>
      <c r="B353" t="s">
        <v>75</v>
      </c>
      <c r="C353" s="10" t="s">
        <v>35</v>
      </c>
      <c r="D353" s="16">
        <f t="shared" ca="1" si="20"/>
        <v>45968</v>
      </c>
      <c r="E353" s="14">
        <f t="shared" ca="1" si="17"/>
        <v>45968.535908912039</v>
      </c>
      <c r="F353" s="18">
        <f>EOMONTH(Table13[[#This Row],[Transaction Date]],0)</f>
        <v>45322</v>
      </c>
      <c r="G353" s="20">
        <f ca="1">_xlfn.DAYS(Table13[[#This Row],[Today]],Table13[[#This Row],[Transaction Date]])</f>
        <v>655</v>
      </c>
      <c r="H353">
        <f ca="1">NETWORKDAYS.INTL(Table13[[#This Row],[Transaction Date]],Table13[[#This Row],[Today]],)</f>
        <v>470</v>
      </c>
      <c r="I353">
        <f ca="1">NETWORKDAYS(Table13[[#This Row],[Transaction Date]],Table13[[#This Row],[Today]])</f>
        <v>470</v>
      </c>
    </row>
    <row r="354" spans="1:9" x14ac:dyDescent="0.3">
      <c r="A354" t="s">
        <v>17</v>
      </c>
      <c r="B354" t="s">
        <v>18</v>
      </c>
      <c r="C354" s="10" t="s">
        <v>35</v>
      </c>
      <c r="D354" s="16">
        <f t="shared" ca="1" si="20"/>
        <v>45968</v>
      </c>
      <c r="E354" s="14">
        <f t="shared" ca="1" si="17"/>
        <v>45968.535908912039</v>
      </c>
      <c r="F354" s="18">
        <f>EOMONTH(Table13[[#This Row],[Transaction Date]],0)</f>
        <v>45322</v>
      </c>
      <c r="G354" s="20">
        <f ca="1">_xlfn.DAYS(Table13[[#This Row],[Today]],Table13[[#This Row],[Transaction Date]])</f>
        <v>655</v>
      </c>
      <c r="H354">
        <f ca="1">NETWORKDAYS.INTL(Table13[[#This Row],[Transaction Date]],Table13[[#This Row],[Today]],)</f>
        <v>470</v>
      </c>
      <c r="I354">
        <f ca="1">NETWORKDAYS(Table13[[#This Row],[Transaction Date]],Table13[[#This Row],[Today]])</f>
        <v>470</v>
      </c>
    </row>
    <row r="355" spans="1:9" x14ac:dyDescent="0.3">
      <c r="A355" t="s">
        <v>53</v>
      </c>
      <c r="B355" t="s">
        <v>54</v>
      </c>
      <c r="C355" s="10" t="s">
        <v>35</v>
      </c>
      <c r="D355" s="16">
        <f t="shared" ca="1" si="20"/>
        <v>45968</v>
      </c>
      <c r="E355" s="14">
        <f t="shared" ca="1" si="17"/>
        <v>45968.535908912039</v>
      </c>
      <c r="F355" s="18">
        <f>EOMONTH(Table13[[#This Row],[Transaction Date]],0)</f>
        <v>45322</v>
      </c>
      <c r="G355" s="20">
        <f ca="1">_xlfn.DAYS(Table13[[#This Row],[Today]],Table13[[#This Row],[Transaction Date]])</f>
        <v>655</v>
      </c>
      <c r="H355">
        <f ca="1">NETWORKDAYS.INTL(Table13[[#This Row],[Transaction Date]],Table13[[#This Row],[Today]],)</f>
        <v>470</v>
      </c>
      <c r="I355">
        <f ca="1">NETWORKDAYS(Table13[[#This Row],[Transaction Date]],Table13[[#This Row],[Today]])</f>
        <v>470</v>
      </c>
    </row>
    <row r="356" spans="1:9" x14ac:dyDescent="0.3">
      <c r="A356" t="s">
        <v>71</v>
      </c>
      <c r="B356" t="s">
        <v>72</v>
      </c>
      <c r="C356" s="10" t="s">
        <v>35</v>
      </c>
      <c r="D356" s="16">
        <f t="shared" ca="1" si="20"/>
        <v>45968</v>
      </c>
      <c r="E356" s="14">
        <f t="shared" ca="1" si="17"/>
        <v>45968.535908912039</v>
      </c>
      <c r="F356" s="18">
        <f>EOMONTH(Table13[[#This Row],[Transaction Date]],0)</f>
        <v>45322</v>
      </c>
      <c r="G356" s="20">
        <f ca="1">_xlfn.DAYS(Table13[[#This Row],[Today]],Table13[[#This Row],[Transaction Date]])</f>
        <v>655</v>
      </c>
      <c r="H356">
        <f ca="1">NETWORKDAYS.INTL(Table13[[#This Row],[Transaction Date]],Table13[[#This Row],[Today]],)</f>
        <v>470</v>
      </c>
      <c r="I356">
        <f ca="1">NETWORKDAYS(Table13[[#This Row],[Transaction Date]],Table13[[#This Row],[Today]])</f>
        <v>470</v>
      </c>
    </row>
    <row r="357" spans="1:9" x14ac:dyDescent="0.3">
      <c r="A357" t="s">
        <v>49</v>
      </c>
      <c r="B357" t="s">
        <v>50</v>
      </c>
      <c r="C357" s="10" t="s">
        <v>35</v>
      </c>
      <c r="D357" s="16">
        <f t="shared" ca="1" si="20"/>
        <v>45968</v>
      </c>
      <c r="E357" s="14">
        <f t="shared" ca="1" si="17"/>
        <v>45968.535908912039</v>
      </c>
      <c r="F357" s="18">
        <f>EOMONTH(Table13[[#This Row],[Transaction Date]],0)</f>
        <v>45322</v>
      </c>
      <c r="G357" s="20">
        <f ca="1">_xlfn.DAYS(Table13[[#This Row],[Today]],Table13[[#This Row],[Transaction Date]])</f>
        <v>655</v>
      </c>
      <c r="H357">
        <f ca="1">NETWORKDAYS.INTL(Table13[[#This Row],[Transaction Date]],Table13[[#This Row],[Today]],)</f>
        <v>470</v>
      </c>
      <c r="I357">
        <f ca="1">NETWORKDAYS(Table13[[#This Row],[Transaction Date]],Table13[[#This Row],[Today]])</f>
        <v>470</v>
      </c>
    </row>
    <row r="358" spans="1:9" x14ac:dyDescent="0.3">
      <c r="A358" t="s">
        <v>10</v>
      </c>
      <c r="B358" t="s">
        <v>11</v>
      </c>
      <c r="C358" s="10" t="s">
        <v>35</v>
      </c>
      <c r="D358" s="16">
        <f t="shared" ca="1" si="20"/>
        <v>45968</v>
      </c>
      <c r="E358" s="14">
        <f t="shared" ca="1" si="17"/>
        <v>45968.535908912039</v>
      </c>
      <c r="F358" s="18">
        <f>EOMONTH(Table13[[#This Row],[Transaction Date]],0)</f>
        <v>45322</v>
      </c>
      <c r="G358" s="20">
        <f ca="1">_xlfn.DAYS(Table13[[#This Row],[Today]],Table13[[#This Row],[Transaction Date]])</f>
        <v>655</v>
      </c>
      <c r="H358">
        <f ca="1">NETWORKDAYS.INTL(Table13[[#This Row],[Transaction Date]],Table13[[#This Row],[Today]],)</f>
        <v>470</v>
      </c>
      <c r="I358">
        <f ca="1">NETWORKDAYS(Table13[[#This Row],[Transaction Date]],Table13[[#This Row],[Today]])</f>
        <v>470</v>
      </c>
    </row>
    <row r="359" spans="1:9" x14ac:dyDescent="0.3">
      <c r="A359" t="s">
        <v>68</v>
      </c>
      <c r="B359" t="s">
        <v>69</v>
      </c>
      <c r="C359" s="10" t="s">
        <v>35</v>
      </c>
      <c r="D359" s="16">
        <f t="shared" ca="1" si="20"/>
        <v>45968</v>
      </c>
      <c r="E359" s="14">
        <f t="shared" ca="1" si="17"/>
        <v>45968.535908912039</v>
      </c>
      <c r="F359" s="18">
        <f>EOMONTH(Table13[[#This Row],[Transaction Date]],0)</f>
        <v>45322</v>
      </c>
      <c r="G359" s="20">
        <f ca="1">_xlfn.DAYS(Table13[[#This Row],[Today]],Table13[[#This Row],[Transaction Date]])</f>
        <v>655</v>
      </c>
      <c r="H359">
        <f ca="1">NETWORKDAYS.INTL(Table13[[#This Row],[Transaction Date]],Table13[[#This Row],[Today]],)</f>
        <v>470</v>
      </c>
      <c r="I359">
        <f ca="1">NETWORKDAYS(Table13[[#This Row],[Transaction Date]],Table13[[#This Row],[Today]])</f>
        <v>470</v>
      </c>
    </row>
    <row r="360" spans="1:9" x14ac:dyDescent="0.3">
      <c r="A360" t="s">
        <v>44</v>
      </c>
      <c r="B360" t="s">
        <v>45</v>
      </c>
      <c r="C360" s="10" t="s">
        <v>35</v>
      </c>
      <c r="D360" s="16">
        <f t="shared" ca="1" si="20"/>
        <v>45968</v>
      </c>
      <c r="E360" s="14">
        <f t="shared" ca="1" si="17"/>
        <v>45968.535908912039</v>
      </c>
      <c r="F360" s="18">
        <f>EOMONTH(Table13[[#This Row],[Transaction Date]],0)</f>
        <v>45322</v>
      </c>
      <c r="G360" s="20">
        <f ca="1">_xlfn.DAYS(Table13[[#This Row],[Today]],Table13[[#This Row],[Transaction Date]])</f>
        <v>655</v>
      </c>
      <c r="H360">
        <f ca="1">NETWORKDAYS.INTL(Table13[[#This Row],[Transaction Date]],Table13[[#This Row],[Today]],)</f>
        <v>470</v>
      </c>
      <c r="I360">
        <f ca="1">NETWORKDAYS(Table13[[#This Row],[Transaction Date]],Table13[[#This Row],[Today]])</f>
        <v>470</v>
      </c>
    </row>
    <row r="361" spans="1:9" x14ac:dyDescent="0.3">
      <c r="A361" t="s">
        <v>86</v>
      </c>
      <c r="B361" t="s">
        <v>87</v>
      </c>
      <c r="C361" s="10" t="s">
        <v>35</v>
      </c>
      <c r="D361" s="16">
        <f ca="1">TODAY()</f>
        <v>45968</v>
      </c>
      <c r="E361" s="14">
        <f t="shared" ref="E361:E424" ca="1" si="21">NOW()</f>
        <v>45968.535908912039</v>
      </c>
      <c r="F361" s="18">
        <f>EOMONTH(Table13[[#This Row],[Transaction Date]],0)</f>
        <v>45322</v>
      </c>
      <c r="G361" s="20">
        <f ca="1">_xlfn.DAYS(Table13[[#This Row],[Today]],Table13[[#This Row],[Transaction Date]])</f>
        <v>655</v>
      </c>
      <c r="H361">
        <f ca="1">NETWORKDAYS.INTL(Table13[[#This Row],[Transaction Date]],Table13[[#This Row],[Today]],)</f>
        <v>470</v>
      </c>
      <c r="I361">
        <f ca="1">NETWORKDAYS(Table13[[#This Row],[Transaction Date]],Table13[[#This Row],[Today]])</f>
        <v>470</v>
      </c>
    </row>
    <row r="362" spans="1:9" x14ac:dyDescent="0.3">
      <c r="A362" t="s">
        <v>40</v>
      </c>
      <c r="B362" t="s">
        <v>41</v>
      </c>
      <c r="C362" s="10" t="s">
        <v>35</v>
      </c>
      <c r="D362" s="16">
        <f t="shared" ref="D362:D400" ca="1" si="22">TODAY()</f>
        <v>45968</v>
      </c>
      <c r="E362" s="14">
        <f t="shared" ca="1" si="21"/>
        <v>45968.535908912039</v>
      </c>
      <c r="F362" s="18">
        <f>EOMONTH(Table13[[#This Row],[Transaction Date]],0)</f>
        <v>45322</v>
      </c>
      <c r="G362" s="20">
        <f ca="1">_xlfn.DAYS(Table13[[#This Row],[Today]],Table13[[#This Row],[Transaction Date]])</f>
        <v>655</v>
      </c>
      <c r="H362">
        <f ca="1">NETWORKDAYS.INTL(Table13[[#This Row],[Transaction Date]],Table13[[#This Row],[Today]],)</f>
        <v>470</v>
      </c>
      <c r="I362">
        <f ca="1">NETWORKDAYS(Table13[[#This Row],[Transaction Date]],Table13[[#This Row],[Today]])</f>
        <v>470</v>
      </c>
    </row>
    <row r="363" spans="1:9" x14ac:dyDescent="0.3">
      <c r="A363" t="s">
        <v>65</v>
      </c>
      <c r="B363" t="s">
        <v>66</v>
      </c>
      <c r="C363" s="10" t="s">
        <v>35</v>
      </c>
      <c r="D363" s="16">
        <f t="shared" ca="1" si="22"/>
        <v>45968</v>
      </c>
      <c r="E363" s="14">
        <f t="shared" ca="1" si="21"/>
        <v>45968.535908912039</v>
      </c>
      <c r="F363" s="18">
        <f>EOMONTH(Table13[[#This Row],[Transaction Date]],0)</f>
        <v>45322</v>
      </c>
      <c r="G363" s="20">
        <f ca="1">_xlfn.DAYS(Table13[[#This Row],[Today]],Table13[[#This Row],[Transaction Date]])</f>
        <v>655</v>
      </c>
      <c r="H363">
        <f ca="1">NETWORKDAYS.INTL(Table13[[#This Row],[Transaction Date]],Table13[[#This Row],[Today]],)</f>
        <v>470</v>
      </c>
      <c r="I363">
        <f ca="1">NETWORKDAYS(Table13[[#This Row],[Transaction Date]],Table13[[#This Row],[Today]])</f>
        <v>470</v>
      </c>
    </row>
    <row r="364" spans="1:9" x14ac:dyDescent="0.3">
      <c r="A364" t="s">
        <v>83</v>
      </c>
      <c r="B364" t="s">
        <v>84</v>
      </c>
      <c r="C364" s="10" t="s">
        <v>35</v>
      </c>
      <c r="D364" s="16">
        <f t="shared" ca="1" si="22"/>
        <v>45968</v>
      </c>
      <c r="E364" s="14">
        <f t="shared" ca="1" si="21"/>
        <v>45968.535908912039</v>
      </c>
      <c r="F364" s="18">
        <f>EOMONTH(Table13[[#This Row],[Transaction Date]],0)</f>
        <v>45322</v>
      </c>
      <c r="G364" s="20">
        <f ca="1">_xlfn.DAYS(Table13[[#This Row],[Today]],Table13[[#This Row],[Transaction Date]])</f>
        <v>655</v>
      </c>
      <c r="H364">
        <f ca="1">NETWORKDAYS.INTL(Table13[[#This Row],[Transaction Date]],Table13[[#This Row],[Today]],)</f>
        <v>470</v>
      </c>
      <c r="I364">
        <f ca="1">NETWORKDAYS(Table13[[#This Row],[Transaction Date]],Table13[[#This Row],[Today]])</f>
        <v>470</v>
      </c>
    </row>
    <row r="365" spans="1:9" x14ac:dyDescent="0.3">
      <c r="A365" t="s">
        <v>36</v>
      </c>
      <c r="B365" t="s">
        <v>37</v>
      </c>
      <c r="C365" s="10" t="s">
        <v>35</v>
      </c>
      <c r="D365" s="16">
        <f t="shared" ca="1" si="22"/>
        <v>45968</v>
      </c>
      <c r="E365" s="14">
        <f t="shared" ca="1" si="21"/>
        <v>45968.535908912039</v>
      </c>
      <c r="F365" s="18">
        <f>EOMONTH(Table13[[#This Row],[Transaction Date]],0)</f>
        <v>45322</v>
      </c>
      <c r="G365" s="20">
        <f ca="1">_xlfn.DAYS(Table13[[#This Row],[Today]],Table13[[#This Row],[Transaction Date]])</f>
        <v>655</v>
      </c>
      <c r="H365">
        <f ca="1">NETWORKDAYS.INTL(Table13[[#This Row],[Transaction Date]],Table13[[#This Row],[Today]],)</f>
        <v>470</v>
      </c>
      <c r="I365">
        <f ca="1">NETWORKDAYS(Table13[[#This Row],[Transaction Date]],Table13[[#This Row],[Today]])</f>
        <v>470</v>
      </c>
    </row>
    <row r="366" spans="1:9" x14ac:dyDescent="0.3">
      <c r="A366" t="s">
        <v>62</v>
      </c>
      <c r="B366" t="s">
        <v>63</v>
      </c>
      <c r="C366" s="10" t="s">
        <v>35</v>
      </c>
      <c r="D366" s="16">
        <f t="shared" ca="1" si="22"/>
        <v>45968</v>
      </c>
      <c r="E366" s="14">
        <f t="shared" ca="1" si="21"/>
        <v>45968.535908912039</v>
      </c>
      <c r="F366" s="18">
        <f>EOMONTH(Table13[[#This Row],[Transaction Date]],0)</f>
        <v>45322</v>
      </c>
      <c r="G366" s="20">
        <f ca="1">_xlfn.DAYS(Table13[[#This Row],[Today]],Table13[[#This Row],[Transaction Date]])</f>
        <v>655</v>
      </c>
      <c r="H366">
        <f ca="1">NETWORKDAYS.INTL(Table13[[#This Row],[Transaction Date]],Table13[[#This Row],[Today]],)</f>
        <v>470</v>
      </c>
      <c r="I366">
        <f ca="1">NETWORKDAYS(Table13[[#This Row],[Transaction Date]],Table13[[#This Row],[Today]])</f>
        <v>470</v>
      </c>
    </row>
    <row r="367" spans="1:9" x14ac:dyDescent="0.3">
      <c r="A367" t="s">
        <v>31</v>
      </c>
      <c r="B367" t="s">
        <v>32</v>
      </c>
      <c r="C367" s="10" t="s">
        <v>35</v>
      </c>
      <c r="D367" s="16">
        <f t="shared" ca="1" si="22"/>
        <v>45968</v>
      </c>
      <c r="E367" s="14">
        <f t="shared" ca="1" si="21"/>
        <v>45968.535908912039</v>
      </c>
      <c r="F367" s="18">
        <f>EOMONTH(Table13[[#This Row],[Transaction Date]],0)</f>
        <v>45322</v>
      </c>
      <c r="G367" s="20">
        <f ca="1">_xlfn.DAYS(Table13[[#This Row],[Today]],Table13[[#This Row],[Transaction Date]])</f>
        <v>655</v>
      </c>
      <c r="H367">
        <f ca="1">NETWORKDAYS.INTL(Table13[[#This Row],[Transaction Date]],Table13[[#This Row],[Today]],)</f>
        <v>470</v>
      </c>
      <c r="I367">
        <f ca="1">NETWORKDAYS(Table13[[#This Row],[Transaction Date]],Table13[[#This Row],[Today]])</f>
        <v>470</v>
      </c>
    </row>
    <row r="368" spans="1:9" x14ac:dyDescent="0.3">
      <c r="A368" t="s">
        <v>80</v>
      </c>
      <c r="B368" t="s">
        <v>81</v>
      </c>
      <c r="C368" s="10" t="s">
        <v>35</v>
      </c>
      <c r="D368" s="16">
        <f t="shared" ca="1" si="22"/>
        <v>45968</v>
      </c>
      <c r="E368" s="14">
        <f t="shared" ca="1" si="21"/>
        <v>45968.535908912039</v>
      </c>
      <c r="F368" s="18">
        <f>EOMONTH(Table13[[#This Row],[Transaction Date]],0)</f>
        <v>45322</v>
      </c>
      <c r="G368" s="20">
        <f ca="1">_xlfn.DAYS(Table13[[#This Row],[Today]],Table13[[#This Row],[Transaction Date]])</f>
        <v>655</v>
      </c>
      <c r="H368">
        <f ca="1">NETWORKDAYS.INTL(Table13[[#This Row],[Transaction Date]],Table13[[#This Row],[Today]],)</f>
        <v>470</v>
      </c>
      <c r="I368">
        <f ca="1">NETWORKDAYS(Table13[[#This Row],[Transaction Date]],Table13[[#This Row],[Today]])</f>
        <v>470</v>
      </c>
    </row>
    <row r="369" spans="1:9" x14ac:dyDescent="0.3">
      <c r="A369" t="s">
        <v>59</v>
      </c>
      <c r="B369" t="s">
        <v>60</v>
      </c>
      <c r="C369" s="10" t="s">
        <v>35</v>
      </c>
      <c r="D369" s="16">
        <f t="shared" ca="1" si="22"/>
        <v>45968</v>
      </c>
      <c r="E369" s="14">
        <f t="shared" ca="1" si="21"/>
        <v>45968.535908912039</v>
      </c>
      <c r="F369" s="18">
        <f>EOMONTH(Table13[[#This Row],[Transaction Date]],0)</f>
        <v>45322</v>
      </c>
      <c r="G369" s="20">
        <f ca="1">_xlfn.DAYS(Table13[[#This Row],[Today]],Table13[[#This Row],[Transaction Date]])</f>
        <v>655</v>
      </c>
      <c r="H369">
        <f ca="1">NETWORKDAYS.INTL(Table13[[#This Row],[Transaction Date]],Table13[[#This Row],[Today]],)</f>
        <v>470</v>
      </c>
      <c r="I369">
        <f ca="1">NETWORKDAYS(Table13[[#This Row],[Transaction Date]],Table13[[#This Row],[Today]])</f>
        <v>470</v>
      </c>
    </row>
    <row r="370" spans="1:9" x14ac:dyDescent="0.3">
      <c r="A370" t="s">
        <v>24</v>
      </c>
      <c r="B370" t="s">
        <v>25</v>
      </c>
      <c r="C370" s="10" t="s">
        <v>35</v>
      </c>
      <c r="D370" s="16">
        <f t="shared" ca="1" si="22"/>
        <v>45968</v>
      </c>
      <c r="E370" s="14">
        <f t="shared" ca="1" si="21"/>
        <v>45968.535908912039</v>
      </c>
      <c r="F370" s="18">
        <f>EOMONTH(Table13[[#This Row],[Transaction Date]],0)</f>
        <v>45322</v>
      </c>
      <c r="G370" s="20">
        <f ca="1">_xlfn.DAYS(Table13[[#This Row],[Today]],Table13[[#This Row],[Transaction Date]])</f>
        <v>655</v>
      </c>
      <c r="H370">
        <f ca="1">NETWORKDAYS.INTL(Table13[[#This Row],[Transaction Date]],Table13[[#This Row],[Today]],)</f>
        <v>470</v>
      </c>
      <c r="I370">
        <f ca="1">NETWORKDAYS(Table13[[#This Row],[Transaction Date]],Table13[[#This Row],[Today]])</f>
        <v>470</v>
      </c>
    </row>
    <row r="371" spans="1:9" x14ac:dyDescent="0.3">
      <c r="A371" t="s">
        <v>77</v>
      </c>
      <c r="B371" t="s">
        <v>78</v>
      </c>
      <c r="C371" s="10" t="s">
        <v>35</v>
      </c>
      <c r="D371" s="16">
        <f t="shared" ca="1" si="22"/>
        <v>45968</v>
      </c>
      <c r="E371" s="14">
        <f t="shared" ca="1" si="21"/>
        <v>45968.535908912039</v>
      </c>
      <c r="F371" s="18">
        <f>EOMONTH(Table13[[#This Row],[Transaction Date]],0)</f>
        <v>45322</v>
      </c>
      <c r="G371" s="20">
        <f ca="1">_xlfn.DAYS(Table13[[#This Row],[Today]],Table13[[#This Row],[Transaction Date]])</f>
        <v>655</v>
      </c>
      <c r="H371">
        <f ca="1">NETWORKDAYS.INTL(Table13[[#This Row],[Transaction Date]],Table13[[#This Row],[Today]],)</f>
        <v>470</v>
      </c>
      <c r="I371">
        <f ca="1">NETWORKDAYS(Table13[[#This Row],[Transaction Date]],Table13[[#This Row],[Today]])</f>
        <v>470</v>
      </c>
    </row>
    <row r="372" spans="1:9" x14ac:dyDescent="0.3">
      <c r="A372" t="s">
        <v>56</v>
      </c>
      <c r="B372" t="s">
        <v>57</v>
      </c>
      <c r="C372" s="10" t="s">
        <v>35</v>
      </c>
      <c r="D372" s="16">
        <f t="shared" ca="1" si="22"/>
        <v>45968</v>
      </c>
      <c r="E372" s="14">
        <f t="shared" ca="1" si="21"/>
        <v>45968.535908912039</v>
      </c>
      <c r="F372" s="18">
        <f>EOMONTH(Table13[[#This Row],[Transaction Date]],0)</f>
        <v>45322</v>
      </c>
      <c r="G372" s="20">
        <f ca="1">_xlfn.DAYS(Table13[[#This Row],[Today]],Table13[[#This Row],[Transaction Date]])</f>
        <v>655</v>
      </c>
      <c r="H372">
        <f ca="1">NETWORKDAYS.INTL(Table13[[#This Row],[Transaction Date]],Table13[[#This Row],[Today]],)</f>
        <v>470</v>
      </c>
      <c r="I372">
        <f ca="1">NETWORKDAYS(Table13[[#This Row],[Transaction Date]],Table13[[#This Row],[Today]])</f>
        <v>470</v>
      </c>
    </row>
    <row r="373" spans="1:9" x14ac:dyDescent="0.3">
      <c r="A373" t="s">
        <v>74</v>
      </c>
      <c r="B373" t="s">
        <v>75</v>
      </c>
      <c r="C373" s="10" t="s">
        <v>35</v>
      </c>
      <c r="D373" s="16">
        <f t="shared" ca="1" si="22"/>
        <v>45968</v>
      </c>
      <c r="E373" s="14">
        <f t="shared" ca="1" si="21"/>
        <v>45968.535908912039</v>
      </c>
      <c r="F373" s="18">
        <f>EOMONTH(Table13[[#This Row],[Transaction Date]],0)</f>
        <v>45322</v>
      </c>
      <c r="G373" s="20">
        <f ca="1">_xlfn.DAYS(Table13[[#This Row],[Today]],Table13[[#This Row],[Transaction Date]])</f>
        <v>655</v>
      </c>
      <c r="H373">
        <f ca="1">NETWORKDAYS.INTL(Table13[[#This Row],[Transaction Date]],Table13[[#This Row],[Today]],)</f>
        <v>470</v>
      </c>
      <c r="I373">
        <f ca="1">NETWORKDAYS(Table13[[#This Row],[Transaction Date]],Table13[[#This Row],[Today]])</f>
        <v>470</v>
      </c>
    </row>
    <row r="374" spans="1:9" x14ac:dyDescent="0.3">
      <c r="A374" t="s">
        <v>17</v>
      </c>
      <c r="B374" t="s">
        <v>18</v>
      </c>
      <c r="C374" s="10" t="s">
        <v>35</v>
      </c>
      <c r="D374" s="16">
        <f t="shared" ca="1" si="22"/>
        <v>45968</v>
      </c>
      <c r="E374" s="14">
        <f t="shared" ca="1" si="21"/>
        <v>45968.535908912039</v>
      </c>
      <c r="F374" s="18">
        <f>EOMONTH(Table13[[#This Row],[Transaction Date]],0)</f>
        <v>45322</v>
      </c>
      <c r="G374" s="20">
        <f ca="1">_xlfn.DAYS(Table13[[#This Row],[Today]],Table13[[#This Row],[Transaction Date]])</f>
        <v>655</v>
      </c>
      <c r="H374">
        <f ca="1">NETWORKDAYS.INTL(Table13[[#This Row],[Transaction Date]],Table13[[#This Row],[Today]],)</f>
        <v>470</v>
      </c>
      <c r="I374">
        <f ca="1">NETWORKDAYS(Table13[[#This Row],[Transaction Date]],Table13[[#This Row],[Today]])</f>
        <v>470</v>
      </c>
    </row>
    <row r="375" spans="1:9" x14ac:dyDescent="0.3">
      <c r="A375" t="s">
        <v>53</v>
      </c>
      <c r="B375" t="s">
        <v>54</v>
      </c>
      <c r="C375" s="10" t="s">
        <v>35</v>
      </c>
      <c r="D375" s="16">
        <f t="shared" ca="1" si="22"/>
        <v>45968</v>
      </c>
      <c r="E375" s="14">
        <f t="shared" ca="1" si="21"/>
        <v>45968.535908912039</v>
      </c>
      <c r="F375" s="18">
        <f>EOMONTH(Table13[[#This Row],[Transaction Date]],0)</f>
        <v>45322</v>
      </c>
      <c r="G375" s="20">
        <f ca="1">_xlfn.DAYS(Table13[[#This Row],[Today]],Table13[[#This Row],[Transaction Date]])</f>
        <v>655</v>
      </c>
      <c r="H375">
        <f ca="1">NETWORKDAYS.INTL(Table13[[#This Row],[Transaction Date]],Table13[[#This Row],[Today]],)</f>
        <v>470</v>
      </c>
      <c r="I375">
        <f ca="1">NETWORKDAYS(Table13[[#This Row],[Transaction Date]],Table13[[#This Row],[Today]])</f>
        <v>470</v>
      </c>
    </row>
    <row r="376" spans="1:9" x14ac:dyDescent="0.3">
      <c r="A376" t="s">
        <v>71</v>
      </c>
      <c r="B376" t="s">
        <v>72</v>
      </c>
      <c r="C376" s="10" t="s">
        <v>35</v>
      </c>
      <c r="D376" s="16">
        <f t="shared" ca="1" si="22"/>
        <v>45968</v>
      </c>
      <c r="E376" s="14">
        <f t="shared" ca="1" si="21"/>
        <v>45968.535908912039</v>
      </c>
      <c r="F376" s="18">
        <f>EOMONTH(Table13[[#This Row],[Transaction Date]],0)</f>
        <v>45322</v>
      </c>
      <c r="G376" s="20">
        <f ca="1">_xlfn.DAYS(Table13[[#This Row],[Today]],Table13[[#This Row],[Transaction Date]])</f>
        <v>655</v>
      </c>
      <c r="H376">
        <f ca="1">NETWORKDAYS.INTL(Table13[[#This Row],[Transaction Date]],Table13[[#This Row],[Today]],)</f>
        <v>470</v>
      </c>
      <c r="I376">
        <f ca="1">NETWORKDAYS(Table13[[#This Row],[Transaction Date]],Table13[[#This Row],[Today]])</f>
        <v>470</v>
      </c>
    </row>
    <row r="377" spans="1:9" x14ac:dyDescent="0.3">
      <c r="A377" t="s">
        <v>49</v>
      </c>
      <c r="B377" t="s">
        <v>50</v>
      </c>
      <c r="C377" s="10" t="s">
        <v>35</v>
      </c>
      <c r="D377" s="16">
        <f t="shared" ca="1" si="22"/>
        <v>45968</v>
      </c>
      <c r="E377" s="14">
        <f t="shared" ca="1" si="21"/>
        <v>45968.535908912039</v>
      </c>
      <c r="F377" s="18">
        <f>EOMONTH(Table13[[#This Row],[Transaction Date]],0)</f>
        <v>45322</v>
      </c>
      <c r="G377" s="20">
        <f ca="1">_xlfn.DAYS(Table13[[#This Row],[Today]],Table13[[#This Row],[Transaction Date]])</f>
        <v>655</v>
      </c>
      <c r="H377">
        <f ca="1">NETWORKDAYS.INTL(Table13[[#This Row],[Transaction Date]],Table13[[#This Row],[Today]],)</f>
        <v>470</v>
      </c>
      <c r="I377">
        <f ca="1">NETWORKDAYS(Table13[[#This Row],[Transaction Date]],Table13[[#This Row],[Today]])</f>
        <v>470</v>
      </c>
    </row>
    <row r="378" spans="1:9" x14ac:dyDescent="0.3">
      <c r="A378" t="s">
        <v>10</v>
      </c>
      <c r="B378" t="s">
        <v>11</v>
      </c>
      <c r="C378" s="10" t="s">
        <v>35</v>
      </c>
      <c r="D378" s="16">
        <f t="shared" ca="1" si="22"/>
        <v>45968</v>
      </c>
      <c r="E378" s="14">
        <f t="shared" ca="1" si="21"/>
        <v>45968.535908912039</v>
      </c>
      <c r="F378" s="18">
        <f>EOMONTH(Table13[[#This Row],[Transaction Date]],0)</f>
        <v>45322</v>
      </c>
      <c r="G378" s="20">
        <f ca="1">_xlfn.DAYS(Table13[[#This Row],[Today]],Table13[[#This Row],[Transaction Date]])</f>
        <v>655</v>
      </c>
      <c r="H378">
        <f ca="1">NETWORKDAYS.INTL(Table13[[#This Row],[Transaction Date]],Table13[[#This Row],[Today]],)</f>
        <v>470</v>
      </c>
      <c r="I378">
        <f ca="1">NETWORKDAYS(Table13[[#This Row],[Transaction Date]],Table13[[#This Row],[Today]])</f>
        <v>470</v>
      </c>
    </row>
    <row r="379" spans="1:9" x14ac:dyDescent="0.3">
      <c r="A379" t="s">
        <v>68</v>
      </c>
      <c r="B379" t="s">
        <v>69</v>
      </c>
      <c r="C379" s="10" t="s">
        <v>35</v>
      </c>
      <c r="D379" s="16">
        <f t="shared" ca="1" si="22"/>
        <v>45968</v>
      </c>
      <c r="E379" s="14">
        <f t="shared" ca="1" si="21"/>
        <v>45968.535908912039</v>
      </c>
      <c r="F379" s="18">
        <f>EOMONTH(Table13[[#This Row],[Transaction Date]],0)</f>
        <v>45322</v>
      </c>
      <c r="G379" s="20">
        <f ca="1">_xlfn.DAYS(Table13[[#This Row],[Today]],Table13[[#This Row],[Transaction Date]])</f>
        <v>655</v>
      </c>
      <c r="H379">
        <f ca="1">NETWORKDAYS.INTL(Table13[[#This Row],[Transaction Date]],Table13[[#This Row],[Today]],)</f>
        <v>470</v>
      </c>
      <c r="I379">
        <f ca="1">NETWORKDAYS(Table13[[#This Row],[Transaction Date]],Table13[[#This Row],[Today]])</f>
        <v>470</v>
      </c>
    </row>
    <row r="380" spans="1:9" x14ac:dyDescent="0.3">
      <c r="A380" t="s">
        <v>44</v>
      </c>
      <c r="B380" t="s">
        <v>45</v>
      </c>
      <c r="C380" s="10" t="s">
        <v>35</v>
      </c>
      <c r="D380" s="16">
        <f t="shared" ca="1" si="22"/>
        <v>45968</v>
      </c>
      <c r="E380" s="14">
        <f t="shared" ca="1" si="21"/>
        <v>45968.535908912039</v>
      </c>
      <c r="F380" s="18">
        <f>EOMONTH(Table13[[#This Row],[Transaction Date]],0)</f>
        <v>45322</v>
      </c>
      <c r="G380" s="20">
        <f ca="1">_xlfn.DAYS(Table13[[#This Row],[Today]],Table13[[#This Row],[Transaction Date]])</f>
        <v>655</v>
      </c>
      <c r="H380">
        <f ca="1">NETWORKDAYS.INTL(Table13[[#This Row],[Transaction Date]],Table13[[#This Row],[Today]],)</f>
        <v>470</v>
      </c>
      <c r="I380">
        <f ca="1">NETWORKDAYS(Table13[[#This Row],[Transaction Date]],Table13[[#This Row],[Today]])</f>
        <v>470</v>
      </c>
    </row>
    <row r="381" spans="1:9" x14ac:dyDescent="0.3">
      <c r="A381" t="s">
        <v>86</v>
      </c>
      <c r="B381" t="s">
        <v>87</v>
      </c>
      <c r="C381" s="10" t="s">
        <v>35</v>
      </c>
      <c r="D381" s="16">
        <f ca="1">TODAY()</f>
        <v>45968</v>
      </c>
      <c r="E381" s="14">
        <f t="shared" ca="1" si="21"/>
        <v>45968.535908912039</v>
      </c>
      <c r="F381" s="18">
        <f>EOMONTH(Table13[[#This Row],[Transaction Date]],0)</f>
        <v>45322</v>
      </c>
      <c r="G381" s="20">
        <f ca="1">_xlfn.DAYS(Table13[[#This Row],[Today]],Table13[[#This Row],[Transaction Date]])</f>
        <v>655</v>
      </c>
      <c r="H381">
        <f ca="1">NETWORKDAYS.INTL(Table13[[#This Row],[Transaction Date]],Table13[[#This Row],[Today]],)</f>
        <v>470</v>
      </c>
      <c r="I381">
        <f ca="1">NETWORKDAYS(Table13[[#This Row],[Transaction Date]],Table13[[#This Row],[Today]])</f>
        <v>470</v>
      </c>
    </row>
    <row r="382" spans="1:9" x14ac:dyDescent="0.3">
      <c r="A382" t="s">
        <v>40</v>
      </c>
      <c r="B382" t="s">
        <v>41</v>
      </c>
      <c r="C382" s="10" t="s">
        <v>35</v>
      </c>
      <c r="D382" s="16">
        <f t="shared" ca="1" si="22"/>
        <v>45968</v>
      </c>
      <c r="E382" s="14">
        <f t="shared" ca="1" si="21"/>
        <v>45968.535908912039</v>
      </c>
      <c r="F382" s="18">
        <f>EOMONTH(Table13[[#This Row],[Transaction Date]],0)</f>
        <v>45322</v>
      </c>
      <c r="G382" s="20">
        <f ca="1">_xlfn.DAYS(Table13[[#This Row],[Today]],Table13[[#This Row],[Transaction Date]])</f>
        <v>655</v>
      </c>
      <c r="H382">
        <f ca="1">NETWORKDAYS.INTL(Table13[[#This Row],[Transaction Date]],Table13[[#This Row],[Today]],)</f>
        <v>470</v>
      </c>
      <c r="I382">
        <f ca="1">NETWORKDAYS(Table13[[#This Row],[Transaction Date]],Table13[[#This Row],[Today]])</f>
        <v>470</v>
      </c>
    </row>
    <row r="383" spans="1:9" x14ac:dyDescent="0.3">
      <c r="A383" t="s">
        <v>65</v>
      </c>
      <c r="B383" t="s">
        <v>66</v>
      </c>
      <c r="C383" s="10" t="s">
        <v>35</v>
      </c>
      <c r="D383" s="16">
        <f t="shared" ca="1" si="22"/>
        <v>45968</v>
      </c>
      <c r="E383" s="14">
        <f t="shared" ca="1" si="21"/>
        <v>45968.535908912039</v>
      </c>
      <c r="F383" s="18">
        <f>EOMONTH(Table13[[#This Row],[Transaction Date]],0)</f>
        <v>45322</v>
      </c>
      <c r="G383" s="20">
        <f ca="1">_xlfn.DAYS(Table13[[#This Row],[Today]],Table13[[#This Row],[Transaction Date]])</f>
        <v>655</v>
      </c>
      <c r="H383">
        <f ca="1">NETWORKDAYS.INTL(Table13[[#This Row],[Transaction Date]],Table13[[#This Row],[Today]],)</f>
        <v>470</v>
      </c>
      <c r="I383">
        <f ca="1">NETWORKDAYS(Table13[[#This Row],[Transaction Date]],Table13[[#This Row],[Today]])</f>
        <v>470</v>
      </c>
    </row>
    <row r="384" spans="1:9" x14ac:dyDescent="0.3">
      <c r="A384" t="s">
        <v>83</v>
      </c>
      <c r="B384" t="s">
        <v>84</v>
      </c>
      <c r="C384" s="10" t="s">
        <v>35</v>
      </c>
      <c r="D384" s="16">
        <f t="shared" ca="1" si="22"/>
        <v>45968</v>
      </c>
      <c r="E384" s="14">
        <f t="shared" ca="1" si="21"/>
        <v>45968.535908912039</v>
      </c>
      <c r="F384" s="18">
        <f>EOMONTH(Table13[[#This Row],[Transaction Date]],0)</f>
        <v>45322</v>
      </c>
      <c r="G384" s="20">
        <f ca="1">_xlfn.DAYS(Table13[[#This Row],[Today]],Table13[[#This Row],[Transaction Date]])</f>
        <v>655</v>
      </c>
      <c r="H384">
        <f ca="1">NETWORKDAYS.INTL(Table13[[#This Row],[Transaction Date]],Table13[[#This Row],[Today]],)</f>
        <v>470</v>
      </c>
      <c r="I384">
        <f ca="1">NETWORKDAYS(Table13[[#This Row],[Transaction Date]],Table13[[#This Row],[Today]])</f>
        <v>470</v>
      </c>
    </row>
    <row r="385" spans="1:9" x14ac:dyDescent="0.3">
      <c r="A385" t="s">
        <v>36</v>
      </c>
      <c r="B385" t="s">
        <v>37</v>
      </c>
      <c r="C385" s="10" t="s">
        <v>35</v>
      </c>
      <c r="D385" s="16">
        <f t="shared" ca="1" si="22"/>
        <v>45968</v>
      </c>
      <c r="E385" s="14">
        <f t="shared" ca="1" si="21"/>
        <v>45968.535908912039</v>
      </c>
      <c r="F385" s="18">
        <f>EOMONTH(Table13[[#This Row],[Transaction Date]],0)</f>
        <v>45322</v>
      </c>
      <c r="G385" s="20">
        <f ca="1">_xlfn.DAYS(Table13[[#This Row],[Today]],Table13[[#This Row],[Transaction Date]])</f>
        <v>655</v>
      </c>
      <c r="H385">
        <f ca="1">NETWORKDAYS.INTL(Table13[[#This Row],[Transaction Date]],Table13[[#This Row],[Today]],)</f>
        <v>470</v>
      </c>
      <c r="I385">
        <f ca="1">NETWORKDAYS(Table13[[#This Row],[Transaction Date]],Table13[[#This Row],[Today]])</f>
        <v>470</v>
      </c>
    </row>
    <row r="386" spans="1:9" x14ac:dyDescent="0.3">
      <c r="A386" t="s">
        <v>62</v>
      </c>
      <c r="B386" t="s">
        <v>63</v>
      </c>
      <c r="C386" s="10" t="s">
        <v>35</v>
      </c>
      <c r="D386" s="16">
        <f t="shared" ca="1" si="22"/>
        <v>45968</v>
      </c>
      <c r="E386" s="14">
        <f t="shared" ca="1" si="21"/>
        <v>45968.535908912039</v>
      </c>
      <c r="F386" s="18">
        <f>EOMONTH(Table13[[#This Row],[Transaction Date]],0)</f>
        <v>45322</v>
      </c>
      <c r="G386" s="20">
        <f ca="1">_xlfn.DAYS(Table13[[#This Row],[Today]],Table13[[#This Row],[Transaction Date]])</f>
        <v>655</v>
      </c>
      <c r="H386">
        <f ca="1">NETWORKDAYS.INTL(Table13[[#This Row],[Transaction Date]],Table13[[#This Row],[Today]],)</f>
        <v>470</v>
      </c>
      <c r="I386">
        <f ca="1">NETWORKDAYS(Table13[[#This Row],[Transaction Date]],Table13[[#This Row],[Today]])</f>
        <v>470</v>
      </c>
    </row>
    <row r="387" spans="1:9" x14ac:dyDescent="0.3">
      <c r="A387" t="s">
        <v>31</v>
      </c>
      <c r="B387" t="s">
        <v>32</v>
      </c>
      <c r="C387" s="10" t="s">
        <v>35</v>
      </c>
      <c r="D387" s="16">
        <f t="shared" ca="1" si="22"/>
        <v>45968</v>
      </c>
      <c r="E387" s="14">
        <f t="shared" ca="1" si="21"/>
        <v>45968.535908912039</v>
      </c>
      <c r="F387" s="18">
        <f>EOMONTH(Table13[[#This Row],[Transaction Date]],0)</f>
        <v>45322</v>
      </c>
      <c r="G387" s="20">
        <f ca="1">_xlfn.DAYS(Table13[[#This Row],[Today]],Table13[[#This Row],[Transaction Date]])</f>
        <v>655</v>
      </c>
      <c r="H387">
        <f ca="1">NETWORKDAYS.INTL(Table13[[#This Row],[Transaction Date]],Table13[[#This Row],[Today]],)</f>
        <v>470</v>
      </c>
      <c r="I387">
        <f ca="1">NETWORKDAYS(Table13[[#This Row],[Transaction Date]],Table13[[#This Row],[Today]])</f>
        <v>470</v>
      </c>
    </row>
    <row r="388" spans="1:9" x14ac:dyDescent="0.3">
      <c r="A388" t="s">
        <v>80</v>
      </c>
      <c r="B388" t="s">
        <v>81</v>
      </c>
      <c r="C388" s="10" t="s">
        <v>35</v>
      </c>
      <c r="D388" s="16">
        <f t="shared" ca="1" si="22"/>
        <v>45968</v>
      </c>
      <c r="E388" s="14">
        <f t="shared" ca="1" si="21"/>
        <v>45968.535908912039</v>
      </c>
      <c r="F388" s="18">
        <f>EOMONTH(Table13[[#This Row],[Transaction Date]],0)</f>
        <v>45322</v>
      </c>
      <c r="G388" s="20">
        <f ca="1">_xlfn.DAYS(Table13[[#This Row],[Today]],Table13[[#This Row],[Transaction Date]])</f>
        <v>655</v>
      </c>
      <c r="H388">
        <f ca="1">NETWORKDAYS.INTL(Table13[[#This Row],[Transaction Date]],Table13[[#This Row],[Today]],)</f>
        <v>470</v>
      </c>
      <c r="I388">
        <f ca="1">NETWORKDAYS(Table13[[#This Row],[Transaction Date]],Table13[[#This Row],[Today]])</f>
        <v>470</v>
      </c>
    </row>
    <row r="389" spans="1:9" x14ac:dyDescent="0.3">
      <c r="A389" t="s">
        <v>59</v>
      </c>
      <c r="B389" t="s">
        <v>60</v>
      </c>
      <c r="C389" s="10" t="s">
        <v>35</v>
      </c>
      <c r="D389" s="16">
        <f t="shared" ca="1" si="22"/>
        <v>45968</v>
      </c>
      <c r="E389" s="14">
        <f t="shared" ca="1" si="21"/>
        <v>45968.535908912039</v>
      </c>
      <c r="F389" s="18">
        <f>EOMONTH(Table13[[#This Row],[Transaction Date]],0)</f>
        <v>45322</v>
      </c>
      <c r="G389" s="20">
        <f ca="1">_xlfn.DAYS(Table13[[#This Row],[Today]],Table13[[#This Row],[Transaction Date]])</f>
        <v>655</v>
      </c>
      <c r="H389">
        <f ca="1">NETWORKDAYS.INTL(Table13[[#This Row],[Transaction Date]],Table13[[#This Row],[Today]],)</f>
        <v>470</v>
      </c>
      <c r="I389">
        <f ca="1">NETWORKDAYS(Table13[[#This Row],[Transaction Date]],Table13[[#This Row],[Today]])</f>
        <v>470</v>
      </c>
    </row>
    <row r="390" spans="1:9" x14ac:dyDescent="0.3">
      <c r="A390" t="s">
        <v>24</v>
      </c>
      <c r="B390" t="s">
        <v>25</v>
      </c>
      <c r="C390" s="10" t="s">
        <v>35</v>
      </c>
      <c r="D390" s="16">
        <f t="shared" ca="1" si="22"/>
        <v>45968</v>
      </c>
      <c r="E390" s="14">
        <f t="shared" ca="1" si="21"/>
        <v>45968.535908912039</v>
      </c>
      <c r="F390" s="18">
        <f>EOMONTH(Table13[[#This Row],[Transaction Date]],0)</f>
        <v>45322</v>
      </c>
      <c r="G390" s="20">
        <f ca="1">_xlfn.DAYS(Table13[[#This Row],[Today]],Table13[[#This Row],[Transaction Date]])</f>
        <v>655</v>
      </c>
      <c r="H390">
        <f ca="1">NETWORKDAYS.INTL(Table13[[#This Row],[Transaction Date]],Table13[[#This Row],[Today]],)</f>
        <v>470</v>
      </c>
      <c r="I390">
        <f ca="1">NETWORKDAYS(Table13[[#This Row],[Transaction Date]],Table13[[#This Row],[Today]])</f>
        <v>470</v>
      </c>
    </row>
    <row r="391" spans="1:9" x14ac:dyDescent="0.3">
      <c r="A391" t="s">
        <v>77</v>
      </c>
      <c r="B391" t="s">
        <v>78</v>
      </c>
      <c r="C391" s="10" t="s">
        <v>35</v>
      </c>
      <c r="D391" s="16">
        <f t="shared" ca="1" si="22"/>
        <v>45968</v>
      </c>
      <c r="E391" s="14">
        <f t="shared" ca="1" si="21"/>
        <v>45968.535908912039</v>
      </c>
      <c r="F391" s="18">
        <f>EOMONTH(Table13[[#This Row],[Transaction Date]],0)</f>
        <v>45322</v>
      </c>
      <c r="G391" s="20">
        <f ca="1">_xlfn.DAYS(Table13[[#This Row],[Today]],Table13[[#This Row],[Transaction Date]])</f>
        <v>655</v>
      </c>
      <c r="H391">
        <f ca="1">NETWORKDAYS.INTL(Table13[[#This Row],[Transaction Date]],Table13[[#This Row],[Today]],)</f>
        <v>470</v>
      </c>
      <c r="I391">
        <f ca="1">NETWORKDAYS(Table13[[#This Row],[Transaction Date]],Table13[[#This Row],[Today]])</f>
        <v>470</v>
      </c>
    </row>
    <row r="392" spans="1:9" x14ac:dyDescent="0.3">
      <c r="A392" t="s">
        <v>56</v>
      </c>
      <c r="B392" t="s">
        <v>57</v>
      </c>
      <c r="C392" s="10" t="s">
        <v>35</v>
      </c>
      <c r="D392" s="16">
        <f t="shared" ca="1" si="22"/>
        <v>45968</v>
      </c>
      <c r="E392" s="14">
        <f t="shared" ca="1" si="21"/>
        <v>45968.535908912039</v>
      </c>
      <c r="F392" s="18">
        <f>EOMONTH(Table13[[#This Row],[Transaction Date]],0)</f>
        <v>45322</v>
      </c>
      <c r="G392" s="20">
        <f ca="1">_xlfn.DAYS(Table13[[#This Row],[Today]],Table13[[#This Row],[Transaction Date]])</f>
        <v>655</v>
      </c>
      <c r="H392">
        <f ca="1">NETWORKDAYS.INTL(Table13[[#This Row],[Transaction Date]],Table13[[#This Row],[Today]],)</f>
        <v>470</v>
      </c>
      <c r="I392">
        <f ca="1">NETWORKDAYS(Table13[[#This Row],[Transaction Date]],Table13[[#This Row],[Today]])</f>
        <v>470</v>
      </c>
    </row>
    <row r="393" spans="1:9" x14ac:dyDescent="0.3">
      <c r="A393" t="s">
        <v>74</v>
      </c>
      <c r="B393" t="s">
        <v>75</v>
      </c>
      <c r="C393" s="10" t="s">
        <v>35</v>
      </c>
      <c r="D393" s="16">
        <f t="shared" ca="1" si="22"/>
        <v>45968</v>
      </c>
      <c r="E393" s="14">
        <f t="shared" ca="1" si="21"/>
        <v>45968.535908912039</v>
      </c>
      <c r="F393" s="18">
        <f>EOMONTH(Table13[[#This Row],[Transaction Date]],0)</f>
        <v>45322</v>
      </c>
      <c r="G393" s="20">
        <f ca="1">_xlfn.DAYS(Table13[[#This Row],[Today]],Table13[[#This Row],[Transaction Date]])</f>
        <v>655</v>
      </c>
      <c r="H393">
        <f ca="1">NETWORKDAYS.INTL(Table13[[#This Row],[Transaction Date]],Table13[[#This Row],[Today]],)</f>
        <v>470</v>
      </c>
      <c r="I393">
        <f ca="1">NETWORKDAYS(Table13[[#This Row],[Transaction Date]],Table13[[#This Row],[Today]])</f>
        <v>470</v>
      </c>
    </row>
    <row r="394" spans="1:9" x14ac:dyDescent="0.3">
      <c r="A394" t="s">
        <v>17</v>
      </c>
      <c r="B394" t="s">
        <v>18</v>
      </c>
      <c r="C394" s="10" t="s">
        <v>35</v>
      </c>
      <c r="D394" s="16">
        <f t="shared" ca="1" si="22"/>
        <v>45968</v>
      </c>
      <c r="E394" s="14">
        <f t="shared" ca="1" si="21"/>
        <v>45968.535908912039</v>
      </c>
      <c r="F394" s="18">
        <f>EOMONTH(Table13[[#This Row],[Transaction Date]],0)</f>
        <v>45322</v>
      </c>
      <c r="G394" s="20">
        <f ca="1">_xlfn.DAYS(Table13[[#This Row],[Today]],Table13[[#This Row],[Transaction Date]])</f>
        <v>655</v>
      </c>
      <c r="H394">
        <f ca="1">NETWORKDAYS.INTL(Table13[[#This Row],[Transaction Date]],Table13[[#This Row],[Today]],)</f>
        <v>470</v>
      </c>
      <c r="I394">
        <f ca="1">NETWORKDAYS(Table13[[#This Row],[Transaction Date]],Table13[[#This Row],[Today]])</f>
        <v>470</v>
      </c>
    </row>
    <row r="395" spans="1:9" x14ac:dyDescent="0.3">
      <c r="A395" t="s">
        <v>53</v>
      </c>
      <c r="B395" t="s">
        <v>54</v>
      </c>
      <c r="C395" s="10" t="s">
        <v>35</v>
      </c>
      <c r="D395" s="16">
        <f t="shared" ca="1" si="22"/>
        <v>45968</v>
      </c>
      <c r="E395" s="14">
        <f t="shared" ca="1" si="21"/>
        <v>45968.535908912039</v>
      </c>
      <c r="F395" s="18">
        <f>EOMONTH(Table13[[#This Row],[Transaction Date]],0)</f>
        <v>45322</v>
      </c>
      <c r="G395" s="20">
        <f ca="1">_xlfn.DAYS(Table13[[#This Row],[Today]],Table13[[#This Row],[Transaction Date]])</f>
        <v>655</v>
      </c>
      <c r="H395">
        <f ca="1">NETWORKDAYS.INTL(Table13[[#This Row],[Transaction Date]],Table13[[#This Row],[Today]],)</f>
        <v>470</v>
      </c>
      <c r="I395">
        <f ca="1">NETWORKDAYS(Table13[[#This Row],[Transaction Date]],Table13[[#This Row],[Today]])</f>
        <v>470</v>
      </c>
    </row>
    <row r="396" spans="1:9" x14ac:dyDescent="0.3">
      <c r="A396" t="s">
        <v>71</v>
      </c>
      <c r="B396" t="s">
        <v>72</v>
      </c>
      <c r="C396" s="10" t="s">
        <v>35</v>
      </c>
      <c r="D396" s="16">
        <f t="shared" ca="1" si="22"/>
        <v>45968</v>
      </c>
      <c r="E396" s="14">
        <f t="shared" ca="1" si="21"/>
        <v>45968.535908912039</v>
      </c>
      <c r="F396" s="18">
        <f>EOMONTH(Table13[[#This Row],[Transaction Date]],0)</f>
        <v>45322</v>
      </c>
      <c r="G396" s="20">
        <f ca="1">_xlfn.DAYS(Table13[[#This Row],[Today]],Table13[[#This Row],[Transaction Date]])</f>
        <v>655</v>
      </c>
      <c r="H396">
        <f ca="1">NETWORKDAYS.INTL(Table13[[#This Row],[Transaction Date]],Table13[[#This Row],[Today]],)</f>
        <v>470</v>
      </c>
      <c r="I396">
        <f ca="1">NETWORKDAYS(Table13[[#This Row],[Transaction Date]],Table13[[#This Row],[Today]])</f>
        <v>470</v>
      </c>
    </row>
    <row r="397" spans="1:9" x14ac:dyDescent="0.3">
      <c r="A397" t="s">
        <v>49</v>
      </c>
      <c r="B397" t="s">
        <v>50</v>
      </c>
      <c r="C397" s="10" t="s">
        <v>35</v>
      </c>
      <c r="D397" s="16">
        <f t="shared" ca="1" si="22"/>
        <v>45968</v>
      </c>
      <c r="E397" s="14">
        <f t="shared" ca="1" si="21"/>
        <v>45968.535908912039</v>
      </c>
      <c r="F397" s="18">
        <f>EOMONTH(Table13[[#This Row],[Transaction Date]],0)</f>
        <v>45322</v>
      </c>
      <c r="G397" s="20">
        <f ca="1">_xlfn.DAYS(Table13[[#This Row],[Today]],Table13[[#This Row],[Transaction Date]])</f>
        <v>655</v>
      </c>
      <c r="H397">
        <f ca="1">NETWORKDAYS.INTL(Table13[[#This Row],[Transaction Date]],Table13[[#This Row],[Today]],)</f>
        <v>470</v>
      </c>
      <c r="I397">
        <f ca="1">NETWORKDAYS(Table13[[#This Row],[Transaction Date]],Table13[[#This Row],[Today]])</f>
        <v>470</v>
      </c>
    </row>
    <row r="398" spans="1:9" x14ac:dyDescent="0.3">
      <c r="A398" t="s">
        <v>10</v>
      </c>
      <c r="B398" t="s">
        <v>11</v>
      </c>
      <c r="C398" s="10" t="s">
        <v>35</v>
      </c>
      <c r="D398" s="16">
        <f t="shared" ca="1" si="22"/>
        <v>45968</v>
      </c>
      <c r="E398" s="14">
        <f t="shared" ca="1" si="21"/>
        <v>45968.535908912039</v>
      </c>
      <c r="F398" s="18">
        <f>EOMONTH(Table13[[#This Row],[Transaction Date]],0)</f>
        <v>45322</v>
      </c>
      <c r="G398" s="20">
        <f ca="1">_xlfn.DAYS(Table13[[#This Row],[Today]],Table13[[#This Row],[Transaction Date]])</f>
        <v>655</v>
      </c>
      <c r="H398">
        <f ca="1">NETWORKDAYS.INTL(Table13[[#This Row],[Transaction Date]],Table13[[#This Row],[Today]],)</f>
        <v>470</v>
      </c>
      <c r="I398">
        <f ca="1">NETWORKDAYS(Table13[[#This Row],[Transaction Date]],Table13[[#This Row],[Today]])</f>
        <v>470</v>
      </c>
    </row>
    <row r="399" spans="1:9" x14ac:dyDescent="0.3">
      <c r="A399" t="s">
        <v>68</v>
      </c>
      <c r="B399" t="s">
        <v>69</v>
      </c>
      <c r="C399" s="10" t="s">
        <v>35</v>
      </c>
      <c r="D399" s="16">
        <f t="shared" ca="1" si="22"/>
        <v>45968</v>
      </c>
      <c r="E399" s="14">
        <f t="shared" ca="1" si="21"/>
        <v>45968.535908912039</v>
      </c>
      <c r="F399" s="18">
        <f>EOMONTH(Table13[[#This Row],[Transaction Date]],0)</f>
        <v>45322</v>
      </c>
      <c r="G399" s="20">
        <f ca="1">_xlfn.DAYS(Table13[[#This Row],[Today]],Table13[[#This Row],[Transaction Date]])</f>
        <v>655</v>
      </c>
      <c r="H399">
        <f ca="1">NETWORKDAYS.INTL(Table13[[#This Row],[Transaction Date]],Table13[[#This Row],[Today]],)</f>
        <v>470</v>
      </c>
      <c r="I399">
        <f ca="1">NETWORKDAYS(Table13[[#This Row],[Transaction Date]],Table13[[#This Row],[Today]])</f>
        <v>470</v>
      </c>
    </row>
    <row r="400" spans="1:9" x14ac:dyDescent="0.3">
      <c r="A400" t="s">
        <v>44</v>
      </c>
      <c r="B400" t="s">
        <v>45</v>
      </c>
      <c r="C400" s="10" t="s">
        <v>35</v>
      </c>
      <c r="D400" s="16">
        <f t="shared" ca="1" si="22"/>
        <v>45968</v>
      </c>
      <c r="E400" s="14">
        <f t="shared" ca="1" si="21"/>
        <v>45968.535908912039</v>
      </c>
      <c r="F400" s="18">
        <f>EOMONTH(Table13[[#This Row],[Transaction Date]],0)</f>
        <v>45322</v>
      </c>
      <c r="G400" s="20">
        <f ca="1">_xlfn.DAYS(Table13[[#This Row],[Today]],Table13[[#This Row],[Transaction Date]])</f>
        <v>655</v>
      </c>
      <c r="H400">
        <f ca="1">NETWORKDAYS.INTL(Table13[[#This Row],[Transaction Date]],Table13[[#This Row],[Today]],)</f>
        <v>470</v>
      </c>
      <c r="I400">
        <f ca="1">NETWORKDAYS(Table13[[#This Row],[Transaction Date]],Table13[[#This Row],[Today]])</f>
        <v>470</v>
      </c>
    </row>
    <row r="401" spans="1:9" x14ac:dyDescent="0.3">
      <c r="A401" t="s">
        <v>86</v>
      </c>
      <c r="B401" t="s">
        <v>87</v>
      </c>
      <c r="C401" s="10" t="s">
        <v>35</v>
      </c>
      <c r="D401" s="16">
        <f ca="1">TODAY()</f>
        <v>45968</v>
      </c>
      <c r="E401" s="14">
        <f t="shared" ca="1" si="21"/>
        <v>45968.535908912039</v>
      </c>
      <c r="F401" s="18">
        <f>EOMONTH(Table13[[#This Row],[Transaction Date]],0)</f>
        <v>45322</v>
      </c>
      <c r="G401" s="20">
        <f ca="1">_xlfn.DAYS(Table13[[#This Row],[Today]],Table13[[#This Row],[Transaction Date]])</f>
        <v>655</v>
      </c>
      <c r="H401">
        <f ca="1">NETWORKDAYS.INTL(Table13[[#This Row],[Transaction Date]],Table13[[#This Row],[Today]],)</f>
        <v>470</v>
      </c>
      <c r="I401">
        <f ca="1">NETWORKDAYS(Table13[[#This Row],[Transaction Date]],Table13[[#This Row],[Today]])</f>
        <v>470</v>
      </c>
    </row>
    <row r="402" spans="1:9" x14ac:dyDescent="0.3">
      <c r="A402" t="s">
        <v>40</v>
      </c>
      <c r="B402" t="s">
        <v>41</v>
      </c>
      <c r="C402" s="10" t="s">
        <v>35</v>
      </c>
      <c r="D402" s="16">
        <f t="shared" ref="D402:D420" ca="1" si="23">TODAY()</f>
        <v>45968</v>
      </c>
      <c r="E402" s="14">
        <f t="shared" ca="1" si="21"/>
        <v>45968.535908912039</v>
      </c>
      <c r="F402" s="18">
        <f>EOMONTH(Table13[[#This Row],[Transaction Date]],0)</f>
        <v>45322</v>
      </c>
      <c r="G402" s="20">
        <f ca="1">_xlfn.DAYS(Table13[[#This Row],[Today]],Table13[[#This Row],[Transaction Date]])</f>
        <v>655</v>
      </c>
      <c r="H402">
        <f ca="1">NETWORKDAYS.INTL(Table13[[#This Row],[Transaction Date]],Table13[[#This Row],[Today]],)</f>
        <v>470</v>
      </c>
      <c r="I402">
        <f ca="1">NETWORKDAYS(Table13[[#This Row],[Transaction Date]],Table13[[#This Row],[Today]])</f>
        <v>470</v>
      </c>
    </row>
    <row r="403" spans="1:9" x14ac:dyDescent="0.3">
      <c r="A403" t="s">
        <v>65</v>
      </c>
      <c r="B403" t="s">
        <v>66</v>
      </c>
      <c r="C403" s="10" t="s">
        <v>35</v>
      </c>
      <c r="D403" s="16">
        <f t="shared" ca="1" si="23"/>
        <v>45968</v>
      </c>
      <c r="E403" s="14">
        <f t="shared" ca="1" si="21"/>
        <v>45968.535908912039</v>
      </c>
      <c r="F403" s="18">
        <f>EOMONTH(Table13[[#This Row],[Transaction Date]],0)</f>
        <v>45322</v>
      </c>
      <c r="G403" s="20">
        <f ca="1">_xlfn.DAYS(Table13[[#This Row],[Today]],Table13[[#This Row],[Transaction Date]])</f>
        <v>655</v>
      </c>
      <c r="H403">
        <f ca="1">NETWORKDAYS.INTL(Table13[[#This Row],[Transaction Date]],Table13[[#This Row],[Today]],)</f>
        <v>470</v>
      </c>
      <c r="I403">
        <f ca="1">NETWORKDAYS(Table13[[#This Row],[Transaction Date]],Table13[[#This Row],[Today]])</f>
        <v>470</v>
      </c>
    </row>
    <row r="404" spans="1:9" x14ac:dyDescent="0.3">
      <c r="A404" t="s">
        <v>83</v>
      </c>
      <c r="B404" t="s">
        <v>84</v>
      </c>
      <c r="C404" s="10" t="s">
        <v>35</v>
      </c>
      <c r="D404" s="16">
        <f t="shared" ca="1" si="23"/>
        <v>45968</v>
      </c>
      <c r="E404" s="14">
        <f t="shared" ca="1" si="21"/>
        <v>45968.535908912039</v>
      </c>
      <c r="F404" s="18">
        <f>EOMONTH(Table13[[#This Row],[Transaction Date]],0)</f>
        <v>45322</v>
      </c>
      <c r="G404" s="20">
        <f ca="1">_xlfn.DAYS(Table13[[#This Row],[Today]],Table13[[#This Row],[Transaction Date]])</f>
        <v>655</v>
      </c>
      <c r="H404">
        <f ca="1">NETWORKDAYS.INTL(Table13[[#This Row],[Transaction Date]],Table13[[#This Row],[Today]],)</f>
        <v>470</v>
      </c>
      <c r="I404">
        <f ca="1">NETWORKDAYS(Table13[[#This Row],[Transaction Date]],Table13[[#This Row],[Today]])</f>
        <v>470</v>
      </c>
    </row>
    <row r="405" spans="1:9" x14ac:dyDescent="0.3">
      <c r="A405" t="s">
        <v>36</v>
      </c>
      <c r="B405" t="s">
        <v>37</v>
      </c>
      <c r="C405" s="10" t="s">
        <v>35</v>
      </c>
      <c r="D405" s="16">
        <f t="shared" ca="1" si="23"/>
        <v>45968</v>
      </c>
      <c r="E405" s="14">
        <f t="shared" ca="1" si="21"/>
        <v>45968.535908912039</v>
      </c>
      <c r="F405" s="18">
        <f>EOMONTH(Table13[[#This Row],[Transaction Date]],0)</f>
        <v>45322</v>
      </c>
      <c r="G405" s="20">
        <f ca="1">_xlfn.DAYS(Table13[[#This Row],[Today]],Table13[[#This Row],[Transaction Date]])</f>
        <v>655</v>
      </c>
      <c r="H405">
        <f ca="1">NETWORKDAYS.INTL(Table13[[#This Row],[Transaction Date]],Table13[[#This Row],[Today]],)</f>
        <v>470</v>
      </c>
      <c r="I405">
        <f ca="1">NETWORKDAYS(Table13[[#This Row],[Transaction Date]],Table13[[#This Row],[Today]])</f>
        <v>470</v>
      </c>
    </row>
    <row r="406" spans="1:9" x14ac:dyDescent="0.3">
      <c r="A406" t="s">
        <v>62</v>
      </c>
      <c r="B406" t="s">
        <v>63</v>
      </c>
      <c r="C406" s="10" t="s">
        <v>35</v>
      </c>
      <c r="D406" s="16">
        <f t="shared" ca="1" si="23"/>
        <v>45968</v>
      </c>
      <c r="E406" s="14">
        <f t="shared" ca="1" si="21"/>
        <v>45968.535908912039</v>
      </c>
      <c r="F406" s="18">
        <f>EOMONTH(Table13[[#This Row],[Transaction Date]],0)</f>
        <v>45322</v>
      </c>
      <c r="G406" s="20">
        <f ca="1">_xlfn.DAYS(Table13[[#This Row],[Today]],Table13[[#This Row],[Transaction Date]])</f>
        <v>655</v>
      </c>
      <c r="H406">
        <f ca="1">NETWORKDAYS.INTL(Table13[[#This Row],[Transaction Date]],Table13[[#This Row],[Today]],)</f>
        <v>470</v>
      </c>
      <c r="I406">
        <f ca="1">NETWORKDAYS(Table13[[#This Row],[Transaction Date]],Table13[[#This Row],[Today]])</f>
        <v>470</v>
      </c>
    </row>
    <row r="407" spans="1:9" x14ac:dyDescent="0.3">
      <c r="A407" t="s">
        <v>31</v>
      </c>
      <c r="B407" t="s">
        <v>32</v>
      </c>
      <c r="C407" s="10" t="s">
        <v>35</v>
      </c>
      <c r="D407" s="16">
        <f t="shared" ca="1" si="23"/>
        <v>45968</v>
      </c>
      <c r="E407" s="14">
        <f t="shared" ca="1" si="21"/>
        <v>45968.535908912039</v>
      </c>
      <c r="F407" s="18">
        <f>EOMONTH(Table13[[#This Row],[Transaction Date]],0)</f>
        <v>45322</v>
      </c>
      <c r="G407" s="20">
        <f ca="1">_xlfn.DAYS(Table13[[#This Row],[Today]],Table13[[#This Row],[Transaction Date]])</f>
        <v>655</v>
      </c>
      <c r="H407">
        <f ca="1">NETWORKDAYS.INTL(Table13[[#This Row],[Transaction Date]],Table13[[#This Row],[Today]],)</f>
        <v>470</v>
      </c>
      <c r="I407">
        <f ca="1">NETWORKDAYS(Table13[[#This Row],[Transaction Date]],Table13[[#This Row],[Today]])</f>
        <v>470</v>
      </c>
    </row>
    <row r="408" spans="1:9" x14ac:dyDescent="0.3">
      <c r="A408" t="s">
        <v>80</v>
      </c>
      <c r="B408" t="s">
        <v>81</v>
      </c>
      <c r="C408" s="10" t="s">
        <v>35</v>
      </c>
      <c r="D408" s="16">
        <f t="shared" ca="1" si="23"/>
        <v>45968</v>
      </c>
      <c r="E408" s="14">
        <f t="shared" ca="1" si="21"/>
        <v>45968.535908912039</v>
      </c>
      <c r="F408" s="18">
        <f>EOMONTH(Table13[[#This Row],[Transaction Date]],0)</f>
        <v>45322</v>
      </c>
      <c r="G408" s="20">
        <f ca="1">_xlfn.DAYS(Table13[[#This Row],[Today]],Table13[[#This Row],[Transaction Date]])</f>
        <v>655</v>
      </c>
      <c r="H408">
        <f ca="1">NETWORKDAYS.INTL(Table13[[#This Row],[Transaction Date]],Table13[[#This Row],[Today]],)</f>
        <v>470</v>
      </c>
      <c r="I408">
        <f ca="1">NETWORKDAYS(Table13[[#This Row],[Transaction Date]],Table13[[#This Row],[Today]])</f>
        <v>470</v>
      </c>
    </row>
    <row r="409" spans="1:9" x14ac:dyDescent="0.3">
      <c r="A409" t="s">
        <v>59</v>
      </c>
      <c r="B409" t="s">
        <v>60</v>
      </c>
      <c r="C409" s="10" t="s">
        <v>35</v>
      </c>
      <c r="D409" s="16">
        <f t="shared" ca="1" si="23"/>
        <v>45968</v>
      </c>
      <c r="E409" s="14">
        <f t="shared" ca="1" si="21"/>
        <v>45968.535908912039</v>
      </c>
      <c r="F409" s="18">
        <f>EOMONTH(Table13[[#This Row],[Transaction Date]],0)</f>
        <v>45322</v>
      </c>
      <c r="G409" s="20">
        <f ca="1">_xlfn.DAYS(Table13[[#This Row],[Today]],Table13[[#This Row],[Transaction Date]])</f>
        <v>655</v>
      </c>
      <c r="H409">
        <f ca="1">NETWORKDAYS.INTL(Table13[[#This Row],[Transaction Date]],Table13[[#This Row],[Today]],)</f>
        <v>470</v>
      </c>
      <c r="I409">
        <f ca="1">NETWORKDAYS(Table13[[#This Row],[Transaction Date]],Table13[[#This Row],[Today]])</f>
        <v>470</v>
      </c>
    </row>
    <row r="410" spans="1:9" x14ac:dyDescent="0.3">
      <c r="A410" t="s">
        <v>24</v>
      </c>
      <c r="B410" t="s">
        <v>25</v>
      </c>
      <c r="C410" s="10" t="s">
        <v>35</v>
      </c>
      <c r="D410" s="16">
        <f t="shared" ca="1" si="23"/>
        <v>45968</v>
      </c>
      <c r="E410" s="14">
        <f t="shared" ca="1" si="21"/>
        <v>45968.535908912039</v>
      </c>
      <c r="F410" s="18">
        <f>EOMONTH(Table13[[#This Row],[Transaction Date]],0)</f>
        <v>45322</v>
      </c>
      <c r="G410" s="20">
        <f ca="1">_xlfn.DAYS(Table13[[#This Row],[Today]],Table13[[#This Row],[Transaction Date]])</f>
        <v>655</v>
      </c>
      <c r="H410">
        <f ca="1">NETWORKDAYS.INTL(Table13[[#This Row],[Transaction Date]],Table13[[#This Row],[Today]],)</f>
        <v>470</v>
      </c>
      <c r="I410">
        <f ca="1">NETWORKDAYS(Table13[[#This Row],[Transaction Date]],Table13[[#This Row],[Today]])</f>
        <v>470</v>
      </c>
    </row>
    <row r="411" spans="1:9" x14ac:dyDescent="0.3">
      <c r="A411" t="s">
        <v>77</v>
      </c>
      <c r="B411" t="s">
        <v>78</v>
      </c>
      <c r="C411" s="10" t="s">
        <v>35</v>
      </c>
      <c r="D411" s="16">
        <f t="shared" ca="1" si="23"/>
        <v>45968</v>
      </c>
      <c r="E411" s="14">
        <f t="shared" ca="1" si="21"/>
        <v>45968.535908912039</v>
      </c>
      <c r="F411" s="18">
        <f>EOMONTH(Table13[[#This Row],[Transaction Date]],0)</f>
        <v>45322</v>
      </c>
      <c r="G411" s="20">
        <f ca="1">_xlfn.DAYS(Table13[[#This Row],[Today]],Table13[[#This Row],[Transaction Date]])</f>
        <v>655</v>
      </c>
      <c r="H411">
        <f ca="1">NETWORKDAYS.INTL(Table13[[#This Row],[Transaction Date]],Table13[[#This Row],[Today]],)</f>
        <v>470</v>
      </c>
      <c r="I411">
        <f ca="1">NETWORKDAYS(Table13[[#This Row],[Transaction Date]],Table13[[#This Row],[Today]])</f>
        <v>470</v>
      </c>
    </row>
    <row r="412" spans="1:9" x14ac:dyDescent="0.3">
      <c r="A412" t="s">
        <v>56</v>
      </c>
      <c r="B412" t="s">
        <v>57</v>
      </c>
      <c r="C412" s="10" t="s">
        <v>35</v>
      </c>
      <c r="D412" s="16">
        <f t="shared" ca="1" si="23"/>
        <v>45968</v>
      </c>
      <c r="E412" s="14">
        <f t="shared" ca="1" si="21"/>
        <v>45968.535908912039</v>
      </c>
      <c r="F412" s="18">
        <f>EOMONTH(Table13[[#This Row],[Transaction Date]],0)</f>
        <v>45322</v>
      </c>
      <c r="G412" s="20">
        <f ca="1">_xlfn.DAYS(Table13[[#This Row],[Today]],Table13[[#This Row],[Transaction Date]])</f>
        <v>655</v>
      </c>
      <c r="H412">
        <f ca="1">NETWORKDAYS.INTL(Table13[[#This Row],[Transaction Date]],Table13[[#This Row],[Today]],)</f>
        <v>470</v>
      </c>
      <c r="I412">
        <f ca="1">NETWORKDAYS(Table13[[#This Row],[Transaction Date]],Table13[[#This Row],[Today]])</f>
        <v>470</v>
      </c>
    </row>
    <row r="413" spans="1:9" x14ac:dyDescent="0.3">
      <c r="A413" t="s">
        <v>74</v>
      </c>
      <c r="B413" t="s">
        <v>75</v>
      </c>
      <c r="C413" s="10" t="s">
        <v>35</v>
      </c>
      <c r="D413" s="16">
        <f t="shared" ca="1" si="23"/>
        <v>45968</v>
      </c>
      <c r="E413" s="14">
        <f t="shared" ca="1" si="21"/>
        <v>45968.535908912039</v>
      </c>
      <c r="F413" s="18">
        <f>EOMONTH(Table13[[#This Row],[Transaction Date]],0)</f>
        <v>45322</v>
      </c>
      <c r="G413" s="20">
        <f ca="1">_xlfn.DAYS(Table13[[#This Row],[Today]],Table13[[#This Row],[Transaction Date]])</f>
        <v>655</v>
      </c>
      <c r="H413">
        <f ca="1">NETWORKDAYS.INTL(Table13[[#This Row],[Transaction Date]],Table13[[#This Row],[Today]],)</f>
        <v>470</v>
      </c>
      <c r="I413">
        <f ca="1">NETWORKDAYS(Table13[[#This Row],[Transaction Date]],Table13[[#This Row],[Today]])</f>
        <v>470</v>
      </c>
    </row>
    <row r="414" spans="1:9" x14ac:dyDescent="0.3">
      <c r="A414" t="s">
        <v>17</v>
      </c>
      <c r="B414" t="s">
        <v>18</v>
      </c>
      <c r="C414" s="10" t="s">
        <v>35</v>
      </c>
      <c r="D414" s="16">
        <f t="shared" ca="1" si="23"/>
        <v>45968</v>
      </c>
      <c r="E414" s="14">
        <f t="shared" ca="1" si="21"/>
        <v>45968.535908912039</v>
      </c>
      <c r="F414" s="18">
        <f>EOMONTH(Table13[[#This Row],[Transaction Date]],0)</f>
        <v>45322</v>
      </c>
      <c r="G414" s="20">
        <f ca="1">_xlfn.DAYS(Table13[[#This Row],[Today]],Table13[[#This Row],[Transaction Date]])</f>
        <v>655</v>
      </c>
      <c r="H414">
        <f ca="1">NETWORKDAYS.INTL(Table13[[#This Row],[Transaction Date]],Table13[[#This Row],[Today]],)</f>
        <v>470</v>
      </c>
      <c r="I414">
        <f ca="1">NETWORKDAYS(Table13[[#This Row],[Transaction Date]],Table13[[#This Row],[Today]])</f>
        <v>470</v>
      </c>
    </row>
    <row r="415" spans="1:9" x14ac:dyDescent="0.3">
      <c r="A415" t="s">
        <v>53</v>
      </c>
      <c r="B415" t="s">
        <v>54</v>
      </c>
      <c r="C415" s="10" t="s">
        <v>35</v>
      </c>
      <c r="D415" s="16">
        <f t="shared" ca="1" si="23"/>
        <v>45968</v>
      </c>
      <c r="E415" s="14">
        <f t="shared" ca="1" si="21"/>
        <v>45968.535908912039</v>
      </c>
      <c r="F415" s="18">
        <f>EOMONTH(Table13[[#This Row],[Transaction Date]],0)</f>
        <v>45322</v>
      </c>
      <c r="G415" s="20">
        <f ca="1">_xlfn.DAYS(Table13[[#This Row],[Today]],Table13[[#This Row],[Transaction Date]])</f>
        <v>655</v>
      </c>
      <c r="H415">
        <f ca="1">NETWORKDAYS.INTL(Table13[[#This Row],[Transaction Date]],Table13[[#This Row],[Today]],)</f>
        <v>470</v>
      </c>
      <c r="I415">
        <f ca="1">NETWORKDAYS(Table13[[#This Row],[Transaction Date]],Table13[[#This Row],[Today]])</f>
        <v>470</v>
      </c>
    </row>
    <row r="416" spans="1:9" x14ac:dyDescent="0.3">
      <c r="A416" t="s">
        <v>71</v>
      </c>
      <c r="B416" t="s">
        <v>72</v>
      </c>
      <c r="C416" s="10" t="s">
        <v>35</v>
      </c>
      <c r="D416" s="16">
        <f t="shared" ca="1" si="23"/>
        <v>45968</v>
      </c>
      <c r="E416" s="14">
        <f t="shared" ca="1" si="21"/>
        <v>45968.535908912039</v>
      </c>
      <c r="F416" s="18">
        <f>EOMONTH(Table13[[#This Row],[Transaction Date]],0)</f>
        <v>45322</v>
      </c>
      <c r="G416" s="20">
        <f ca="1">_xlfn.DAYS(Table13[[#This Row],[Today]],Table13[[#This Row],[Transaction Date]])</f>
        <v>655</v>
      </c>
      <c r="H416">
        <f ca="1">NETWORKDAYS.INTL(Table13[[#This Row],[Transaction Date]],Table13[[#This Row],[Today]],)</f>
        <v>470</v>
      </c>
      <c r="I416">
        <f ca="1">NETWORKDAYS(Table13[[#This Row],[Transaction Date]],Table13[[#This Row],[Today]])</f>
        <v>470</v>
      </c>
    </row>
    <row r="417" spans="1:9" x14ac:dyDescent="0.3">
      <c r="A417" t="s">
        <v>49</v>
      </c>
      <c r="B417" t="s">
        <v>50</v>
      </c>
      <c r="C417" s="10" t="s">
        <v>35</v>
      </c>
      <c r="D417" s="16">
        <f t="shared" ca="1" si="23"/>
        <v>45968</v>
      </c>
      <c r="E417" s="14">
        <f t="shared" ca="1" si="21"/>
        <v>45968.535908912039</v>
      </c>
      <c r="F417" s="18">
        <f>EOMONTH(Table13[[#This Row],[Transaction Date]],0)</f>
        <v>45322</v>
      </c>
      <c r="G417" s="20">
        <f ca="1">_xlfn.DAYS(Table13[[#This Row],[Today]],Table13[[#This Row],[Transaction Date]])</f>
        <v>655</v>
      </c>
      <c r="H417">
        <f ca="1">NETWORKDAYS.INTL(Table13[[#This Row],[Transaction Date]],Table13[[#This Row],[Today]],)</f>
        <v>470</v>
      </c>
      <c r="I417">
        <f ca="1">NETWORKDAYS(Table13[[#This Row],[Transaction Date]],Table13[[#This Row],[Today]])</f>
        <v>470</v>
      </c>
    </row>
    <row r="418" spans="1:9" x14ac:dyDescent="0.3">
      <c r="A418" t="s">
        <v>10</v>
      </c>
      <c r="B418" t="s">
        <v>11</v>
      </c>
      <c r="C418" s="10" t="s">
        <v>35</v>
      </c>
      <c r="D418" s="16">
        <f t="shared" ca="1" si="23"/>
        <v>45968</v>
      </c>
      <c r="E418" s="14">
        <f t="shared" ca="1" si="21"/>
        <v>45968.535908912039</v>
      </c>
      <c r="F418" s="18">
        <f>EOMONTH(Table13[[#This Row],[Transaction Date]],0)</f>
        <v>45322</v>
      </c>
      <c r="G418" s="20">
        <f ca="1">_xlfn.DAYS(Table13[[#This Row],[Today]],Table13[[#This Row],[Transaction Date]])</f>
        <v>655</v>
      </c>
      <c r="H418">
        <f ca="1">NETWORKDAYS.INTL(Table13[[#This Row],[Transaction Date]],Table13[[#This Row],[Today]],)</f>
        <v>470</v>
      </c>
      <c r="I418">
        <f ca="1">NETWORKDAYS(Table13[[#This Row],[Transaction Date]],Table13[[#This Row],[Today]])</f>
        <v>470</v>
      </c>
    </row>
    <row r="419" spans="1:9" x14ac:dyDescent="0.3">
      <c r="A419" t="s">
        <v>68</v>
      </c>
      <c r="B419" t="s">
        <v>69</v>
      </c>
      <c r="C419" s="10" t="s">
        <v>35</v>
      </c>
      <c r="D419" s="16">
        <f t="shared" ca="1" si="23"/>
        <v>45968</v>
      </c>
      <c r="E419" s="14">
        <f t="shared" ca="1" si="21"/>
        <v>45968.535908912039</v>
      </c>
      <c r="F419" s="18">
        <f>EOMONTH(Table13[[#This Row],[Transaction Date]],0)</f>
        <v>45322</v>
      </c>
      <c r="G419" s="20">
        <f ca="1">_xlfn.DAYS(Table13[[#This Row],[Today]],Table13[[#This Row],[Transaction Date]])</f>
        <v>655</v>
      </c>
      <c r="H419">
        <f ca="1">NETWORKDAYS.INTL(Table13[[#This Row],[Transaction Date]],Table13[[#This Row],[Today]],)</f>
        <v>470</v>
      </c>
      <c r="I419">
        <f ca="1">NETWORKDAYS(Table13[[#This Row],[Transaction Date]],Table13[[#This Row],[Today]])</f>
        <v>470</v>
      </c>
    </row>
    <row r="420" spans="1:9" x14ac:dyDescent="0.3">
      <c r="A420" t="s">
        <v>44</v>
      </c>
      <c r="B420" t="s">
        <v>45</v>
      </c>
      <c r="C420" s="10" t="s">
        <v>35</v>
      </c>
      <c r="D420" s="16">
        <f t="shared" ca="1" si="23"/>
        <v>45968</v>
      </c>
      <c r="E420" s="14">
        <f t="shared" ca="1" si="21"/>
        <v>45968.535908912039</v>
      </c>
      <c r="F420" s="18">
        <f>EOMONTH(Table13[[#This Row],[Transaction Date]],0)</f>
        <v>45322</v>
      </c>
      <c r="G420" s="20">
        <f ca="1">_xlfn.DAYS(Table13[[#This Row],[Today]],Table13[[#This Row],[Transaction Date]])</f>
        <v>655</v>
      </c>
      <c r="H420">
        <f ca="1">NETWORKDAYS.INTL(Table13[[#This Row],[Transaction Date]],Table13[[#This Row],[Today]],)</f>
        <v>470</v>
      </c>
      <c r="I420">
        <f ca="1">NETWORKDAYS(Table13[[#This Row],[Transaction Date]],Table13[[#This Row],[Today]])</f>
        <v>470</v>
      </c>
    </row>
    <row r="421" spans="1:9" x14ac:dyDescent="0.3">
      <c r="A421" t="s">
        <v>86</v>
      </c>
      <c r="B421" t="s">
        <v>87</v>
      </c>
      <c r="C421" s="10" t="s">
        <v>35</v>
      </c>
      <c r="D421" s="16">
        <f ca="1">TODAY()</f>
        <v>45968</v>
      </c>
      <c r="E421" s="14">
        <f t="shared" ca="1" si="21"/>
        <v>45968.535908912039</v>
      </c>
      <c r="F421" s="18">
        <f>EOMONTH(Table13[[#This Row],[Transaction Date]],0)</f>
        <v>45322</v>
      </c>
      <c r="G421" s="20">
        <f ca="1">_xlfn.DAYS(Table13[[#This Row],[Today]],Table13[[#This Row],[Transaction Date]])</f>
        <v>655</v>
      </c>
      <c r="H421">
        <f ca="1">NETWORKDAYS.INTL(Table13[[#This Row],[Transaction Date]],Table13[[#This Row],[Today]],)</f>
        <v>470</v>
      </c>
      <c r="I421">
        <f ca="1">NETWORKDAYS(Table13[[#This Row],[Transaction Date]],Table13[[#This Row],[Today]])</f>
        <v>470</v>
      </c>
    </row>
    <row r="422" spans="1:9" x14ac:dyDescent="0.3">
      <c r="A422" t="s">
        <v>40</v>
      </c>
      <c r="B422" t="s">
        <v>41</v>
      </c>
      <c r="C422" s="10" t="s">
        <v>35</v>
      </c>
      <c r="D422" s="16">
        <f t="shared" ref="D422:D440" ca="1" si="24">TODAY()</f>
        <v>45968</v>
      </c>
      <c r="E422" s="14">
        <f t="shared" ca="1" si="21"/>
        <v>45968.535908912039</v>
      </c>
      <c r="F422" s="18">
        <f>EOMONTH(Table13[[#This Row],[Transaction Date]],0)</f>
        <v>45322</v>
      </c>
      <c r="G422" s="20">
        <f ca="1">_xlfn.DAYS(Table13[[#This Row],[Today]],Table13[[#This Row],[Transaction Date]])</f>
        <v>655</v>
      </c>
      <c r="H422">
        <f ca="1">NETWORKDAYS.INTL(Table13[[#This Row],[Transaction Date]],Table13[[#This Row],[Today]],)</f>
        <v>470</v>
      </c>
      <c r="I422">
        <f ca="1">NETWORKDAYS(Table13[[#This Row],[Transaction Date]],Table13[[#This Row],[Today]])</f>
        <v>470</v>
      </c>
    </row>
    <row r="423" spans="1:9" x14ac:dyDescent="0.3">
      <c r="A423" t="s">
        <v>65</v>
      </c>
      <c r="B423" t="s">
        <v>66</v>
      </c>
      <c r="C423" s="10" t="s">
        <v>35</v>
      </c>
      <c r="D423" s="16">
        <f t="shared" ca="1" si="24"/>
        <v>45968</v>
      </c>
      <c r="E423" s="14">
        <f t="shared" ca="1" si="21"/>
        <v>45968.535908912039</v>
      </c>
      <c r="F423" s="18">
        <f>EOMONTH(Table13[[#This Row],[Transaction Date]],0)</f>
        <v>45322</v>
      </c>
      <c r="G423" s="20">
        <f ca="1">_xlfn.DAYS(Table13[[#This Row],[Today]],Table13[[#This Row],[Transaction Date]])</f>
        <v>655</v>
      </c>
      <c r="H423">
        <f ca="1">NETWORKDAYS.INTL(Table13[[#This Row],[Transaction Date]],Table13[[#This Row],[Today]],)</f>
        <v>470</v>
      </c>
      <c r="I423">
        <f ca="1">NETWORKDAYS(Table13[[#This Row],[Transaction Date]],Table13[[#This Row],[Today]])</f>
        <v>470</v>
      </c>
    </row>
    <row r="424" spans="1:9" x14ac:dyDescent="0.3">
      <c r="A424" t="s">
        <v>83</v>
      </c>
      <c r="B424" t="s">
        <v>84</v>
      </c>
      <c r="C424" s="10" t="s">
        <v>35</v>
      </c>
      <c r="D424" s="16">
        <f t="shared" ca="1" si="24"/>
        <v>45968</v>
      </c>
      <c r="E424" s="14">
        <f t="shared" ca="1" si="21"/>
        <v>45968.535908912039</v>
      </c>
      <c r="F424" s="18">
        <f>EOMONTH(Table13[[#This Row],[Transaction Date]],0)</f>
        <v>45322</v>
      </c>
      <c r="G424" s="20">
        <f ca="1">_xlfn.DAYS(Table13[[#This Row],[Today]],Table13[[#This Row],[Transaction Date]])</f>
        <v>655</v>
      </c>
      <c r="H424">
        <f ca="1">NETWORKDAYS.INTL(Table13[[#This Row],[Transaction Date]],Table13[[#This Row],[Today]],)</f>
        <v>470</v>
      </c>
      <c r="I424">
        <f ca="1">NETWORKDAYS(Table13[[#This Row],[Transaction Date]],Table13[[#This Row],[Today]])</f>
        <v>470</v>
      </c>
    </row>
    <row r="425" spans="1:9" x14ac:dyDescent="0.3">
      <c r="A425" t="s">
        <v>36</v>
      </c>
      <c r="B425" t="s">
        <v>37</v>
      </c>
      <c r="C425" s="10" t="s">
        <v>35</v>
      </c>
      <c r="D425" s="16">
        <f t="shared" ca="1" si="24"/>
        <v>45968</v>
      </c>
      <c r="E425" s="14">
        <f t="shared" ref="E425:E480" ca="1" si="25">NOW()</f>
        <v>45968.535908912039</v>
      </c>
      <c r="F425" s="18">
        <f>EOMONTH(Table13[[#This Row],[Transaction Date]],0)</f>
        <v>45322</v>
      </c>
      <c r="G425" s="20">
        <f ca="1">_xlfn.DAYS(Table13[[#This Row],[Today]],Table13[[#This Row],[Transaction Date]])</f>
        <v>655</v>
      </c>
      <c r="H425">
        <f ca="1">NETWORKDAYS.INTL(Table13[[#This Row],[Transaction Date]],Table13[[#This Row],[Today]],)</f>
        <v>470</v>
      </c>
      <c r="I425">
        <f ca="1">NETWORKDAYS(Table13[[#This Row],[Transaction Date]],Table13[[#This Row],[Today]])</f>
        <v>470</v>
      </c>
    </row>
    <row r="426" spans="1:9" x14ac:dyDescent="0.3">
      <c r="A426" t="s">
        <v>62</v>
      </c>
      <c r="B426" t="s">
        <v>63</v>
      </c>
      <c r="C426" s="10" t="s">
        <v>35</v>
      </c>
      <c r="D426" s="16">
        <f t="shared" ca="1" si="24"/>
        <v>45968</v>
      </c>
      <c r="E426" s="14">
        <f t="shared" ca="1" si="25"/>
        <v>45968.535908912039</v>
      </c>
      <c r="F426" s="18">
        <f>EOMONTH(Table13[[#This Row],[Transaction Date]],0)</f>
        <v>45322</v>
      </c>
      <c r="G426" s="20">
        <f ca="1">_xlfn.DAYS(Table13[[#This Row],[Today]],Table13[[#This Row],[Transaction Date]])</f>
        <v>655</v>
      </c>
      <c r="H426">
        <f ca="1">NETWORKDAYS.INTL(Table13[[#This Row],[Transaction Date]],Table13[[#This Row],[Today]],)</f>
        <v>470</v>
      </c>
      <c r="I426">
        <f ca="1">NETWORKDAYS(Table13[[#This Row],[Transaction Date]],Table13[[#This Row],[Today]])</f>
        <v>470</v>
      </c>
    </row>
    <row r="427" spans="1:9" x14ac:dyDescent="0.3">
      <c r="A427" t="s">
        <v>31</v>
      </c>
      <c r="B427" t="s">
        <v>32</v>
      </c>
      <c r="C427" s="10" t="s">
        <v>35</v>
      </c>
      <c r="D427" s="16">
        <f t="shared" ca="1" si="24"/>
        <v>45968</v>
      </c>
      <c r="E427" s="14">
        <f t="shared" ca="1" si="25"/>
        <v>45968.535908912039</v>
      </c>
      <c r="F427" s="18">
        <f>EOMONTH(Table13[[#This Row],[Transaction Date]],0)</f>
        <v>45322</v>
      </c>
      <c r="G427" s="20">
        <f ca="1">_xlfn.DAYS(Table13[[#This Row],[Today]],Table13[[#This Row],[Transaction Date]])</f>
        <v>655</v>
      </c>
      <c r="H427">
        <f ca="1">NETWORKDAYS.INTL(Table13[[#This Row],[Transaction Date]],Table13[[#This Row],[Today]],)</f>
        <v>470</v>
      </c>
      <c r="I427">
        <f ca="1">NETWORKDAYS(Table13[[#This Row],[Transaction Date]],Table13[[#This Row],[Today]])</f>
        <v>470</v>
      </c>
    </row>
    <row r="428" spans="1:9" x14ac:dyDescent="0.3">
      <c r="A428" t="s">
        <v>80</v>
      </c>
      <c r="B428" t="s">
        <v>81</v>
      </c>
      <c r="C428" s="10" t="s">
        <v>35</v>
      </c>
      <c r="D428" s="16">
        <f t="shared" ca="1" si="24"/>
        <v>45968</v>
      </c>
      <c r="E428" s="14">
        <f t="shared" ca="1" si="25"/>
        <v>45968.535908912039</v>
      </c>
      <c r="F428" s="18">
        <f>EOMONTH(Table13[[#This Row],[Transaction Date]],0)</f>
        <v>45322</v>
      </c>
      <c r="G428" s="20">
        <f ca="1">_xlfn.DAYS(Table13[[#This Row],[Today]],Table13[[#This Row],[Transaction Date]])</f>
        <v>655</v>
      </c>
      <c r="H428">
        <f ca="1">NETWORKDAYS.INTL(Table13[[#This Row],[Transaction Date]],Table13[[#This Row],[Today]],)</f>
        <v>470</v>
      </c>
      <c r="I428">
        <f ca="1">NETWORKDAYS(Table13[[#This Row],[Transaction Date]],Table13[[#This Row],[Today]])</f>
        <v>470</v>
      </c>
    </row>
    <row r="429" spans="1:9" x14ac:dyDescent="0.3">
      <c r="A429" t="s">
        <v>59</v>
      </c>
      <c r="B429" t="s">
        <v>60</v>
      </c>
      <c r="C429" s="10" t="s">
        <v>35</v>
      </c>
      <c r="D429" s="16">
        <f t="shared" ca="1" si="24"/>
        <v>45968</v>
      </c>
      <c r="E429" s="14">
        <f t="shared" ca="1" si="25"/>
        <v>45968.535908912039</v>
      </c>
      <c r="F429" s="18">
        <f>EOMONTH(Table13[[#This Row],[Transaction Date]],0)</f>
        <v>45322</v>
      </c>
      <c r="G429" s="20">
        <f ca="1">_xlfn.DAYS(Table13[[#This Row],[Today]],Table13[[#This Row],[Transaction Date]])</f>
        <v>655</v>
      </c>
      <c r="H429">
        <f ca="1">NETWORKDAYS.INTL(Table13[[#This Row],[Transaction Date]],Table13[[#This Row],[Today]],)</f>
        <v>470</v>
      </c>
      <c r="I429">
        <f ca="1">NETWORKDAYS(Table13[[#This Row],[Transaction Date]],Table13[[#This Row],[Today]])</f>
        <v>470</v>
      </c>
    </row>
    <row r="430" spans="1:9" x14ac:dyDescent="0.3">
      <c r="A430" t="s">
        <v>24</v>
      </c>
      <c r="B430" t="s">
        <v>25</v>
      </c>
      <c r="C430" s="10" t="s">
        <v>35</v>
      </c>
      <c r="D430" s="16">
        <f t="shared" ca="1" si="24"/>
        <v>45968</v>
      </c>
      <c r="E430" s="14">
        <f t="shared" ca="1" si="25"/>
        <v>45968.535908912039</v>
      </c>
      <c r="F430" s="18">
        <f>EOMONTH(Table13[[#This Row],[Transaction Date]],0)</f>
        <v>45322</v>
      </c>
      <c r="G430" s="20">
        <f ca="1">_xlfn.DAYS(Table13[[#This Row],[Today]],Table13[[#This Row],[Transaction Date]])</f>
        <v>655</v>
      </c>
      <c r="H430">
        <f ca="1">NETWORKDAYS.INTL(Table13[[#This Row],[Transaction Date]],Table13[[#This Row],[Today]],)</f>
        <v>470</v>
      </c>
      <c r="I430">
        <f ca="1">NETWORKDAYS(Table13[[#This Row],[Transaction Date]],Table13[[#This Row],[Today]])</f>
        <v>470</v>
      </c>
    </row>
    <row r="431" spans="1:9" x14ac:dyDescent="0.3">
      <c r="A431" t="s">
        <v>77</v>
      </c>
      <c r="B431" t="s">
        <v>78</v>
      </c>
      <c r="C431" s="10" t="s">
        <v>35</v>
      </c>
      <c r="D431" s="16">
        <f t="shared" ca="1" si="24"/>
        <v>45968</v>
      </c>
      <c r="E431" s="14">
        <f t="shared" ca="1" si="25"/>
        <v>45968.535908912039</v>
      </c>
      <c r="F431" s="18">
        <f>EOMONTH(Table13[[#This Row],[Transaction Date]],0)</f>
        <v>45322</v>
      </c>
      <c r="G431" s="20">
        <f ca="1">_xlfn.DAYS(Table13[[#This Row],[Today]],Table13[[#This Row],[Transaction Date]])</f>
        <v>655</v>
      </c>
      <c r="H431">
        <f ca="1">NETWORKDAYS.INTL(Table13[[#This Row],[Transaction Date]],Table13[[#This Row],[Today]],)</f>
        <v>470</v>
      </c>
      <c r="I431">
        <f ca="1">NETWORKDAYS(Table13[[#This Row],[Transaction Date]],Table13[[#This Row],[Today]])</f>
        <v>470</v>
      </c>
    </row>
    <row r="432" spans="1:9" x14ac:dyDescent="0.3">
      <c r="A432" t="s">
        <v>56</v>
      </c>
      <c r="B432" t="s">
        <v>57</v>
      </c>
      <c r="C432" s="10" t="s">
        <v>35</v>
      </c>
      <c r="D432" s="16">
        <f t="shared" ca="1" si="24"/>
        <v>45968</v>
      </c>
      <c r="E432" s="14">
        <f t="shared" ca="1" si="25"/>
        <v>45968.535908912039</v>
      </c>
      <c r="F432" s="18">
        <f>EOMONTH(Table13[[#This Row],[Transaction Date]],0)</f>
        <v>45322</v>
      </c>
      <c r="G432" s="20">
        <f ca="1">_xlfn.DAYS(Table13[[#This Row],[Today]],Table13[[#This Row],[Transaction Date]])</f>
        <v>655</v>
      </c>
      <c r="H432">
        <f ca="1">NETWORKDAYS.INTL(Table13[[#This Row],[Transaction Date]],Table13[[#This Row],[Today]],)</f>
        <v>470</v>
      </c>
      <c r="I432">
        <f ca="1">NETWORKDAYS(Table13[[#This Row],[Transaction Date]],Table13[[#This Row],[Today]])</f>
        <v>470</v>
      </c>
    </row>
    <row r="433" spans="1:9" x14ac:dyDescent="0.3">
      <c r="A433" t="s">
        <v>74</v>
      </c>
      <c r="B433" t="s">
        <v>75</v>
      </c>
      <c r="C433" s="10" t="s">
        <v>35</v>
      </c>
      <c r="D433" s="16">
        <f t="shared" ca="1" si="24"/>
        <v>45968</v>
      </c>
      <c r="E433" s="14">
        <f t="shared" ca="1" si="25"/>
        <v>45968.535908912039</v>
      </c>
      <c r="F433" s="18">
        <f>EOMONTH(Table13[[#This Row],[Transaction Date]],0)</f>
        <v>45322</v>
      </c>
      <c r="G433" s="20">
        <f ca="1">_xlfn.DAYS(Table13[[#This Row],[Today]],Table13[[#This Row],[Transaction Date]])</f>
        <v>655</v>
      </c>
      <c r="H433">
        <f ca="1">NETWORKDAYS.INTL(Table13[[#This Row],[Transaction Date]],Table13[[#This Row],[Today]],)</f>
        <v>470</v>
      </c>
      <c r="I433">
        <f ca="1">NETWORKDAYS(Table13[[#This Row],[Transaction Date]],Table13[[#This Row],[Today]])</f>
        <v>470</v>
      </c>
    </row>
    <row r="434" spans="1:9" x14ac:dyDescent="0.3">
      <c r="A434" t="s">
        <v>17</v>
      </c>
      <c r="B434" t="s">
        <v>18</v>
      </c>
      <c r="C434" s="10" t="s">
        <v>35</v>
      </c>
      <c r="D434" s="16">
        <f t="shared" ca="1" si="24"/>
        <v>45968</v>
      </c>
      <c r="E434" s="14">
        <f t="shared" ca="1" si="25"/>
        <v>45968.535908912039</v>
      </c>
      <c r="F434" s="18">
        <f>EOMONTH(Table13[[#This Row],[Transaction Date]],0)</f>
        <v>45322</v>
      </c>
      <c r="G434" s="20">
        <f ca="1">_xlfn.DAYS(Table13[[#This Row],[Today]],Table13[[#This Row],[Transaction Date]])</f>
        <v>655</v>
      </c>
      <c r="H434">
        <f ca="1">NETWORKDAYS.INTL(Table13[[#This Row],[Transaction Date]],Table13[[#This Row],[Today]],)</f>
        <v>470</v>
      </c>
      <c r="I434">
        <f ca="1">NETWORKDAYS(Table13[[#This Row],[Transaction Date]],Table13[[#This Row],[Today]])</f>
        <v>470</v>
      </c>
    </row>
    <row r="435" spans="1:9" x14ac:dyDescent="0.3">
      <c r="A435" t="s">
        <v>53</v>
      </c>
      <c r="B435" t="s">
        <v>54</v>
      </c>
      <c r="C435" s="10" t="s">
        <v>35</v>
      </c>
      <c r="D435" s="16">
        <f t="shared" ca="1" si="24"/>
        <v>45968</v>
      </c>
      <c r="E435" s="14">
        <f t="shared" ca="1" si="25"/>
        <v>45968.535908912039</v>
      </c>
      <c r="F435" s="18">
        <f>EOMONTH(Table13[[#This Row],[Transaction Date]],0)</f>
        <v>45322</v>
      </c>
      <c r="G435" s="20">
        <f ca="1">_xlfn.DAYS(Table13[[#This Row],[Today]],Table13[[#This Row],[Transaction Date]])</f>
        <v>655</v>
      </c>
      <c r="H435">
        <f ca="1">NETWORKDAYS.INTL(Table13[[#This Row],[Transaction Date]],Table13[[#This Row],[Today]],)</f>
        <v>470</v>
      </c>
      <c r="I435">
        <f ca="1">NETWORKDAYS(Table13[[#This Row],[Transaction Date]],Table13[[#This Row],[Today]])</f>
        <v>470</v>
      </c>
    </row>
    <row r="436" spans="1:9" x14ac:dyDescent="0.3">
      <c r="A436" t="s">
        <v>71</v>
      </c>
      <c r="B436" t="s">
        <v>72</v>
      </c>
      <c r="C436" s="10" t="s">
        <v>35</v>
      </c>
      <c r="D436" s="16">
        <f t="shared" ca="1" si="24"/>
        <v>45968</v>
      </c>
      <c r="E436" s="14">
        <f t="shared" ca="1" si="25"/>
        <v>45968.535908912039</v>
      </c>
      <c r="F436" s="18">
        <f>EOMONTH(Table13[[#This Row],[Transaction Date]],0)</f>
        <v>45322</v>
      </c>
      <c r="G436" s="20">
        <f ca="1">_xlfn.DAYS(Table13[[#This Row],[Today]],Table13[[#This Row],[Transaction Date]])</f>
        <v>655</v>
      </c>
      <c r="H436">
        <f ca="1">NETWORKDAYS.INTL(Table13[[#This Row],[Transaction Date]],Table13[[#This Row],[Today]],)</f>
        <v>470</v>
      </c>
      <c r="I436">
        <f ca="1">NETWORKDAYS(Table13[[#This Row],[Transaction Date]],Table13[[#This Row],[Today]])</f>
        <v>470</v>
      </c>
    </row>
    <row r="437" spans="1:9" x14ac:dyDescent="0.3">
      <c r="A437" t="s">
        <v>49</v>
      </c>
      <c r="B437" t="s">
        <v>50</v>
      </c>
      <c r="C437" s="10" t="s">
        <v>35</v>
      </c>
      <c r="D437" s="16">
        <f t="shared" ca="1" si="24"/>
        <v>45968</v>
      </c>
      <c r="E437" s="14">
        <f t="shared" ca="1" si="25"/>
        <v>45968.535908912039</v>
      </c>
      <c r="F437" s="18">
        <f>EOMONTH(Table13[[#This Row],[Transaction Date]],0)</f>
        <v>45322</v>
      </c>
      <c r="G437" s="20">
        <f ca="1">_xlfn.DAYS(Table13[[#This Row],[Today]],Table13[[#This Row],[Transaction Date]])</f>
        <v>655</v>
      </c>
      <c r="H437">
        <f ca="1">NETWORKDAYS.INTL(Table13[[#This Row],[Transaction Date]],Table13[[#This Row],[Today]],)</f>
        <v>470</v>
      </c>
      <c r="I437">
        <f ca="1">NETWORKDAYS(Table13[[#This Row],[Transaction Date]],Table13[[#This Row],[Today]])</f>
        <v>470</v>
      </c>
    </row>
    <row r="438" spans="1:9" x14ac:dyDescent="0.3">
      <c r="A438" t="s">
        <v>10</v>
      </c>
      <c r="B438" t="s">
        <v>11</v>
      </c>
      <c r="C438" s="10" t="s">
        <v>35</v>
      </c>
      <c r="D438" s="16">
        <f t="shared" ca="1" si="24"/>
        <v>45968</v>
      </c>
      <c r="E438" s="14">
        <f t="shared" ca="1" si="25"/>
        <v>45968.535908912039</v>
      </c>
      <c r="F438" s="18">
        <f>EOMONTH(Table13[[#This Row],[Transaction Date]],0)</f>
        <v>45322</v>
      </c>
      <c r="G438" s="20">
        <f ca="1">_xlfn.DAYS(Table13[[#This Row],[Today]],Table13[[#This Row],[Transaction Date]])</f>
        <v>655</v>
      </c>
      <c r="H438">
        <f ca="1">NETWORKDAYS.INTL(Table13[[#This Row],[Transaction Date]],Table13[[#This Row],[Today]],)</f>
        <v>470</v>
      </c>
      <c r="I438">
        <f ca="1">NETWORKDAYS(Table13[[#This Row],[Transaction Date]],Table13[[#This Row],[Today]])</f>
        <v>470</v>
      </c>
    </row>
    <row r="439" spans="1:9" x14ac:dyDescent="0.3">
      <c r="A439" t="s">
        <v>68</v>
      </c>
      <c r="B439" t="s">
        <v>69</v>
      </c>
      <c r="C439" s="10" t="s">
        <v>35</v>
      </c>
      <c r="D439" s="16">
        <f t="shared" ca="1" si="24"/>
        <v>45968</v>
      </c>
      <c r="E439" s="14">
        <f t="shared" ca="1" si="25"/>
        <v>45968.535908912039</v>
      </c>
      <c r="F439" s="18">
        <f>EOMONTH(Table13[[#This Row],[Transaction Date]],0)</f>
        <v>45322</v>
      </c>
      <c r="G439" s="20">
        <f ca="1">_xlfn.DAYS(Table13[[#This Row],[Today]],Table13[[#This Row],[Transaction Date]])</f>
        <v>655</v>
      </c>
      <c r="H439">
        <f ca="1">NETWORKDAYS.INTL(Table13[[#This Row],[Transaction Date]],Table13[[#This Row],[Today]],)</f>
        <v>470</v>
      </c>
      <c r="I439">
        <f ca="1">NETWORKDAYS(Table13[[#This Row],[Transaction Date]],Table13[[#This Row],[Today]])</f>
        <v>470</v>
      </c>
    </row>
    <row r="440" spans="1:9" x14ac:dyDescent="0.3">
      <c r="A440" t="s">
        <v>44</v>
      </c>
      <c r="B440" t="s">
        <v>45</v>
      </c>
      <c r="C440" s="10" t="s">
        <v>35</v>
      </c>
      <c r="D440" s="16">
        <f t="shared" ca="1" si="24"/>
        <v>45968</v>
      </c>
      <c r="E440" s="14">
        <f t="shared" ca="1" si="25"/>
        <v>45968.535908912039</v>
      </c>
      <c r="F440" s="18">
        <f>EOMONTH(Table13[[#This Row],[Transaction Date]],0)</f>
        <v>45322</v>
      </c>
      <c r="G440" s="20">
        <f ca="1">_xlfn.DAYS(Table13[[#This Row],[Today]],Table13[[#This Row],[Transaction Date]])</f>
        <v>655</v>
      </c>
      <c r="H440">
        <f ca="1">NETWORKDAYS.INTL(Table13[[#This Row],[Transaction Date]],Table13[[#This Row],[Today]],)</f>
        <v>470</v>
      </c>
      <c r="I440">
        <f ca="1">NETWORKDAYS(Table13[[#This Row],[Transaction Date]],Table13[[#This Row],[Today]])</f>
        <v>470</v>
      </c>
    </row>
    <row r="441" spans="1:9" x14ac:dyDescent="0.3">
      <c r="A441" t="s">
        <v>86</v>
      </c>
      <c r="B441" t="s">
        <v>87</v>
      </c>
      <c r="C441" s="10" t="s">
        <v>35</v>
      </c>
      <c r="D441" s="16">
        <f ca="1">TODAY()</f>
        <v>45968</v>
      </c>
      <c r="E441" s="14">
        <f t="shared" ca="1" si="25"/>
        <v>45968.535908912039</v>
      </c>
      <c r="F441" s="18">
        <f>EOMONTH(Table13[[#This Row],[Transaction Date]],0)</f>
        <v>45322</v>
      </c>
      <c r="G441" s="20">
        <f ca="1">_xlfn.DAYS(Table13[[#This Row],[Today]],Table13[[#This Row],[Transaction Date]])</f>
        <v>655</v>
      </c>
      <c r="H441">
        <f ca="1">NETWORKDAYS.INTL(Table13[[#This Row],[Transaction Date]],Table13[[#This Row],[Today]],)</f>
        <v>470</v>
      </c>
      <c r="I441">
        <f ca="1">NETWORKDAYS(Table13[[#This Row],[Transaction Date]],Table13[[#This Row],[Today]])</f>
        <v>470</v>
      </c>
    </row>
    <row r="442" spans="1:9" x14ac:dyDescent="0.3">
      <c r="A442" t="s">
        <v>40</v>
      </c>
      <c r="B442" t="s">
        <v>41</v>
      </c>
      <c r="C442" s="10" t="s">
        <v>35</v>
      </c>
      <c r="D442" s="16">
        <f t="shared" ref="D442:D460" ca="1" si="26">TODAY()</f>
        <v>45968</v>
      </c>
      <c r="E442" s="14">
        <f t="shared" ca="1" si="25"/>
        <v>45968.535908912039</v>
      </c>
      <c r="F442" s="18">
        <f>EOMONTH(Table13[[#This Row],[Transaction Date]],0)</f>
        <v>45322</v>
      </c>
      <c r="G442" s="20">
        <f ca="1">_xlfn.DAYS(Table13[[#This Row],[Today]],Table13[[#This Row],[Transaction Date]])</f>
        <v>655</v>
      </c>
      <c r="H442">
        <f ca="1">NETWORKDAYS.INTL(Table13[[#This Row],[Transaction Date]],Table13[[#This Row],[Today]],)</f>
        <v>470</v>
      </c>
      <c r="I442">
        <f ca="1">NETWORKDAYS(Table13[[#This Row],[Transaction Date]],Table13[[#This Row],[Today]])</f>
        <v>470</v>
      </c>
    </row>
    <row r="443" spans="1:9" x14ac:dyDescent="0.3">
      <c r="A443" t="s">
        <v>65</v>
      </c>
      <c r="B443" t="s">
        <v>66</v>
      </c>
      <c r="C443" s="10" t="s">
        <v>35</v>
      </c>
      <c r="D443" s="16">
        <f t="shared" ca="1" si="26"/>
        <v>45968</v>
      </c>
      <c r="E443" s="14">
        <f t="shared" ca="1" si="25"/>
        <v>45968.535908912039</v>
      </c>
      <c r="F443" s="18">
        <f>EOMONTH(Table13[[#This Row],[Transaction Date]],0)</f>
        <v>45322</v>
      </c>
      <c r="G443" s="20">
        <f ca="1">_xlfn.DAYS(Table13[[#This Row],[Today]],Table13[[#This Row],[Transaction Date]])</f>
        <v>655</v>
      </c>
      <c r="H443">
        <f ca="1">NETWORKDAYS.INTL(Table13[[#This Row],[Transaction Date]],Table13[[#This Row],[Today]],)</f>
        <v>470</v>
      </c>
      <c r="I443">
        <f ca="1">NETWORKDAYS(Table13[[#This Row],[Transaction Date]],Table13[[#This Row],[Today]])</f>
        <v>470</v>
      </c>
    </row>
    <row r="444" spans="1:9" x14ac:dyDescent="0.3">
      <c r="A444" t="s">
        <v>83</v>
      </c>
      <c r="B444" t="s">
        <v>84</v>
      </c>
      <c r="C444" s="10" t="s">
        <v>35</v>
      </c>
      <c r="D444" s="16">
        <f t="shared" ca="1" si="26"/>
        <v>45968</v>
      </c>
      <c r="E444" s="14">
        <f t="shared" ca="1" si="25"/>
        <v>45968.535908912039</v>
      </c>
      <c r="F444" s="18">
        <f>EOMONTH(Table13[[#This Row],[Transaction Date]],0)</f>
        <v>45322</v>
      </c>
      <c r="G444" s="20">
        <f ca="1">_xlfn.DAYS(Table13[[#This Row],[Today]],Table13[[#This Row],[Transaction Date]])</f>
        <v>655</v>
      </c>
      <c r="H444">
        <f ca="1">NETWORKDAYS.INTL(Table13[[#This Row],[Transaction Date]],Table13[[#This Row],[Today]],)</f>
        <v>470</v>
      </c>
      <c r="I444">
        <f ca="1">NETWORKDAYS(Table13[[#This Row],[Transaction Date]],Table13[[#This Row],[Today]])</f>
        <v>470</v>
      </c>
    </row>
    <row r="445" spans="1:9" x14ac:dyDescent="0.3">
      <c r="A445" t="s">
        <v>36</v>
      </c>
      <c r="B445" t="s">
        <v>37</v>
      </c>
      <c r="C445" s="10" t="s">
        <v>35</v>
      </c>
      <c r="D445" s="16">
        <f t="shared" ca="1" si="26"/>
        <v>45968</v>
      </c>
      <c r="E445" s="14">
        <f t="shared" ca="1" si="25"/>
        <v>45968.535908912039</v>
      </c>
      <c r="F445" s="18">
        <f>EOMONTH(Table13[[#This Row],[Transaction Date]],0)</f>
        <v>45322</v>
      </c>
      <c r="G445" s="20">
        <f ca="1">_xlfn.DAYS(Table13[[#This Row],[Today]],Table13[[#This Row],[Transaction Date]])</f>
        <v>655</v>
      </c>
      <c r="H445">
        <f ca="1">NETWORKDAYS.INTL(Table13[[#This Row],[Transaction Date]],Table13[[#This Row],[Today]],)</f>
        <v>470</v>
      </c>
      <c r="I445">
        <f ca="1">NETWORKDAYS(Table13[[#This Row],[Transaction Date]],Table13[[#This Row],[Today]])</f>
        <v>470</v>
      </c>
    </row>
    <row r="446" spans="1:9" x14ac:dyDescent="0.3">
      <c r="A446" t="s">
        <v>62</v>
      </c>
      <c r="B446" t="s">
        <v>63</v>
      </c>
      <c r="C446" s="10" t="s">
        <v>35</v>
      </c>
      <c r="D446" s="16">
        <f t="shared" ca="1" si="26"/>
        <v>45968</v>
      </c>
      <c r="E446" s="14">
        <f t="shared" ca="1" si="25"/>
        <v>45968.535908912039</v>
      </c>
      <c r="F446" s="18">
        <f>EOMONTH(Table13[[#This Row],[Transaction Date]],0)</f>
        <v>45322</v>
      </c>
      <c r="G446" s="20">
        <f ca="1">_xlfn.DAYS(Table13[[#This Row],[Today]],Table13[[#This Row],[Transaction Date]])</f>
        <v>655</v>
      </c>
      <c r="H446">
        <f ca="1">NETWORKDAYS.INTL(Table13[[#This Row],[Transaction Date]],Table13[[#This Row],[Today]],)</f>
        <v>470</v>
      </c>
      <c r="I446">
        <f ca="1">NETWORKDAYS(Table13[[#This Row],[Transaction Date]],Table13[[#This Row],[Today]])</f>
        <v>470</v>
      </c>
    </row>
    <row r="447" spans="1:9" x14ac:dyDescent="0.3">
      <c r="A447" t="s">
        <v>31</v>
      </c>
      <c r="B447" t="s">
        <v>32</v>
      </c>
      <c r="C447" s="10" t="s">
        <v>35</v>
      </c>
      <c r="D447" s="16">
        <f t="shared" ca="1" si="26"/>
        <v>45968</v>
      </c>
      <c r="E447" s="14">
        <f t="shared" ca="1" si="25"/>
        <v>45968.535908912039</v>
      </c>
      <c r="F447" s="18">
        <f>EOMONTH(Table13[[#This Row],[Transaction Date]],0)</f>
        <v>45322</v>
      </c>
      <c r="G447" s="20">
        <f ca="1">_xlfn.DAYS(Table13[[#This Row],[Today]],Table13[[#This Row],[Transaction Date]])</f>
        <v>655</v>
      </c>
      <c r="H447">
        <f ca="1">NETWORKDAYS.INTL(Table13[[#This Row],[Transaction Date]],Table13[[#This Row],[Today]],)</f>
        <v>470</v>
      </c>
      <c r="I447">
        <f ca="1">NETWORKDAYS(Table13[[#This Row],[Transaction Date]],Table13[[#This Row],[Today]])</f>
        <v>470</v>
      </c>
    </row>
    <row r="448" spans="1:9" x14ac:dyDescent="0.3">
      <c r="A448" t="s">
        <v>80</v>
      </c>
      <c r="B448" t="s">
        <v>81</v>
      </c>
      <c r="C448" s="10" t="s">
        <v>35</v>
      </c>
      <c r="D448" s="16">
        <f t="shared" ca="1" si="26"/>
        <v>45968</v>
      </c>
      <c r="E448" s="14">
        <f t="shared" ca="1" si="25"/>
        <v>45968.535908912039</v>
      </c>
      <c r="F448" s="18">
        <f>EOMONTH(Table13[[#This Row],[Transaction Date]],0)</f>
        <v>45322</v>
      </c>
      <c r="G448" s="20">
        <f ca="1">_xlfn.DAYS(Table13[[#This Row],[Today]],Table13[[#This Row],[Transaction Date]])</f>
        <v>655</v>
      </c>
      <c r="H448">
        <f ca="1">NETWORKDAYS.INTL(Table13[[#This Row],[Transaction Date]],Table13[[#This Row],[Today]],)</f>
        <v>470</v>
      </c>
      <c r="I448">
        <f ca="1">NETWORKDAYS(Table13[[#This Row],[Transaction Date]],Table13[[#This Row],[Today]])</f>
        <v>470</v>
      </c>
    </row>
    <row r="449" spans="1:9" x14ac:dyDescent="0.3">
      <c r="A449" t="s">
        <v>59</v>
      </c>
      <c r="B449" t="s">
        <v>60</v>
      </c>
      <c r="C449" s="10" t="s">
        <v>35</v>
      </c>
      <c r="D449" s="16">
        <f t="shared" ca="1" si="26"/>
        <v>45968</v>
      </c>
      <c r="E449" s="14">
        <f t="shared" ca="1" si="25"/>
        <v>45968.535908912039</v>
      </c>
      <c r="F449" s="18">
        <f>EOMONTH(Table13[[#This Row],[Transaction Date]],0)</f>
        <v>45322</v>
      </c>
      <c r="G449" s="20">
        <f ca="1">_xlfn.DAYS(Table13[[#This Row],[Today]],Table13[[#This Row],[Transaction Date]])</f>
        <v>655</v>
      </c>
      <c r="H449">
        <f ca="1">NETWORKDAYS.INTL(Table13[[#This Row],[Transaction Date]],Table13[[#This Row],[Today]],)</f>
        <v>470</v>
      </c>
      <c r="I449">
        <f ca="1">NETWORKDAYS(Table13[[#This Row],[Transaction Date]],Table13[[#This Row],[Today]])</f>
        <v>470</v>
      </c>
    </row>
    <row r="450" spans="1:9" x14ac:dyDescent="0.3">
      <c r="A450" t="s">
        <v>24</v>
      </c>
      <c r="B450" t="s">
        <v>25</v>
      </c>
      <c r="C450" s="10" t="s">
        <v>35</v>
      </c>
      <c r="D450" s="16">
        <f t="shared" ca="1" si="26"/>
        <v>45968</v>
      </c>
      <c r="E450" s="14">
        <f t="shared" ca="1" si="25"/>
        <v>45968.535908912039</v>
      </c>
      <c r="F450" s="18">
        <f>EOMONTH(Table13[[#This Row],[Transaction Date]],0)</f>
        <v>45322</v>
      </c>
      <c r="G450" s="20">
        <f ca="1">_xlfn.DAYS(Table13[[#This Row],[Today]],Table13[[#This Row],[Transaction Date]])</f>
        <v>655</v>
      </c>
      <c r="H450">
        <f ca="1">NETWORKDAYS.INTL(Table13[[#This Row],[Transaction Date]],Table13[[#This Row],[Today]],)</f>
        <v>470</v>
      </c>
      <c r="I450">
        <f ca="1">NETWORKDAYS(Table13[[#This Row],[Transaction Date]],Table13[[#This Row],[Today]])</f>
        <v>470</v>
      </c>
    </row>
    <row r="451" spans="1:9" x14ac:dyDescent="0.3">
      <c r="A451" t="s">
        <v>77</v>
      </c>
      <c r="B451" t="s">
        <v>78</v>
      </c>
      <c r="C451" s="10" t="s">
        <v>35</v>
      </c>
      <c r="D451" s="16">
        <f t="shared" ca="1" si="26"/>
        <v>45968</v>
      </c>
      <c r="E451" s="14">
        <f t="shared" ca="1" si="25"/>
        <v>45968.535908912039</v>
      </c>
      <c r="F451" s="18">
        <f>EOMONTH(Table13[[#This Row],[Transaction Date]],0)</f>
        <v>45322</v>
      </c>
      <c r="G451" s="20">
        <f ca="1">_xlfn.DAYS(Table13[[#This Row],[Today]],Table13[[#This Row],[Transaction Date]])</f>
        <v>655</v>
      </c>
      <c r="H451">
        <f ca="1">NETWORKDAYS.INTL(Table13[[#This Row],[Transaction Date]],Table13[[#This Row],[Today]],)</f>
        <v>470</v>
      </c>
      <c r="I451">
        <f ca="1">NETWORKDAYS(Table13[[#This Row],[Transaction Date]],Table13[[#This Row],[Today]])</f>
        <v>470</v>
      </c>
    </row>
    <row r="452" spans="1:9" x14ac:dyDescent="0.3">
      <c r="A452" t="s">
        <v>56</v>
      </c>
      <c r="B452" t="s">
        <v>57</v>
      </c>
      <c r="C452" s="10" t="s">
        <v>35</v>
      </c>
      <c r="D452" s="16">
        <f t="shared" ca="1" si="26"/>
        <v>45968</v>
      </c>
      <c r="E452" s="14">
        <f t="shared" ca="1" si="25"/>
        <v>45968.535908912039</v>
      </c>
      <c r="F452" s="18">
        <f>EOMONTH(Table13[[#This Row],[Transaction Date]],0)</f>
        <v>45322</v>
      </c>
      <c r="G452" s="20">
        <f ca="1">_xlfn.DAYS(Table13[[#This Row],[Today]],Table13[[#This Row],[Transaction Date]])</f>
        <v>655</v>
      </c>
      <c r="H452">
        <f ca="1">NETWORKDAYS.INTL(Table13[[#This Row],[Transaction Date]],Table13[[#This Row],[Today]],)</f>
        <v>470</v>
      </c>
      <c r="I452">
        <f ca="1">NETWORKDAYS(Table13[[#This Row],[Transaction Date]],Table13[[#This Row],[Today]])</f>
        <v>470</v>
      </c>
    </row>
    <row r="453" spans="1:9" x14ac:dyDescent="0.3">
      <c r="A453" t="s">
        <v>74</v>
      </c>
      <c r="B453" t="s">
        <v>75</v>
      </c>
      <c r="C453" s="10" t="s">
        <v>35</v>
      </c>
      <c r="D453" s="16">
        <f t="shared" ca="1" si="26"/>
        <v>45968</v>
      </c>
      <c r="E453" s="14">
        <f t="shared" ca="1" si="25"/>
        <v>45968.535908912039</v>
      </c>
      <c r="F453" s="18">
        <f>EOMONTH(Table13[[#This Row],[Transaction Date]],0)</f>
        <v>45322</v>
      </c>
      <c r="G453" s="20">
        <f ca="1">_xlfn.DAYS(Table13[[#This Row],[Today]],Table13[[#This Row],[Transaction Date]])</f>
        <v>655</v>
      </c>
      <c r="H453">
        <f ca="1">NETWORKDAYS.INTL(Table13[[#This Row],[Transaction Date]],Table13[[#This Row],[Today]],)</f>
        <v>470</v>
      </c>
      <c r="I453">
        <f ca="1">NETWORKDAYS(Table13[[#This Row],[Transaction Date]],Table13[[#This Row],[Today]])</f>
        <v>470</v>
      </c>
    </row>
    <row r="454" spans="1:9" x14ac:dyDescent="0.3">
      <c r="A454" t="s">
        <v>17</v>
      </c>
      <c r="B454" t="s">
        <v>18</v>
      </c>
      <c r="C454" s="10" t="s">
        <v>35</v>
      </c>
      <c r="D454" s="16">
        <f t="shared" ca="1" si="26"/>
        <v>45968</v>
      </c>
      <c r="E454" s="14">
        <f t="shared" ca="1" si="25"/>
        <v>45968.535908912039</v>
      </c>
      <c r="F454" s="18">
        <f>EOMONTH(Table13[[#This Row],[Transaction Date]],0)</f>
        <v>45322</v>
      </c>
      <c r="G454" s="20">
        <f ca="1">_xlfn.DAYS(Table13[[#This Row],[Today]],Table13[[#This Row],[Transaction Date]])</f>
        <v>655</v>
      </c>
      <c r="H454">
        <f ca="1">NETWORKDAYS.INTL(Table13[[#This Row],[Transaction Date]],Table13[[#This Row],[Today]],)</f>
        <v>470</v>
      </c>
      <c r="I454">
        <f ca="1">NETWORKDAYS(Table13[[#This Row],[Transaction Date]],Table13[[#This Row],[Today]])</f>
        <v>470</v>
      </c>
    </row>
    <row r="455" spans="1:9" x14ac:dyDescent="0.3">
      <c r="A455" t="s">
        <v>53</v>
      </c>
      <c r="B455" t="s">
        <v>54</v>
      </c>
      <c r="C455" s="10" t="s">
        <v>35</v>
      </c>
      <c r="D455" s="16">
        <f t="shared" ca="1" si="26"/>
        <v>45968</v>
      </c>
      <c r="E455" s="14">
        <f t="shared" ca="1" si="25"/>
        <v>45968.535908912039</v>
      </c>
      <c r="F455" s="18">
        <f>EOMONTH(Table13[[#This Row],[Transaction Date]],0)</f>
        <v>45322</v>
      </c>
      <c r="G455" s="20">
        <f ca="1">_xlfn.DAYS(Table13[[#This Row],[Today]],Table13[[#This Row],[Transaction Date]])</f>
        <v>655</v>
      </c>
      <c r="H455">
        <f ca="1">NETWORKDAYS.INTL(Table13[[#This Row],[Transaction Date]],Table13[[#This Row],[Today]],)</f>
        <v>470</v>
      </c>
      <c r="I455">
        <f ca="1">NETWORKDAYS(Table13[[#This Row],[Transaction Date]],Table13[[#This Row],[Today]])</f>
        <v>470</v>
      </c>
    </row>
    <row r="456" spans="1:9" x14ac:dyDescent="0.3">
      <c r="A456" t="s">
        <v>71</v>
      </c>
      <c r="B456" t="s">
        <v>72</v>
      </c>
      <c r="C456" s="10" t="s">
        <v>35</v>
      </c>
      <c r="D456" s="16">
        <f t="shared" ca="1" si="26"/>
        <v>45968</v>
      </c>
      <c r="E456" s="14">
        <f t="shared" ca="1" si="25"/>
        <v>45968.535908912039</v>
      </c>
      <c r="F456" s="18">
        <f>EOMONTH(Table13[[#This Row],[Transaction Date]],0)</f>
        <v>45322</v>
      </c>
      <c r="G456" s="20">
        <f ca="1">_xlfn.DAYS(Table13[[#This Row],[Today]],Table13[[#This Row],[Transaction Date]])</f>
        <v>655</v>
      </c>
      <c r="H456">
        <f ca="1">NETWORKDAYS.INTL(Table13[[#This Row],[Transaction Date]],Table13[[#This Row],[Today]],)</f>
        <v>470</v>
      </c>
      <c r="I456">
        <f ca="1">NETWORKDAYS(Table13[[#This Row],[Transaction Date]],Table13[[#This Row],[Today]])</f>
        <v>470</v>
      </c>
    </row>
    <row r="457" spans="1:9" x14ac:dyDescent="0.3">
      <c r="A457" t="s">
        <v>49</v>
      </c>
      <c r="B457" t="s">
        <v>50</v>
      </c>
      <c r="C457" s="10" t="s">
        <v>35</v>
      </c>
      <c r="D457" s="16">
        <f t="shared" ca="1" si="26"/>
        <v>45968</v>
      </c>
      <c r="E457" s="14">
        <f t="shared" ca="1" si="25"/>
        <v>45968.535908912039</v>
      </c>
      <c r="F457" s="18">
        <f>EOMONTH(Table13[[#This Row],[Transaction Date]],0)</f>
        <v>45322</v>
      </c>
      <c r="G457" s="20">
        <f ca="1">_xlfn.DAYS(Table13[[#This Row],[Today]],Table13[[#This Row],[Transaction Date]])</f>
        <v>655</v>
      </c>
      <c r="H457">
        <f ca="1">NETWORKDAYS.INTL(Table13[[#This Row],[Transaction Date]],Table13[[#This Row],[Today]],)</f>
        <v>470</v>
      </c>
      <c r="I457">
        <f ca="1">NETWORKDAYS(Table13[[#This Row],[Transaction Date]],Table13[[#This Row],[Today]])</f>
        <v>470</v>
      </c>
    </row>
    <row r="458" spans="1:9" x14ac:dyDescent="0.3">
      <c r="A458" t="s">
        <v>10</v>
      </c>
      <c r="B458" t="s">
        <v>11</v>
      </c>
      <c r="C458" s="10" t="s">
        <v>35</v>
      </c>
      <c r="D458" s="16">
        <f t="shared" ca="1" si="26"/>
        <v>45968</v>
      </c>
      <c r="E458" s="14">
        <f t="shared" ca="1" si="25"/>
        <v>45968.535908912039</v>
      </c>
      <c r="F458" s="18">
        <f>EOMONTH(Table13[[#This Row],[Transaction Date]],0)</f>
        <v>45322</v>
      </c>
      <c r="G458" s="20">
        <f ca="1">_xlfn.DAYS(Table13[[#This Row],[Today]],Table13[[#This Row],[Transaction Date]])</f>
        <v>655</v>
      </c>
      <c r="H458">
        <f ca="1">NETWORKDAYS.INTL(Table13[[#This Row],[Transaction Date]],Table13[[#This Row],[Today]],)</f>
        <v>470</v>
      </c>
      <c r="I458">
        <f ca="1">NETWORKDAYS(Table13[[#This Row],[Transaction Date]],Table13[[#This Row],[Today]])</f>
        <v>470</v>
      </c>
    </row>
    <row r="459" spans="1:9" x14ac:dyDescent="0.3">
      <c r="A459" t="s">
        <v>68</v>
      </c>
      <c r="B459" t="s">
        <v>69</v>
      </c>
      <c r="C459" s="10" t="s">
        <v>35</v>
      </c>
      <c r="D459" s="16">
        <f t="shared" ca="1" si="26"/>
        <v>45968</v>
      </c>
      <c r="E459" s="14">
        <f t="shared" ca="1" si="25"/>
        <v>45968.535908912039</v>
      </c>
      <c r="F459" s="18">
        <f>EOMONTH(Table13[[#This Row],[Transaction Date]],0)</f>
        <v>45322</v>
      </c>
      <c r="G459" s="20">
        <f ca="1">_xlfn.DAYS(Table13[[#This Row],[Today]],Table13[[#This Row],[Transaction Date]])</f>
        <v>655</v>
      </c>
      <c r="H459">
        <f ca="1">NETWORKDAYS.INTL(Table13[[#This Row],[Transaction Date]],Table13[[#This Row],[Today]],)</f>
        <v>470</v>
      </c>
      <c r="I459">
        <f ca="1">NETWORKDAYS(Table13[[#This Row],[Transaction Date]],Table13[[#This Row],[Today]])</f>
        <v>470</v>
      </c>
    </row>
    <row r="460" spans="1:9" x14ac:dyDescent="0.3">
      <c r="A460" t="s">
        <v>44</v>
      </c>
      <c r="B460" t="s">
        <v>45</v>
      </c>
      <c r="C460" s="10" t="s">
        <v>35</v>
      </c>
      <c r="D460" s="16">
        <f t="shared" ca="1" si="26"/>
        <v>45968</v>
      </c>
      <c r="E460" s="14">
        <f t="shared" ca="1" si="25"/>
        <v>45968.535908912039</v>
      </c>
      <c r="F460" s="18">
        <f>EOMONTH(Table13[[#This Row],[Transaction Date]],0)</f>
        <v>45322</v>
      </c>
      <c r="G460" s="20">
        <f ca="1">_xlfn.DAYS(Table13[[#This Row],[Today]],Table13[[#This Row],[Transaction Date]])</f>
        <v>655</v>
      </c>
      <c r="H460">
        <f ca="1">NETWORKDAYS.INTL(Table13[[#This Row],[Transaction Date]],Table13[[#This Row],[Today]],)</f>
        <v>470</v>
      </c>
      <c r="I460">
        <f ca="1">NETWORKDAYS(Table13[[#This Row],[Transaction Date]],Table13[[#This Row],[Today]])</f>
        <v>470</v>
      </c>
    </row>
    <row r="461" spans="1:9" x14ac:dyDescent="0.3">
      <c r="A461" t="s">
        <v>86</v>
      </c>
      <c r="B461" t="s">
        <v>87</v>
      </c>
      <c r="C461" s="10" t="s">
        <v>35</v>
      </c>
      <c r="D461" s="16">
        <f ca="1">TODAY()</f>
        <v>45968</v>
      </c>
      <c r="E461" s="14">
        <f t="shared" ca="1" si="25"/>
        <v>45968.535908912039</v>
      </c>
      <c r="F461" s="18">
        <f>EOMONTH(Table13[[#This Row],[Transaction Date]],0)</f>
        <v>45322</v>
      </c>
      <c r="G461" s="20">
        <f ca="1">_xlfn.DAYS(Table13[[#This Row],[Today]],Table13[[#This Row],[Transaction Date]])</f>
        <v>655</v>
      </c>
      <c r="H461">
        <f ca="1">NETWORKDAYS.INTL(Table13[[#This Row],[Transaction Date]],Table13[[#This Row],[Today]],)</f>
        <v>470</v>
      </c>
      <c r="I461">
        <f ca="1">NETWORKDAYS(Table13[[#This Row],[Transaction Date]],Table13[[#This Row],[Today]])</f>
        <v>470</v>
      </c>
    </row>
    <row r="462" spans="1:9" x14ac:dyDescent="0.3">
      <c r="A462" t="s">
        <v>40</v>
      </c>
      <c r="B462" t="s">
        <v>41</v>
      </c>
      <c r="C462" s="10" t="s">
        <v>35</v>
      </c>
      <c r="D462" s="16">
        <f t="shared" ref="D462:D480" ca="1" si="27">TODAY()</f>
        <v>45968</v>
      </c>
      <c r="E462" s="14">
        <f t="shared" ca="1" si="25"/>
        <v>45968.535908912039</v>
      </c>
      <c r="F462" s="18">
        <f>EOMONTH(Table13[[#This Row],[Transaction Date]],0)</f>
        <v>45322</v>
      </c>
      <c r="G462" s="20">
        <f ca="1">_xlfn.DAYS(Table13[[#This Row],[Today]],Table13[[#This Row],[Transaction Date]])</f>
        <v>655</v>
      </c>
      <c r="H462">
        <f ca="1">NETWORKDAYS.INTL(Table13[[#This Row],[Transaction Date]],Table13[[#This Row],[Today]],)</f>
        <v>470</v>
      </c>
      <c r="I462">
        <f ca="1">NETWORKDAYS(Table13[[#This Row],[Transaction Date]],Table13[[#This Row],[Today]])</f>
        <v>470</v>
      </c>
    </row>
    <row r="463" spans="1:9" x14ac:dyDescent="0.3">
      <c r="A463" t="s">
        <v>65</v>
      </c>
      <c r="B463" t="s">
        <v>66</v>
      </c>
      <c r="C463" s="10" t="s">
        <v>35</v>
      </c>
      <c r="D463" s="16">
        <f t="shared" ca="1" si="27"/>
        <v>45968</v>
      </c>
      <c r="E463" s="14">
        <f t="shared" ca="1" si="25"/>
        <v>45968.535908912039</v>
      </c>
      <c r="F463" s="18">
        <f>EOMONTH(Table13[[#This Row],[Transaction Date]],0)</f>
        <v>45322</v>
      </c>
      <c r="G463" s="20">
        <f ca="1">_xlfn.DAYS(Table13[[#This Row],[Today]],Table13[[#This Row],[Transaction Date]])</f>
        <v>655</v>
      </c>
      <c r="H463">
        <f ca="1">NETWORKDAYS.INTL(Table13[[#This Row],[Transaction Date]],Table13[[#This Row],[Today]],)</f>
        <v>470</v>
      </c>
      <c r="I463">
        <f ca="1">NETWORKDAYS(Table13[[#This Row],[Transaction Date]],Table13[[#This Row],[Today]])</f>
        <v>470</v>
      </c>
    </row>
    <row r="464" spans="1:9" x14ac:dyDescent="0.3">
      <c r="A464" t="s">
        <v>83</v>
      </c>
      <c r="B464" t="s">
        <v>84</v>
      </c>
      <c r="C464" s="10" t="s">
        <v>35</v>
      </c>
      <c r="D464" s="16">
        <f t="shared" ca="1" si="27"/>
        <v>45968</v>
      </c>
      <c r="E464" s="14">
        <f t="shared" ca="1" si="25"/>
        <v>45968.535908912039</v>
      </c>
      <c r="F464" s="18">
        <f>EOMONTH(Table13[[#This Row],[Transaction Date]],0)</f>
        <v>45322</v>
      </c>
      <c r="G464" s="20">
        <f ca="1">_xlfn.DAYS(Table13[[#This Row],[Today]],Table13[[#This Row],[Transaction Date]])</f>
        <v>655</v>
      </c>
      <c r="H464">
        <f ca="1">NETWORKDAYS.INTL(Table13[[#This Row],[Transaction Date]],Table13[[#This Row],[Today]],)</f>
        <v>470</v>
      </c>
      <c r="I464">
        <f ca="1">NETWORKDAYS(Table13[[#This Row],[Transaction Date]],Table13[[#This Row],[Today]])</f>
        <v>470</v>
      </c>
    </row>
    <row r="465" spans="1:9" x14ac:dyDescent="0.3">
      <c r="A465" t="s">
        <v>36</v>
      </c>
      <c r="B465" t="s">
        <v>37</v>
      </c>
      <c r="C465" s="10" t="s">
        <v>35</v>
      </c>
      <c r="D465" s="16">
        <f t="shared" ca="1" si="27"/>
        <v>45968</v>
      </c>
      <c r="E465" s="14">
        <f t="shared" ca="1" si="25"/>
        <v>45968.535908912039</v>
      </c>
      <c r="F465" s="18">
        <f>EOMONTH(Table13[[#This Row],[Transaction Date]],0)</f>
        <v>45322</v>
      </c>
      <c r="G465" s="20">
        <f ca="1">_xlfn.DAYS(Table13[[#This Row],[Today]],Table13[[#This Row],[Transaction Date]])</f>
        <v>655</v>
      </c>
      <c r="H465">
        <f ca="1">NETWORKDAYS.INTL(Table13[[#This Row],[Transaction Date]],Table13[[#This Row],[Today]],)</f>
        <v>470</v>
      </c>
      <c r="I465">
        <f ca="1">NETWORKDAYS(Table13[[#This Row],[Transaction Date]],Table13[[#This Row],[Today]])</f>
        <v>470</v>
      </c>
    </row>
    <row r="466" spans="1:9" x14ac:dyDescent="0.3">
      <c r="A466" t="s">
        <v>62</v>
      </c>
      <c r="B466" t="s">
        <v>63</v>
      </c>
      <c r="C466" s="10" t="s">
        <v>35</v>
      </c>
      <c r="D466" s="16">
        <f t="shared" ca="1" si="27"/>
        <v>45968</v>
      </c>
      <c r="E466" s="14">
        <f t="shared" ca="1" si="25"/>
        <v>45968.535908912039</v>
      </c>
      <c r="F466" s="18">
        <f>EOMONTH(Table13[[#This Row],[Transaction Date]],0)</f>
        <v>45322</v>
      </c>
      <c r="G466" s="20">
        <f ca="1">_xlfn.DAYS(Table13[[#This Row],[Today]],Table13[[#This Row],[Transaction Date]])</f>
        <v>655</v>
      </c>
      <c r="H466">
        <f ca="1">NETWORKDAYS.INTL(Table13[[#This Row],[Transaction Date]],Table13[[#This Row],[Today]],)</f>
        <v>470</v>
      </c>
      <c r="I466">
        <f ca="1">NETWORKDAYS(Table13[[#This Row],[Transaction Date]],Table13[[#This Row],[Today]])</f>
        <v>470</v>
      </c>
    </row>
    <row r="467" spans="1:9" x14ac:dyDescent="0.3">
      <c r="A467" t="s">
        <v>31</v>
      </c>
      <c r="B467" t="s">
        <v>32</v>
      </c>
      <c r="C467" s="10" t="s">
        <v>35</v>
      </c>
      <c r="D467" s="16">
        <f t="shared" ca="1" si="27"/>
        <v>45968</v>
      </c>
      <c r="E467" s="14">
        <f t="shared" ca="1" si="25"/>
        <v>45968.535908912039</v>
      </c>
      <c r="F467" s="18">
        <f>EOMONTH(Table13[[#This Row],[Transaction Date]],0)</f>
        <v>45322</v>
      </c>
      <c r="G467" s="20">
        <f ca="1">_xlfn.DAYS(Table13[[#This Row],[Today]],Table13[[#This Row],[Transaction Date]])</f>
        <v>655</v>
      </c>
      <c r="H467">
        <f ca="1">NETWORKDAYS.INTL(Table13[[#This Row],[Transaction Date]],Table13[[#This Row],[Today]],)</f>
        <v>470</v>
      </c>
      <c r="I467">
        <f ca="1">NETWORKDAYS(Table13[[#This Row],[Transaction Date]],Table13[[#This Row],[Today]])</f>
        <v>470</v>
      </c>
    </row>
    <row r="468" spans="1:9" x14ac:dyDescent="0.3">
      <c r="A468" t="s">
        <v>80</v>
      </c>
      <c r="B468" t="s">
        <v>81</v>
      </c>
      <c r="C468" s="10" t="s">
        <v>35</v>
      </c>
      <c r="D468" s="16">
        <f t="shared" ca="1" si="27"/>
        <v>45968</v>
      </c>
      <c r="E468" s="14">
        <f t="shared" ca="1" si="25"/>
        <v>45968.535908912039</v>
      </c>
      <c r="F468" s="18">
        <f>EOMONTH(Table13[[#This Row],[Transaction Date]],0)</f>
        <v>45322</v>
      </c>
      <c r="G468" s="20">
        <f ca="1">_xlfn.DAYS(Table13[[#This Row],[Today]],Table13[[#This Row],[Transaction Date]])</f>
        <v>655</v>
      </c>
      <c r="H468">
        <f ca="1">NETWORKDAYS.INTL(Table13[[#This Row],[Transaction Date]],Table13[[#This Row],[Today]],)</f>
        <v>470</v>
      </c>
      <c r="I468">
        <f ca="1">NETWORKDAYS(Table13[[#This Row],[Transaction Date]],Table13[[#This Row],[Today]])</f>
        <v>470</v>
      </c>
    </row>
    <row r="469" spans="1:9" x14ac:dyDescent="0.3">
      <c r="A469" t="s">
        <v>59</v>
      </c>
      <c r="B469" t="s">
        <v>60</v>
      </c>
      <c r="C469" s="10" t="s">
        <v>35</v>
      </c>
      <c r="D469" s="16">
        <f t="shared" ca="1" si="27"/>
        <v>45968</v>
      </c>
      <c r="E469" s="14">
        <f t="shared" ca="1" si="25"/>
        <v>45968.535908912039</v>
      </c>
      <c r="F469" s="18">
        <f>EOMONTH(Table13[[#This Row],[Transaction Date]],0)</f>
        <v>45322</v>
      </c>
      <c r="G469" s="20">
        <f ca="1">_xlfn.DAYS(Table13[[#This Row],[Today]],Table13[[#This Row],[Transaction Date]])</f>
        <v>655</v>
      </c>
      <c r="H469">
        <f ca="1">NETWORKDAYS.INTL(Table13[[#This Row],[Transaction Date]],Table13[[#This Row],[Today]],)</f>
        <v>470</v>
      </c>
      <c r="I469">
        <f ca="1">NETWORKDAYS(Table13[[#This Row],[Transaction Date]],Table13[[#This Row],[Today]])</f>
        <v>470</v>
      </c>
    </row>
    <row r="470" spans="1:9" x14ac:dyDescent="0.3">
      <c r="A470" t="s">
        <v>24</v>
      </c>
      <c r="B470" t="s">
        <v>25</v>
      </c>
      <c r="C470" s="10" t="s">
        <v>35</v>
      </c>
      <c r="D470" s="16">
        <f t="shared" ca="1" si="27"/>
        <v>45968</v>
      </c>
      <c r="E470" s="14">
        <f t="shared" ca="1" si="25"/>
        <v>45968.535908912039</v>
      </c>
      <c r="F470" s="18">
        <f>EOMONTH(Table13[[#This Row],[Transaction Date]],0)</f>
        <v>45322</v>
      </c>
      <c r="G470" s="20">
        <f ca="1">_xlfn.DAYS(Table13[[#This Row],[Today]],Table13[[#This Row],[Transaction Date]])</f>
        <v>655</v>
      </c>
      <c r="H470">
        <f ca="1">NETWORKDAYS.INTL(Table13[[#This Row],[Transaction Date]],Table13[[#This Row],[Today]],)</f>
        <v>470</v>
      </c>
      <c r="I470">
        <f ca="1">NETWORKDAYS(Table13[[#This Row],[Transaction Date]],Table13[[#This Row],[Today]])</f>
        <v>470</v>
      </c>
    </row>
    <row r="471" spans="1:9" x14ac:dyDescent="0.3">
      <c r="A471" t="s">
        <v>77</v>
      </c>
      <c r="B471" t="s">
        <v>78</v>
      </c>
      <c r="C471" s="10" t="s">
        <v>35</v>
      </c>
      <c r="D471" s="16">
        <f t="shared" ca="1" si="27"/>
        <v>45968</v>
      </c>
      <c r="E471" s="14">
        <f t="shared" ca="1" si="25"/>
        <v>45968.535908912039</v>
      </c>
      <c r="F471" s="18">
        <f>EOMONTH(Table13[[#This Row],[Transaction Date]],0)</f>
        <v>45322</v>
      </c>
      <c r="G471" s="20">
        <f ca="1">_xlfn.DAYS(Table13[[#This Row],[Today]],Table13[[#This Row],[Transaction Date]])</f>
        <v>655</v>
      </c>
      <c r="H471">
        <f ca="1">NETWORKDAYS.INTL(Table13[[#This Row],[Transaction Date]],Table13[[#This Row],[Today]],)</f>
        <v>470</v>
      </c>
      <c r="I471">
        <f ca="1">NETWORKDAYS(Table13[[#This Row],[Transaction Date]],Table13[[#This Row],[Today]])</f>
        <v>470</v>
      </c>
    </row>
    <row r="472" spans="1:9" x14ac:dyDescent="0.3">
      <c r="A472" t="s">
        <v>56</v>
      </c>
      <c r="B472" t="s">
        <v>57</v>
      </c>
      <c r="C472" s="10" t="s">
        <v>35</v>
      </c>
      <c r="D472" s="16">
        <f t="shared" ca="1" si="27"/>
        <v>45968</v>
      </c>
      <c r="E472" s="14">
        <f t="shared" ca="1" si="25"/>
        <v>45968.535908912039</v>
      </c>
      <c r="F472" s="18">
        <f>EOMONTH(Table13[[#This Row],[Transaction Date]],0)</f>
        <v>45322</v>
      </c>
      <c r="G472" s="20">
        <f ca="1">_xlfn.DAYS(Table13[[#This Row],[Today]],Table13[[#This Row],[Transaction Date]])</f>
        <v>655</v>
      </c>
      <c r="H472">
        <f ca="1">NETWORKDAYS.INTL(Table13[[#This Row],[Transaction Date]],Table13[[#This Row],[Today]],)</f>
        <v>470</v>
      </c>
      <c r="I472">
        <f ca="1">NETWORKDAYS(Table13[[#This Row],[Transaction Date]],Table13[[#This Row],[Today]])</f>
        <v>470</v>
      </c>
    </row>
    <row r="473" spans="1:9" x14ac:dyDescent="0.3">
      <c r="A473" t="s">
        <v>74</v>
      </c>
      <c r="B473" t="s">
        <v>75</v>
      </c>
      <c r="C473" s="10" t="s">
        <v>35</v>
      </c>
      <c r="D473" s="16">
        <f t="shared" ca="1" si="27"/>
        <v>45968</v>
      </c>
      <c r="E473" s="14">
        <f t="shared" ca="1" si="25"/>
        <v>45968.535908912039</v>
      </c>
      <c r="F473" s="18">
        <f>EOMONTH(Table13[[#This Row],[Transaction Date]],0)</f>
        <v>45322</v>
      </c>
      <c r="G473" s="20">
        <f ca="1">_xlfn.DAYS(Table13[[#This Row],[Today]],Table13[[#This Row],[Transaction Date]])</f>
        <v>655</v>
      </c>
      <c r="H473">
        <f ca="1">NETWORKDAYS.INTL(Table13[[#This Row],[Transaction Date]],Table13[[#This Row],[Today]],)</f>
        <v>470</v>
      </c>
      <c r="I473">
        <f ca="1">NETWORKDAYS(Table13[[#This Row],[Transaction Date]],Table13[[#This Row],[Today]])</f>
        <v>470</v>
      </c>
    </row>
    <row r="474" spans="1:9" x14ac:dyDescent="0.3">
      <c r="A474" t="s">
        <v>17</v>
      </c>
      <c r="B474" t="s">
        <v>18</v>
      </c>
      <c r="C474" s="10" t="s">
        <v>35</v>
      </c>
      <c r="D474" s="16">
        <f t="shared" ca="1" si="27"/>
        <v>45968</v>
      </c>
      <c r="E474" s="14">
        <f t="shared" ca="1" si="25"/>
        <v>45968.535908912039</v>
      </c>
      <c r="F474" s="18">
        <f>EOMONTH(Table13[[#This Row],[Transaction Date]],0)</f>
        <v>45322</v>
      </c>
      <c r="G474" s="20">
        <f ca="1">_xlfn.DAYS(Table13[[#This Row],[Today]],Table13[[#This Row],[Transaction Date]])</f>
        <v>655</v>
      </c>
      <c r="H474">
        <f ca="1">NETWORKDAYS.INTL(Table13[[#This Row],[Transaction Date]],Table13[[#This Row],[Today]],)</f>
        <v>470</v>
      </c>
      <c r="I474">
        <f ca="1">NETWORKDAYS(Table13[[#This Row],[Transaction Date]],Table13[[#This Row],[Today]])</f>
        <v>470</v>
      </c>
    </row>
    <row r="475" spans="1:9" x14ac:dyDescent="0.3">
      <c r="A475" t="s">
        <v>53</v>
      </c>
      <c r="B475" t="s">
        <v>54</v>
      </c>
      <c r="C475" s="10" t="s">
        <v>35</v>
      </c>
      <c r="D475" s="16">
        <f t="shared" ca="1" si="27"/>
        <v>45968</v>
      </c>
      <c r="E475" s="14">
        <f t="shared" ca="1" si="25"/>
        <v>45968.535908912039</v>
      </c>
      <c r="F475" s="18">
        <f>EOMONTH(Table13[[#This Row],[Transaction Date]],0)</f>
        <v>45322</v>
      </c>
      <c r="G475" s="20">
        <f ca="1">_xlfn.DAYS(Table13[[#This Row],[Today]],Table13[[#This Row],[Transaction Date]])</f>
        <v>655</v>
      </c>
      <c r="H475">
        <f ca="1">NETWORKDAYS.INTL(Table13[[#This Row],[Transaction Date]],Table13[[#This Row],[Today]],)</f>
        <v>470</v>
      </c>
      <c r="I475">
        <f ca="1">NETWORKDAYS(Table13[[#This Row],[Transaction Date]],Table13[[#This Row],[Today]])</f>
        <v>470</v>
      </c>
    </row>
    <row r="476" spans="1:9" x14ac:dyDescent="0.3">
      <c r="A476" t="s">
        <v>71</v>
      </c>
      <c r="B476" t="s">
        <v>72</v>
      </c>
      <c r="C476" s="10" t="s">
        <v>35</v>
      </c>
      <c r="D476" s="16">
        <f t="shared" ca="1" si="27"/>
        <v>45968</v>
      </c>
      <c r="E476" s="14">
        <f t="shared" ca="1" si="25"/>
        <v>45968.535908912039</v>
      </c>
      <c r="F476" s="18">
        <f>EOMONTH(Table13[[#This Row],[Transaction Date]],0)</f>
        <v>45322</v>
      </c>
      <c r="G476" s="20">
        <f ca="1">_xlfn.DAYS(Table13[[#This Row],[Today]],Table13[[#This Row],[Transaction Date]])</f>
        <v>655</v>
      </c>
      <c r="H476">
        <f ca="1">NETWORKDAYS.INTL(Table13[[#This Row],[Transaction Date]],Table13[[#This Row],[Today]],)</f>
        <v>470</v>
      </c>
      <c r="I476">
        <f ca="1">NETWORKDAYS(Table13[[#This Row],[Transaction Date]],Table13[[#This Row],[Today]])</f>
        <v>470</v>
      </c>
    </row>
    <row r="477" spans="1:9" x14ac:dyDescent="0.3">
      <c r="A477" t="s">
        <v>49</v>
      </c>
      <c r="B477" t="s">
        <v>50</v>
      </c>
      <c r="C477" s="10" t="s">
        <v>35</v>
      </c>
      <c r="D477" s="16">
        <f t="shared" ca="1" si="27"/>
        <v>45968</v>
      </c>
      <c r="E477" s="14">
        <f t="shared" ca="1" si="25"/>
        <v>45968.535908912039</v>
      </c>
      <c r="F477" s="18">
        <f>EOMONTH(Table13[[#This Row],[Transaction Date]],0)</f>
        <v>45322</v>
      </c>
      <c r="G477" s="20">
        <f ca="1">_xlfn.DAYS(Table13[[#This Row],[Today]],Table13[[#This Row],[Transaction Date]])</f>
        <v>655</v>
      </c>
      <c r="H477">
        <f ca="1">NETWORKDAYS.INTL(Table13[[#This Row],[Transaction Date]],Table13[[#This Row],[Today]],)</f>
        <v>470</v>
      </c>
      <c r="I477">
        <f ca="1">NETWORKDAYS(Table13[[#This Row],[Transaction Date]],Table13[[#This Row],[Today]])</f>
        <v>470</v>
      </c>
    </row>
    <row r="478" spans="1:9" x14ac:dyDescent="0.3">
      <c r="A478" t="s">
        <v>10</v>
      </c>
      <c r="B478" t="s">
        <v>11</v>
      </c>
      <c r="C478" s="10" t="s">
        <v>35</v>
      </c>
      <c r="D478" s="16">
        <f t="shared" ca="1" si="27"/>
        <v>45968</v>
      </c>
      <c r="E478" s="14">
        <f t="shared" ca="1" si="25"/>
        <v>45968.535908912039</v>
      </c>
      <c r="F478" s="18">
        <f>EOMONTH(Table13[[#This Row],[Transaction Date]],0)</f>
        <v>45322</v>
      </c>
      <c r="G478" s="20">
        <f ca="1">_xlfn.DAYS(Table13[[#This Row],[Today]],Table13[[#This Row],[Transaction Date]])</f>
        <v>655</v>
      </c>
      <c r="H478">
        <f ca="1">NETWORKDAYS.INTL(Table13[[#This Row],[Transaction Date]],Table13[[#This Row],[Today]],)</f>
        <v>470</v>
      </c>
      <c r="I478">
        <f ca="1">NETWORKDAYS(Table13[[#This Row],[Transaction Date]],Table13[[#This Row],[Today]])</f>
        <v>470</v>
      </c>
    </row>
    <row r="479" spans="1:9" x14ac:dyDescent="0.3">
      <c r="A479" t="s">
        <v>68</v>
      </c>
      <c r="B479" t="s">
        <v>69</v>
      </c>
      <c r="C479" s="10" t="s">
        <v>35</v>
      </c>
      <c r="D479" s="16">
        <f t="shared" ca="1" si="27"/>
        <v>45968</v>
      </c>
      <c r="E479" s="14">
        <f t="shared" ca="1" si="25"/>
        <v>45968.535908912039</v>
      </c>
      <c r="F479" s="18">
        <f>EOMONTH(Table13[[#This Row],[Transaction Date]],0)</f>
        <v>45322</v>
      </c>
      <c r="G479" s="20">
        <f ca="1">_xlfn.DAYS(Table13[[#This Row],[Today]],Table13[[#This Row],[Transaction Date]])</f>
        <v>655</v>
      </c>
      <c r="H479">
        <f ca="1">NETWORKDAYS.INTL(Table13[[#This Row],[Transaction Date]],Table13[[#This Row],[Today]],)</f>
        <v>470</v>
      </c>
      <c r="I479">
        <f ca="1">NETWORKDAYS(Table13[[#This Row],[Transaction Date]],Table13[[#This Row],[Today]])</f>
        <v>470</v>
      </c>
    </row>
    <row r="480" spans="1:9" x14ac:dyDescent="0.3">
      <c r="A480" t="s">
        <v>44</v>
      </c>
      <c r="B480" t="s">
        <v>45</v>
      </c>
      <c r="C480" s="10" t="s">
        <v>35</v>
      </c>
      <c r="D480" s="16">
        <f t="shared" ca="1" si="27"/>
        <v>45968</v>
      </c>
      <c r="E480" s="14">
        <f t="shared" ca="1" si="25"/>
        <v>45968.535908912039</v>
      </c>
      <c r="F480" s="18">
        <f>EOMONTH(Table13[[#This Row],[Transaction Date]],0)</f>
        <v>45322</v>
      </c>
      <c r="G480" s="20">
        <f ca="1">_xlfn.DAYS(Table13[[#This Row],[Today]],Table13[[#This Row],[Transaction Date]])</f>
        <v>655</v>
      </c>
      <c r="H480">
        <f ca="1">NETWORKDAYS.INTL(Table13[[#This Row],[Transaction Date]],Table13[[#This Row],[Today]],)</f>
        <v>470</v>
      </c>
      <c r="I480">
        <f ca="1">NETWORKDAYS(Table13[[#This Row],[Transaction Date]],Table13[[#This Row],[Today]])</f>
        <v>470</v>
      </c>
    </row>
  </sheetData>
  <dataValidations count="3">
    <dataValidation type="list" allowBlank="1" showInputMessage="1" showErrorMessage="1" sqref="A2" xr:uid="{6A22D14C-A6F7-4BEB-B776-B8F2AF5B7365}">
      <formula1>$A$2:$A$480</formula1>
    </dataValidation>
    <dataValidation allowBlank="1" showInputMessage="1" showErrorMessage="1" sqref="B7" xr:uid="{CDC9CE5D-E425-461D-A3B5-7DBDFED6B224}"/>
    <dataValidation type="list" allowBlank="1" showInputMessage="1" showErrorMessage="1" sqref="L6" xr:uid="{270432E6-3C33-490A-80B4-E8671F4E97F2}">
      <formula1>Names</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E3204-FB93-4DEE-8DF2-B43EE139BA42}">
  <dimension ref="A1:O23"/>
  <sheetViews>
    <sheetView workbookViewId="0">
      <selection activeCell="J2" sqref="J2:J21"/>
    </sheetView>
  </sheetViews>
  <sheetFormatPr defaultRowHeight="15.05" x14ac:dyDescent="0.3"/>
  <cols>
    <col min="1" max="1" width="14.5546875" customWidth="1"/>
    <col min="2" max="2" width="14.88671875" customWidth="1"/>
    <col min="3" max="3" width="13.88671875" customWidth="1"/>
    <col min="5" max="5" width="13.5546875" customWidth="1"/>
    <col min="9" max="9" width="13" customWidth="1"/>
    <col min="10" max="10" width="8.88671875" customWidth="1"/>
    <col min="12" max="12" width="12.5546875" customWidth="1"/>
    <col min="15" max="15" width="17.109375" customWidth="1"/>
  </cols>
  <sheetData>
    <row r="1" spans="1:15" ht="30.05" x14ac:dyDescent="0.3">
      <c r="A1" s="1" t="s">
        <v>136</v>
      </c>
      <c r="B1" s="2" t="s">
        <v>89</v>
      </c>
      <c r="C1" s="1" t="s">
        <v>1</v>
      </c>
      <c r="D1" s="1" t="s">
        <v>2</v>
      </c>
      <c r="E1" s="11" t="s">
        <v>90</v>
      </c>
      <c r="F1" s="1" t="s">
        <v>3</v>
      </c>
      <c r="G1" s="1" t="s">
        <v>4</v>
      </c>
      <c r="H1" s="1" t="s">
        <v>5</v>
      </c>
      <c r="I1" s="1" t="s">
        <v>6</v>
      </c>
      <c r="J1" s="2" t="s">
        <v>12</v>
      </c>
      <c r="K1" s="1" t="s">
        <v>8</v>
      </c>
      <c r="L1" s="2" t="s">
        <v>9</v>
      </c>
      <c r="M1" s="2" t="s">
        <v>143</v>
      </c>
      <c r="N1" s="1" t="s">
        <v>144</v>
      </c>
      <c r="O1" s="2" t="s">
        <v>145</v>
      </c>
    </row>
    <row r="2" spans="1:15" x14ac:dyDescent="0.3">
      <c r="A2" t="s">
        <v>86</v>
      </c>
      <c r="B2" t="s">
        <v>87</v>
      </c>
      <c r="C2" t="s">
        <v>19</v>
      </c>
      <c r="D2" t="s">
        <v>34</v>
      </c>
      <c r="E2" s="10" t="s">
        <v>88</v>
      </c>
      <c r="F2" t="s">
        <v>39</v>
      </c>
      <c r="G2">
        <v>6</v>
      </c>
      <c r="H2">
        <v>350</v>
      </c>
      <c r="I2">
        <v>5</v>
      </c>
      <c r="J2">
        <v>1995</v>
      </c>
      <c r="K2">
        <v>2100</v>
      </c>
      <c r="L2" t="s">
        <v>16</v>
      </c>
    </row>
    <row r="3" spans="1:15" x14ac:dyDescent="0.3">
      <c r="A3" t="s">
        <v>40</v>
      </c>
      <c r="B3" t="s">
        <v>41</v>
      </c>
      <c r="C3" t="s">
        <v>26</v>
      </c>
      <c r="D3" t="s">
        <v>27</v>
      </c>
      <c r="E3" s="10" t="s">
        <v>42</v>
      </c>
      <c r="F3" t="s">
        <v>43</v>
      </c>
      <c r="G3">
        <v>1</v>
      </c>
      <c r="H3">
        <v>700</v>
      </c>
      <c r="I3">
        <v>15</v>
      </c>
      <c r="J3">
        <v>595</v>
      </c>
      <c r="K3">
        <v>700</v>
      </c>
      <c r="L3" t="s">
        <v>30</v>
      </c>
    </row>
    <row r="4" spans="1:15" x14ac:dyDescent="0.3">
      <c r="A4" t="s">
        <v>65</v>
      </c>
      <c r="B4" t="s">
        <v>66</v>
      </c>
      <c r="C4" t="s">
        <v>26</v>
      </c>
      <c r="D4" t="s">
        <v>34</v>
      </c>
      <c r="E4" s="10" t="s">
        <v>67</v>
      </c>
      <c r="F4" t="s">
        <v>43</v>
      </c>
      <c r="G4">
        <v>2</v>
      </c>
      <c r="H4">
        <v>700</v>
      </c>
      <c r="I4">
        <v>10</v>
      </c>
      <c r="J4">
        <v>1260</v>
      </c>
      <c r="K4">
        <v>1400</v>
      </c>
      <c r="L4" t="s">
        <v>23</v>
      </c>
    </row>
    <row r="5" spans="1:15" x14ac:dyDescent="0.3">
      <c r="A5" t="s">
        <v>83</v>
      </c>
      <c r="B5" t="s">
        <v>84</v>
      </c>
      <c r="C5" t="s">
        <v>12</v>
      </c>
      <c r="D5" t="s">
        <v>13</v>
      </c>
      <c r="E5" s="10" t="s">
        <v>85</v>
      </c>
      <c r="F5" t="s">
        <v>43</v>
      </c>
      <c r="G5">
        <v>3</v>
      </c>
      <c r="H5">
        <v>700</v>
      </c>
      <c r="I5">
        <v>10</v>
      </c>
      <c r="J5">
        <v>1890</v>
      </c>
      <c r="K5">
        <v>2000</v>
      </c>
      <c r="L5" t="s">
        <v>23</v>
      </c>
    </row>
    <row r="6" spans="1:15" x14ac:dyDescent="0.3">
      <c r="A6" t="s">
        <v>36</v>
      </c>
      <c r="B6" t="s">
        <v>37</v>
      </c>
      <c r="C6" t="s">
        <v>12</v>
      </c>
      <c r="D6" t="s">
        <v>13</v>
      </c>
      <c r="E6" s="10" t="s">
        <v>38</v>
      </c>
      <c r="F6" t="s">
        <v>39</v>
      </c>
      <c r="G6">
        <v>4</v>
      </c>
      <c r="H6">
        <v>350</v>
      </c>
      <c r="I6">
        <v>5</v>
      </c>
      <c r="J6">
        <v>1330</v>
      </c>
      <c r="K6">
        <v>1500</v>
      </c>
      <c r="L6" t="s">
        <v>23</v>
      </c>
    </row>
    <row r="7" spans="1:15" x14ac:dyDescent="0.3">
      <c r="A7" t="s">
        <v>62</v>
      </c>
      <c r="B7" t="s">
        <v>63</v>
      </c>
      <c r="C7" t="s">
        <v>12</v>
      </c>
      <c r="D7" t="s">
        <v>20</v>
      </c>
      <c r="E7" s="10" t="s">
        <v>64</v>
      </c>
      <c r="F7" t="s">
        <v>15</v>
      </c>
      <c r="G7">
        <v>4</v>
      </c>
      <c r="H7">
        <v>950</v>
      </c>
      <c r="I7">
        <v>5</v>
      </c>
      <c r="J7">
        <v>3610</v>
      </c>
      <c r="K7">
        <v>3600</v>
      </c>
      <c r="L7" t="s">
        <v>30</v>
      </c>
    </row>
    <row r="8" spans="1:15" x14ac:dyDescent="0.3">
      <c r="A8" t="s">
        <v>31</v>
      </c>
      <c r="B8" t="s">
        <v>32</v>
      </c>
      <c r="C8" t="s">
        <v>33</v>
      </c>
      <c r="D8" t="s">
        <v>34</v>
      </c>
      <c r="E8" s="10" t="s">
        <v>35</v>
      </c>
      <c r="F8" t="s">
        <v>15</v>
      </c>
      <c r="G8">
        <v>2</v>
      </c>
      <c r="H8">
        <v>950</v>
      </c>
      <c r="I8">
        <v>0</v>
      </c>
      <c r="J8">
        <v>1900</v>
      </c>
      <c r="K8">
        <v>2000</v>
      </c>
      <c r="L8" t="s">
        <v>16</v>
      </c>
    </row>
    <row r="9" spans="1:15" x14ac:dyDescent="0.3">
      <c r="A9" t="s">
        <v>80</v>
      </c>
      <c r="B9" t="s">
        <v>81</v>
      </c>
      <c r="C9" t="s">
        <v>46</v>
      </c>
      <c r="D9" t="s">
        <v>27</v>
      </c>
      <c r="E9" s="10" t="s">
        <v>82</v>
      </c>
      <c r="F9" t="s">
        <v>29</v>
      </c>
      <c r="G9">
        <v>2</v>
      </c>
      <c r="H9">
        <v>180</v>
      </c>
      <c r="I9">
        <v>0</v>
      </c>
      <c r="J9">
        <v>360</v>
      </c>
      <c r="K9">
        <v>400</v>
      </c>
      <c r="L9" t="s">
        <v>30</v>
      </c>
    </row>
    <row r="10" spans="1:15" x14ac:dyDescent="0.3">
      <c r="A10" t="s">
        <v>59</v>
      </c>
      <c r="B10" t="s">
        <v>60</v>
      </c>
      <c r="C10" t="s">
        <v>33</v>
      </c>
      <c r="D10" t="s">
        <v>13</v>
      </c>
      <c r="E10" s="10" t="s">
        <v>61</v>
      </c>
      <c r="F10" t="s">
        <v>39</v>
      </c>
      <c r="G10">
        <v>5</v>
      </c>
      <c r="H10">
        <v>350</v>
      </c>
      <c r="I10">
        <v>5</v>
      </c>
      <c r="J10">
        <v>1662.5</v>
      </c>
      <c r="K10">
        <v>1700</v>
      </c>
      <c r="L10" t="s">
        <v>23</v>
      </c>
    </row>
    <row r="11" spans="1:15" x14ac:dyDescent="0.3">
      <c r="A11" t="s">
        <v>24</v>
      </c>
      <c r="B11" t="s">
        <v>25</v>
      </c>
      <c r="C11" t="s">
        <v>26</v>
      </c>
      <c r="D11" t="s">
        <v>27</v>
      </c>
      <c r="E11" s="10" t="s">
        <v>28</v>
      </c>
      <c r="F11" t="s">
        <v>29</v>
      </c>
      <c r="G11">
        <v>5</v>
      </c>
      <c r="H11">
        <v>180</v>
      </c>
      <c r="I11">
        <v>10</v>
      </c>
      <c r="J11">
        <v>810</v>
      </c>
      <c r="K11">
        <v>900</v>
      </c>
      <c r="L11" t="s">
        <v>30</v>
      </c>
    </row>
    <row r="12" spans="1:15" x14ac:dyDescent="0.3">
      <c r="A12" t="s">
        <v>77</v>
      </c>
      <c r="B12" t="s">
        <v>78</v>
      </c>
      <c r="C12" t="s">
        <v>26</v>
      </c>
      <c r="D12" t="s">
        <v>20</v>
      </c>
      <c r="E12" s="10" t="s">
        <v>79</v>
      </c>
      <c r="F12" t="s">
        <v>22</v>
      </c>
      <c r="G12">
        <v>4</v>
      </c>
      <c r="H12">
        <v>400</v>
      </c>
      <c r="I12">
        <v>5</v>
      </c>
      <c r="J12">
        <v>1520</v>
      </c>
      <c r="K12">
        <v>1600</v>
      </c>
      <c r="L12" t="s">
        <v>23</v>
      </c>
    </row>
    <row r="13" spans="1:15" x14ac:dyDescent="0.3">
      <c r="A13" t="s">
        <v>56</v>
      </c>
      <c r="B13" t="s">
        <v>57</v>
      </c>
      <c r="C13" t="s">
        <v>26</v>
      </c>
      <c r="D13" t="s">
        <v>27</v>
      </c>
      <c r="E13" s="10" t="s">
        <v>58</v>
      </c>
      <c r="F13" t="s">
        <v>29</v>
      </c>
      <c r="G13">
        <v>3</v>
      </c>
      <c r="H13">
        <v>180</v>
      </c>
      <c r="I13">
        <v>10</v>
      </c>
      <c r="J13">
        <v>486</v>
      </c>
      <c r="K13">
        <v>600</v>
      </c>
      <c r="L13" t="s">
        <v>16</v>
      </c>
    </row>
    <row r="14" spans="1:15" x14ac:dyDescent="0.3">
      <c r="A14" t="s">
        <v>74</v>
      </c>
      <c r="B14" t="s">
        <v>75</v>
      </c>
      <c r="C14" t="s">
        <v>12</v>
      </c>
      <c r="D14" t="s">
        <v>34</v>
      </c>
      <c r="E14" s="10" t="s">
        <v>76</v>
      </c>
      <c r="F14" t="s">
        <v>15</v>
      </c>
      <c r="G14">
        <v>2</v>
      </c>
      <c r="H14">
        <v>950</v>
      </c>
      <c r="I14">
        <v>10</v>
      </c>
      <c r="J14">
        <v>1710</v>
      </c>
      <c r="K14">
        <v>1900</v>
      </c>
      <c r="L14" t="s">
        <v>16</v>
      </c>
    </row>
    <row r="15" spans="1:15" x14ac:dyDescent="0.3">
      <c r="A15" t="s">
        <v>17</v>
      </c>
      <c r="B15" t="s">
        <v>18</v>
      </c>
      <c r="C15" t="s">
        <v>19</v>
      </c>
      <c r="D15" t="s">
        <v>20</v>
      </c>
      <c r="E15" s="10" t="s">
        <v>21</v>
      </c>
      <c r="F15" t="s">
        <v>22</v>
      </c>
      <c r="G15">
        <v>2</v>
      </c>
      <c r="H15">
        <v>400</v>
      </c>
      <c r="I15">
        <v>0</v>
      </c>
      <c r="J15">
        <v>800</v>
      </c>
      <c r="K15">
        <v>1000</v>
      </c>
      <c r="L15" t="s">
        <v>23</v>
      </c>
    </row>
    <row r="16" spans="1:15" x14ac:dyDescent="0.3">
      <c r="A16" t="s">
        <v>53</v>
      </c>
      <c r="B16" t="s">
        <v>54</v>
      </c>
      <c r="C16" t="s">
        <v>19</v>
      </c>
      <c r="D16" t="s">
        <v>34</v>
      </c>
      <c r="E16" s="10" t="s">
        <v>55</v>
      </c>
      <c r="F16" t="s">
        <v>15</v>
      </c>
      <c r="G16">
        <v>1</v>
      </c>
      <c r="H16">
        <v>950</v>
      </c>
      <c r="I16">
        <v>5</v>
      </c>
      <c r="J16">
        <v>902.5</v>
      </c>
      <c r="K16">
        <v>1000</v>
      </c>
      <c r="L16" t="s">
        <v>30</v>
      </c>
    </row>
    <row r="17" spans="1:15" x14ac:dyDescent="0.3">
      <c r="A17" t="s">
        <v>71</v>
      </c>
      <c r="B17" t="s">
        <v>72</v>
      </c>
      <c r="C17" t="s">
        <v>33</v>
      </c>
      <c r="D17" t="s">
        <v>27</v>
      </c>
      <c r="E17" s="10" t="s">
        <v>73</v>
      </c>
      <c r="F17" t="s">
        <v>48</v>
      </c>
      <c r="G17">
        <v>8</v>
      </c>
      <c r="H17">
        <v>60</v>
      </c>
      <c r="I17">
        <v>5</v>
      </c>
      <c r="J17">
        <v>456</v>
      </c>
      <c r="K17">
        <v>500</v>
      </c>
      <c r="L17" t="s">
        <v>30</v>
      </c>
    </row>
    <row r="18" spans="1:15" x14ac:dyDescent="0.3">
      <c r="A18" t="s">
        <v>49</v>
      </c>
      <c r="B18" t="s">
        <v>50</v>
      </c>
      <c r="C18" t="s">
        <v>12</v>
      </c>
      <c r="D18" t="s">
        <v>13</v>
      </c>
      <c r="E18" s="10" t="s">
        <v>51</v>
      </c>
      <c r="F18" t="s">
        <v>52</v>
      </c>
      <c r="G18">
        <v>10</v>
      </c>
      <c r="H18">
        <v>25</v>
      </c>
      <c r="I18">
        <v>0</v>
      </c>
      <c r="J18">
        <v>250</v>
      </c>
      <c r="K18">
        <v>200</v>
      </c>
      <c r="L18" t="s">
        <v>16</v>
      </c>
    </row>
    <row r="19" spans="1:15" x14ac:dyDescent="0.3">
      <c r="A19" t="s">
        <v>10</v>
      </c>
      <c r="B19" t="s">
        <v>11</v>
      </c>
      <c r="C19" t="s">
        <v>12</v>
      </c>
      <c r="D19" t="s">
        <v>13</v>
      </c>
      <c r="E19" s="10" t="s">
        <v>14</v>
      </c>
      <c r="F19" t="s">
        <v>15</v>
      </c>
      <c r="G19">
        <v>3</v>
      </c>
      <c r="H19">
        <v>950</v>
      </c>
      <c r="I19">
        <v>5</v>
      </c>
      <c r="J19">
        <v>2707.5</v>
      </c>
      <c r="K19">
        <v>2500</v>
      </c>
      <c r="L19" t="s">
        <v>16</v>
      </c>
    </row>
    <row r="20" spans="1:15" x14ac:dyDescent="0.3">
      <c r="A20" t="s">
        <v>68</v>
      </c>
      <c r="B20" t="s">
        <v>69</v>
      </c>
      <c r="C20" t="s">
        <v>19</v>
      </c>
      <c r="D20" t="s">
        <v>13</v>
      </c>
      <c r="E20" s="10" t="s">
        <v>70</v>
      </c>
      <c r="F20" t="s">
        <v>52</v>
      </c>
      <c r="G20">
        <v>15</v>
      </c>
      <c r="H20">
        <v>25</v>
      </c>
      <c r="I20">
        <v>0</v>
      </c>
      <c r="J20">
        <v>375</v>
      </c>
      <c r="K20">
        <v>350</v>
      </c>
      <c r="L20" t="s">
        <v>16</v>
      </c>
    </row>
    <row r="21" spans="1:15" x14ac:dyDescent="0.3">
      <c r="A21" t="s">
        <v>44</v>
      </c>
      <c r="B21" t="s">
        <v>45</v>
      </c>
      <c r="C21" t="s">
        <v>46</v>
      </c>
      <c r="D21" t="s">
        <v>20</v>
      </c>
      <c r="E21" s="10" t="s">
        <v>47</v>
      </c>
      <c r="F21" t="s">
        <v>48</v>
      </c>
      <c r="G21">
        <v>6</v>
      </c>
      <c r="H21">
        <v>60</v>
      </c>
      <c r="I21">
        <v>0</v>
      </c>
      <c r="J21">
        <v>360</v>
      </c>
      <c r="K21">
        <v>500</v>
      </c>
      <c r="L21" t="s">
        <v>23</v>
      </c>
    </row>
    <row r="22" spans="1:15" x14ac:dyDescent="0.3">
      <c r="E22" s="10"/>
      <c r="M22">
        <f>MEDIAN(Table136[Sales])</f>
        <v>1081.25</v>
      </c>
      <c r="N22" cm="1">
        <f t="array" ref="N22">COUNTIF(Sales_Range,"Sales")</f>
        <v>6</v>
      </c>
      <c r="O22" cm="1">
        <f t="array" ref="O22">COUNTIF(Credit,"Credit Card")</f>
        <v>7</v>
      </c>
    </row>
    <row r="23" spans="1:15" x14ac:dyDescent="0.3">
      <c r="J23">
        <f>SUM(Table136[Sales])</f>
        <v>24979.5</v>
      </c>
    </row>
  </sheetData>
  <conditionalFormatting sqref="C1:C1048576">
    <cfRule type="cellIs" dxfId="3" priority="4" operator="equal">
      <formula>$C$6</formula>
    </cfRule>
  </conditionalFormatting>
  <conditionalFormatting sqref="J1:J1048576">
    <cfRule type="duplicateValues" dxfId="1" priority="2"/>
  </conditionalFormatting>
  <conditionalFormatting sqref="J2:J21">
    <cfRule type="top10" dxfId="0" priority="1" bottom="1" rank="3"/>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3" operator="containsText" id="{865FDBCB-3B8F-4958-812D-B8CD4DDA99B5}">
            <xm:f>NOT(ISERROR(SEARCH($D$8,D1)))</xm:f>
            <xm:f>$D$8</xm:f>
            <x14:dxf>
              <fill>
                <patternFill>
                  <bgColor rgb="FF00B0F0"/>
                </patternFill>
              </fill>
            </x14:dxf>
          </x14:cfRule>
          <xm:sqref>D1:D1048576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A5C46-9096-4801-9911-52A0E4432BCA}">
  <dimension ref="A1:V26"/>
  <sheetViews>
    <sheetView topLeftCell="C2" workbookViewId="0">
      <selection activeCell="S20" sqref="S20"/>
    </sheetView>
  </sheetViews>
  <sheetFormatPr defaultRowHeight="15.05" x14ac:dyDescent="0.3"/>
  <cols>
    <col min="1" max="1" width="13.5546875" customWidth="1"/>
    <col min="2" max="2" width="15" customWidth="1"/>
    <col min="3" max="3" width="16.44140625" customWidth="1"/>
    <col min="5" max="5" width="11.44140625" customWidth="1"/>
    <col min="8" max="8" width="13.88671875" customWidth="1"/>
    <col min="9" max="9" width="13.6640625" customWidth="1"/>
    <col min="12" max="12" width="14.5546875" customWidth="1"/>
    <col min="16" max="16" width="13.88671875" customWidth="1"/>
    <col min="17" max="17" width="22.77734375" bestFit="1" customWidth="1"/>
    <col min="18" max="18" width="21.33203125" customWidth="1"/>
    <col min="19" max="19" width="15.21875" bestFit="1" customWidth="1"/>
    <col min="21" max="21" width="10.5546875" bestFit="1" customWidth="1"/>
    <col min="22" max="22" width="15.44140625" bestFit="1" customWidth="1"/>
  </cols>
  <sheetData>
    <row r="1" spans="1:22" ht="45.1" x14ac:dyDescent="0.3">
      <c r="A1" s="1" t="s">
        <v>136</v>
      </c>
      <c r="B1" s="2" t="s">
        <v>89</v>
      </c>
      <c r="C1" s="1" t="s">
        <v>1</v>
      </c>
      <c r="D1" s="1" t="s">
        <v>2</v>
      </c>
      <c r="E1" s="11" t="s">
        <v>90</v>
      </c>
      <c r="F1" s="1" t="s">
        <v>3</v>
      </c>
      <c r="G1" s="1" t="s">
        <v>4</v>
      </c>
      <c r="H1" s="1" t="s">
        <v>5</v>
      </c>
      <c r="I1" s="1" t="s">
        <v>6</v>
      </c>
      <c r="J1" s="2" t="s">
        <v>7</v>
      </c>
      <c r="K1" s="1" t="s">
        <v>8</v>
      </c>
      <c r="L1" s="2" t="s">
        <v>9</v>
      </c>
    </row>
    <row r="2" spans="1:22" x14ac:dyDescent="0.3">
      <c r="A2" t="s">
        <v>86</v>
      </c>
      <c r="B2" t="s">
        <v>87</v>
      </c>
      <c r="C2" t="s">
        <v>19</v>
      </c>
      <c r="D2" t="s">
        <v>34</v>
      </c>
      <c r="E2" s="10" t="s">
        <v>88</v>
      </c>
      <c r="F2" t="s">
        <v>39</v>
      </c>
      <c r="G2">
        <v>6</v>
      </c>
      <c r="H2">
        <v>350</v>
      </c>
      <c r="I2">
        <v>5</v>
      </c>
      <c r="J2">
        <v>1995</v>
      </c>
      <c r="K2">
        <v>2100</v>
      </c>
      <c r="L2" t="s">
        <v>16</v>
      </c>
    </row>
    <row r="3" spans="1:22" x14ac:dyDescent="0.3">
      <c r="A3" t="s">
        <v>40</v>
      </c>
      <c r="B3" t="s">
        <v>41</v>
      </c>
      <c r="C3" t="s">
        <v>26</v>
      </c>
      <c r="D3" t="s">
        <v>27</v>
      </c>
      <c r="E3" s="10" t="s">
        <v>42</v>
      </c>
      <c r="F3" t="s">
        <v>43</v>
      </c>
      <c r="G3">
        <v>1</v>
      </c>
      <c r="H3">
        <v>700</v>
      </c>
      <c r="I3">
        <v>15</v>
      </c>
      <c r="J3">
        <v>595</v>
      </c>
      <c r="K3">
        <v>700</v>
      </c>
      <c r="L3" t="s">
        <v>30</v>
      </c>
    </row>
    <row r="4" spans="1:22" x14ac:dyDescent="0.3">
      <c r="A4" t="s">
        <v>65</v>
      </c>
      <c r="B4" t="s">
        <v>66</v>
      </c>
      <c r="C4" t="s">
        <v>26</v>
      </c>
      <c r="D4" t="s">
        <v>34</v>
      </c>
      <c r="E4" s="10" t="s">
        <v>67</v>
      </c>
      <c r="F4" t="s">
        <v>43</v>
      </c>
      <c r="G4">
        <v>2</v>
      </c>
      <c r="H4">
        <v>700</v>
      </c>
      <c r="I4">
        <v>10</v>
      </c>
      <c r="J4">
        <v>1260</v>
      </c>
      <c r="K4">
        <v>1400</v>
      </c>
      <c r="L4" t="s">
        <v>23</v>
      </c>
      <c r="R4" t="s">
        <v>146</v>
      </c>
    </row>
    <row r="5" spans="1:22" x14ac:dyDescent="0.3">
      <c r="A5" t="s">
        <v>83</v>
      </c>
      <c r="B5" t="s">
        <v>84</v>
      </c>
      <c r="C5" t="s">
        <v>12</v>
      </c>
      <c r="D5" t="s">
        <v>13</v>
      </c>
      <c r="E5" s="10" t="s">
        <v>85</v>
      </c>
      <c r="F5" t="s">
        <v>43</v>
      </c>
      <c r="G5">
        <v>3</v>
      </c>
      <c r="H5">
        <v>700</v>
      </c>
      <c r="I5">
        <v>10</v>
      </c>
      <c r="J5">
        <v>1890</v>
      </c>
      <c r="K5">
        <v>2000</v>
      </c>
      <c r="L5" t="s">
        <v>23</v>
      </c>
      <c r="R5" s="23">
        <v>1248.9749999999999</v>
      </c>
    </row>
    <row r="6" spans="1:22" x14ac:dyDescent="0.3">
      <c r="A6" t="s">
        <v>36</v>
      </c>
      <c r="B6" t="s">
        <v>37</v>
      </c>
      <c r="C6" t="s">
        <v>12</v>
      </c>
      <c r="D6" t="s">
        <v>13</v>
      </c>
      <c r="E6" s="10" t="s">
        <v>38</v>
      </c>
      <c r="F6" t="s">
        <v>39</v>
      </c>
      <c r="G6">
        <v>4</v>
      </c>
      <c r="H6">
        <v>350</v>
      </c>
      <c r="I6">
        <v>5</v>
      </c>
      <c r="J6">
        <v>1330</v>
      </c>
      <c r="K6">
        <v>1500</v>
      </c>
      <c r="L6" t="s">
        <v>23</v>
      </c>
    </row>
    <row r="7" spans="1:22" x14ac:dyDescent="0.3">
      <c r="A7" t="s">
        <v>62</v>
      </c>
      <c r="B7" t="s">
        <v>63</v>
      </c>
      <c r="C7" t="s">
        <v>12</v>
      </c>
      <c r="D7" t="s">
        <v>20</v>
      </c>
      <c r="E7" s="10" t="s">
        <v>64</v>
      </c>
      <c r="F7" t="s">
        <v>15</v>
      </c>
      <c r="G7">
        <v>4</v>
      </c>
      <c r="H7">
        <v>950</v>
      </c>
      <c r="I7">
        <v>5</v>
      </c>
      <c r="J7">
        <v>3610</v>
      </c>
      <c r="K7">
        <v>3600</v>
      </c>
      <c r="L7" t="s">
        <v>30</v>
      </c>
    </row>
    <row r="8" spans="1:22" x14ac:dyDescent="0.3">
      <c r="A8" t="s">
        <v>31</v>
      </c>
      <c r="B8" t="s">
        <v>32</v>
      </c>
      <c r="C8" t="s">
        <v>33</v>
      </c>
      <c r="D8" t="s">
        <v>34</v>
      </c>
      <c r="E8" s="10" t="s">
        <v>35</v>
      </c>
      <c r="F8" t="s">
        <v>15</v>
      </c>
      <c r="G8">
        <v>2</v>
      </c>
      <c r="H8">
        <v>950</v>
      </c>
      <c r="I8">
        <v>0</v>
      </c>
      <c r="J8">
        <v>1900</v>
      </c>
      <c r="K8">
        <v>2000</v>
      </c>
      <c r="L8" t="s">
        <v>16</v>
      </c>
      <c r="U8" s="24" t="s">
        <v>1</v>
      </c>
      <c r="V8" t="s">
        <v>150</v>
      </c>
    </row>
    <row r="9" spans="1:22" ht="30.05" x14ac:dyDescent="0.3">
      <c r="A9" t="s">
        <v>80</v>
      </c>
      <c r="B9" t="s">
        <v>81</v>
      </c>
      <c r="C9" t="s">
        <v>46</v>
      </c>
      <c r="D9" t="s">
        <v>27</v>
      </c>
      <c r="E9" s="10" t="s">
        <v>82</v>
      </c>
      <c r="F9" t="s">
        <v>29</v>
      </c>
      <c r="G9">
        <v>2</v>
      </c>
      <c r="H9">
        <v>180</v>
      </c>
      <c r="I9">
        <v>0</v>
      </c>
      <c r="J9">
        <v>360</v>
      </c>
      <c r="K9">
        <v>400</v>
      </c>
      <c r="L9" t="s">
        <v>30</v>
      </c>
      <c r="P9" s="25" t="s">
        <v>149</v>
      </c>
      <c r="U9" t="s">
        <v>26</v>
      </c>
      <c r="V9" s="22">
        <v>5</v>
      </c>
    </row>
    <row r="10" spans="1:22" x14ac:dyDescent="0.3">
      <c r="A10" t="s">
        <v>59</v>
      </c>
      <c r="B10" t="s">
        <v>60</v>
      </c>
      <c r="C10" t="s">
        <v>33</v>
      </c>
      <c r="D10" t="s">
        <v>13</v>
      </c>
      <c r="E10" s="10" t="s">
        <v>61</v>
      </c>
      <c r="F10" t="s">
        <v>39</v>
      </c>
      <c r="G10">
        <v>5</v>
      </c>
      <c r="H10">
        <v>350</v>
      </c>
      <c r="I10">
        <v>5</v>
      </c>
      <c r="J10">
        <v>1662.5</v>
      </c>
      <c r="K10">
        <v>1700</v>
      </c>
      <c r="L10" t="s">
        <v>23</v>
      </c>
      <c r="P10">
        <f>MEDIAN(Table1365[Unit Price])</f>
        <v>375</v>
      </c>
      <c r="U10" t="s">
        <v>33</v>
      </c>
      <c r="V10" s="22">
        <v>3</v>
      </c>
    </row>
    <row r="11" spans="1:22" x14ac:dyDescent="0.3">
      <c r="A11" t="s">
        <v>24</v>
      </c>
      <c r="B11" t="s">
        <v>25</v>
      </c>
      <c r="C11" t="s">
        <v>26</v>
      </c>
      <c r="D11" t="s">
        <v>27</v>
      </c>
      <c r="E11" s="10" t="s">
        <v>28</v>
      </c>
      <c r="F11" t="s">
        <v>29</v>
      </c>
      <c r="G11">
        <v>5</v>
      </c>
      <c r="H11">
        <v>180</v>
      </c>
      <c r="I11">
        <v>10</v>
      </c>
      <c r="J11">
        <v>810</v>
      </c>
      <c r="K11">
        <v>900</v>
      </c>
      <c r="L11" t="s">
        <v>30</v>
      </c>
      <c r="R11" t="s">
        <v>148</v>
      </c>
      <c r="U11" t="s">
        <v>46</v>
      </c>
      <c r="V11" s="22">
        <v>2</v>
      </c>
    </row>
    <row r="12" spans="1:22" x14ac:dyDescent="0.3">
      <c r="A12" t="s">
        <v>77</v>
      </c>
      <c r="B12" t="s">
        <v>78</v>
      </c>
      <c r="C12" t="s">
        <v>26</v>
      </c>
      <c r="D12" t="s">
        <v>20</v>
      </c>
      <c r="E12" s="10" t="s">
        <v>79</v>
      </c>
      <c r="F12" t="s">
        <v>22</v>
      </c>
      <c r="G12">
        <v>4</v>
      </c>
      <c r="H12">
        <v>400</v>
      </c>
      <c r="I12">
        <v>5</v>
      </c>
      <c r="J12">
        <v>1520</v>
      </c>
      <c r="K12">
        <v>1600</v>
      </c>
      <c r="L12" t="s">
        <v>23</v>
      </c>
      <c r="R12" s="22">
        <v>950</v>
      </c>
      <c r="U12" t="s">
        <v>19</v>
      </c>
      <c r="V12" s="22">
        <v>4</v>
      </c>
    </row>
    <row r="13" spans="1:22" x14ac:dyDescent="0.3">
      <c r="A13" t="s">
        <v>56</v>
      </c>
      <c r="B13" t="s">
        <v>57</v>
      </c>
      <c r="C13" t="s">
        <v>26</v>
      </c>
      <c r="D13" t="s">
        <v>27</v>
      </c>
      <c r="E13" s="10" t="s">
        <v>58</v>
      </c>
      <c r="F13" t="s">
        <v>29</v>
      </c>
      <c r="G13">
        <v>3</v>
      </c>
      <c r="H13">
        <v>180</v>
      </c>
      <c r="I13">
        <v>10</v>
      </c>
      <c r="J13">
        <v>486</v>
      </c>
      <c r="K13">
        <v>600</v>
      </c>
      <c r="L13" t="s">
        <v>16</v>
      </c>
      <c r="U13" t="s">
        <v>12</v>
      </c>
      <c r="V13" s="22">
        <v>6</v>
      </c>
    </row>
    <row r="14" spans="1:22" x14ac:dyDescent="0.3">
      <c r="A14" t="s">
        <v>74</v>
      </c>
      <c r="B14" t="s">
        <v>75</v>
      </c>
      <c r="C14" t="s">
        <v>12</v>
      </c>
      <c r="D14" t="s">
        <v>34</v>
      </c>
      <c r="E14" s="10" t="s">
        <v>76</v>
      </c>
      <c r="F14" t="s">
        <v>15</v>
      </c>
      <c r="G14">
        <v>2</v>
      </c>
      <c r="H14">
        <v>950</v>
      </c>
      <c r="I14">
        <v>10</v>
      </c>
      <c r="J14">
        <v>1710</v>
      </c>
      <c r="K14">
        <v>1900</v>
      </c>
      <c r="L14" t="s">
        <v>16</v>
      </c>
      <c r="U14" t="s">
        <v>147</v>
      </c>
      <c r="V14" s="22">
        <v>20</v>
      </c>
    </row>
    <row r="15" spans="1:22" x14ac:dyDescent="0.3">
      <c r="A15" t="s">
        <v>17</v>
      </c>
      <c r="B15" t="s">
        <v>18</v>
      </c>
      <c r="C15" t="s">
        <v>19</v>
      </c>
      <c r="D15" t="s">
        <v>20</v>
      </c>
      <c r="E15" s="10" t="s">
        <v>21</v>
      </c>
      <c r="F15" t="s">
        <v>22</v>
      </c>
      <c r="G15">
        <v>2</v>
      </c>
      <c r="H15">
        <v>400</v>
      </c>
      <c r="I15">
        <v>0</v>
      </c>
      <c r="J15">
        <v>800</v>
      </c>
      <c r="K15">
        <v>1000</v>
      </c>
      <c r="L15" t="s">
        <v>23</v>
      </c>
    </row>
    <row r="16" spans="1:22" x14ac:dyDescent="0.3">
      <c r="A16" t="s">
        <v>53</v>
      </c>
      <c r="B16" t="s">
        <v>54</v>
      </c>
      <c r="C16" t="s">
        <v>19</v>
      </c>
      <c r="D16" t="s">
        <v>34</v>
      </c>
      <c r="E16" s="10" t="s">
        <v>55</v>
      </c>
      <c r="F16" t="s">
        <v>15</v>
      </c>
      <c r="G16">
        <v>1</v>
      </c>
      <c r="H16">
        <v>950</v>
      </c>
      <c r="I16">
        <v>5</v>
      </c>
      <c r="J16">
        <v>902.5</v>
      </c>
      <c r="K16">
        <v>1000</v>
      </c>
      <c r="L16" t="s">
        <v>30</v>
      </c>
    </row>
    <row r="17" spans="1:22" x14ac:dyDescent="0.3">
      <c r="A17" t="s">
        <v>71</v>
      </c>
      <c r="B17" t="s">
        <v>72</v>
      </c>
      <c r="C17" t="s">
        <v>33</v>
      </c>
      <c r="D17" t="s">
        <v>27</v>
      </c>
      <c r="E17" s="10" t="s">
        <v>73</v>
      </c>
      <c r="F17" t="s">
        <v>48</v>
      </c>
      <c r="G17">
        <v>8</v>
      </c>
      <c r="H17">
        <v>60</v>
      </c>
      <c r="I17">
        <v>5</v>
      </c>
      <c r="J17">
        <v>456</v>
      </c>
      <c r="K17">
        <v>500</v>
      </c>
      <c r="L17" t="s">
        <v>30</v>
      </c>
      <c r="P17" s="24" t="s">
        <v>151</v>
      </c>
      <c r="Q17" t="s">
        <v>150</v>
      </c>
      <c r="U17" s="24" t="s">
        <v>2</v>
      </c>
      <c r="V17" t="s">
        <v>153</v>
      </c>
    </row>
    <row r="18" spans="1:22" x14ac:dyDescent="0.3">
      <c r="A18" t="s">
        <v>49</v>
      </c>
      <c r="B18" t="s">
        <v>50</v>
      </c>
      <c r="C18" t="s">
        <v>12</v>
      </c>
      <c r="D18" t="s">
        <v>13</v>
      </c>
      <c r="E18" s="10" t="s">
        <v>51</v>
      </c>
      <c r="F18" t="s">
        <v>52</v>
      </c>
      <c r="G18">
        <v>10</v>
      </c>
      <c r="H18">
        <v>25</v>
      </c>
      <c r="I18">
        <v>0</v>
      </c>
      <c r="J18">
        <v>250</v>
      </c>
      <c r="K18">
        <v>200</v>
      </c>
      <c r="L18" t="s">
        <v>16</v>
      </c>
      <c r="P18" t="s">
        <v>48</v>
      </c>
      <c r="Q18" s="22">
        <v>2</v>
      </c>
    </row>
    <row r="19" spans="1:22" x14ac:dyDescent="0.3">
      <c r="A19" t="s">
        <v>10</v>
      </c>
      <c r="B19" t="s">
        <v>11</v>
      </c>
      <c r="C19" t="s">
        <v>12</v>
      </c>
      <c r="D19" t="s">
        <v>13</v>
      </c>
      <c r="E19" s="10" t="s">
        <v>14</v>
      </c>
      <c r="F19" t="s">
        <v>15</v>
      </c>
      <c r="G19">
        <v>3</v>
      </c>
      <c r="H19">
        <v>950</v>
      </c>
      <c r="I19">
        <v>5</v>
      </c>
      <c r="J19">
        <v>2707.5</v>
      </c>
      <c r="K19">
        <v>2500</v>
      </c>
      <c r="L19" t="s">
        <v>16</v>
      </c>
      <c r="P19" t="s">
        <v>15</v>
      </c>
      <c r="Q19" s="22">
        <v>5</v>
      </c>
      <c r="U19" s="24" t="s">
        <v>3</v>
      </c>
      <c r="V19" t="s">
        <v>152</v>
      </c>
    </row>
    <row r="20" spans="1:22" x14ac:dyDescent="0.3">
      <c r="A20" t="s">
        <v>68</v>
      </c>
      <c r="B20" t="s">
        <v>69</v>
      </c>
      <c r="C20" t="s">
        <v>19</v>
      </c>
      <c r="D20" t="s">
        <v>13</v>
      </c>
      <c r="E20" s="10" t="s">
        <v>70</v>
      </c>
      <c r="F20" t="s">
        <v>52</v>
      </c>
      <c r="G20">
        <v>15</v>
      </c>
      <c r="H20">
        <v>25</v>
      </c>
      <c r="I20">
        <v>0</v>
      </c>
      <c r="J20">
        <v>375</v>
      </c>
      <c r="K20">
        <v>350</v>
      </c>
      <c r="L20" t="s">
        <v>16</v>
      </c>
      <c r="P20" t="s">
        <v>29</v>
      </c>
      <c r="Q20" s="22">
        <v>3</v>
      </c>
      <c r="U20" t="s">
        <v>48</v>
      </c>
      <c r="V20" s="22">
        <v>1</v>
      </c>
    </row>
    <row r="21" spans="1:22" x14ac:dyDescent="0.3">
      <c r="A21" t="s">
        <v>44</v>
      </c>
      <c r="B21" t="s">
        <v>45</v>
      </c>
      <c r="C21" t="s">
        <v>46</v>
      </c>
      <c r="D21" t="s">
        <v>20</v>
      </c>
      <c r="E21" s="10" t="s">
        <v>47</v>
      </c>
      <c r="F21" t="s">
        <v>48</v>
      </c>
      <c r="G21">
        <v>6</v>
      </c>
      <c r="H21">
        <v>60</v>
      </c>
      <c r="I21">
        <v>0</v>
      </c>
      <c r="J21">
        <v>360</v>
      </c>
      <c r="K21">
        <v>500</v>
      </c>
      <c r="L21" t="s">
        <v>23</v>
      </c>
      <c r="P21" t="s">
        <v>52</v>
      </c>
      <c r="Q21" s="22">
        <v>2</v>
      </c>
      <c r="U21" t="s">
        <v>15</v>
      </c>
      <c r="V21" s="22">
        <v>1</v>
      </c>
    </row>
    <row r="22" spans="1:22" x14ac:dyDescent="0.3">
      <c r="P22" t="s">
        <v>22</v>
      </c>
      <c r="Q22" s="22">
        <v>2</v>
      </c>
      <c r="U22" t="s">
        <v>29</v>
      </c>
      <c r="V22" s="22">
        <v>3</v>
      </c>
    </row>
    <row r="23" spans="1:22" x14ac:dyDescent="0.3">
      <c r="P23" t="s">
        <v>43</v>
      </c>
      <c r="Q23" s="22">
        <v>3</v>
      </c>
      <c r="U23" t="s">
        <v>52</v>
      </c>
      <c r="V23" s="22">
        <v>2</v>
      </c>
    </row>
    <row r="24" spans="1:22" x14ac:dyDescent="0.3">
      <c r="P24" t="s">
        <v>39</v>
      </c>
      <c r="Q24" s="22">
        <v>3</v>
      </c>
      <c r="U24" t="s">
        <v>43</v>
      </c>
      <c r="V24" s="22">
        <v>2</v>
      </c>
    </row>
    <row r="25" spans="1:22" x14ac:dyDescent="0.3">
      <c r="P25" t="s">
        <v>147</v>
      </c>
      <c r="Q25" s="22">
        <v>20</v>
      </c>
      <c r="U25" t="s">
        <v>39</v>
      </c>
      <c r="V25" s="22">
        <v>2</v>
      </c>
    </row>
    <row r="26" spans="1:22" x14ac:dyDescent="0.3">
      <c r="U26" t="s">
        <v>147</v>
      </c>
      <c r="V26" s="22">
        <v>11</v>
      </c>
    </row>
  </sheetData>
  <pageMargins left="0.7" right="0.7" top="0.75" bottom="0.75" header="0.3" footer="0.3"/>
  <drawing r:id="rId6"/>
  <tableParts count="2">
    <tablePart r:id="rId7"/>
    <tablePart r:id="rId8"/>
  </tableParts>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F269C-3422-4A30-A259-E307973F418A}">
  <dimension ref="A1:S24"/>
  <sheetViews>
    <sheetView topLeftCell="C1" workbookViewId="0">
      <selection activeCell="E1" sqref="A1:L21"/>
    </sheetView>
  </sheetViews>
  <sheetFormatPr defaultRowHeight="15.05" x14ac:dyDescent="0.3"/>
  <cols>
    <col min="1" max="1" width="19.5546875" customWidth="1"/>
    <col min="2" max="2" width="19.44140625" customWidth="1"/>
    <col min="3" max="3" width="17.33203125" customWidth="1"/>
    <col min="5" max="5" width="14.109375" customWidth="1"/>
    <col min="6" max="6" width="12.6640625" customWidth="1"/>
    <col min="8" max="8" width="15.109375" customWidth="1"/>
    <col min="9" max="9" width="16.109375" customWidth="1"/>
    <col min="10" max="10" width="17.109375" customWidth="1"/>
    <col min="11" max="11" width="15.6640625" customWidth="1"/>
    <col min="12" max="12" width="20.77734375" customWidth="1"/>
    <col min="14" max="14" width="12.21875" customWidth="1"/>
    <col min="17" max="17" width="13.77734375" customWidth="1"/>
    <col min="19" max="19" width="13.5546875" customWidth="1"/>
  </cols>
  <sheetData>
    <row r="1" spans="1:19" ht="45.1" x14ac:dyDescent="0.3">
      <c r="A1" s="1" t="s">
        <v>136</v>
      </c>
      <c r="B1" s="2" t="s">
        <v>89</v>
      </c>
      <c r="C1" s="1" t="s">
        <v>1</v>
      </c>
      <c r="D1" s="1" t="s">
        <v>2</v>
      </c>
      <c r="E1" s="11" t="s">
        <v>90</v>
      </c>
      <c r="F1" s="1" t="s">
        <v>3</v>
      </c>
      <c r="G1" s="1" t="s">
        <v>4</v>
      </c>
      <c r="H1" s="1" t="s">
        <v>5</v>
      </c>
      <c r="I1" s="1" t="s">
        <v>6</v>
      </c>
      <c r="J1" s="2" t="s">
        <v>7</v>
      </c>
      <c r="K1" s="1" t="s">
        <v>8</v>
      </c>
      <c r="L1" s="2" t="s">
        <v>9</v>
      </c>
    </row>
    <row r="2" spans="1:19" x14ac:dyDescent="0.3">
      <c r="A2" t="s">
        <v>86</v>
      </c>
      <c r="B2" t="s">
        <v>87</v>
      </c>
      <c r="C2" t="s">
        <v>19</v>
      </c>
      <c r="D2" t="s">
        <v>34</v>
      </c>
      <c r="E2" s="10" t="s">
        <v>88</v>
      </c>
      <c r="F2" t="s">
        <v>39</v>
      </c>
      <c r="G2">
        <v>6</v>
      </c>
      <c r="H2">
        <v>350</v>
      </c>
      <c r="I2">
        <v>5</v>
      </c>
      <c r="J2">
        <v>1995</v>
      </c>
      <c r="K2">
        <v>2100</v>
      </c>
      <c r="L2" t="s">
        <v>16</v>
      </c>
    </row>
    <row r="3" spans="1:19" x14ac:dyDescent="0.3">
      <c r="A3" t="s">
        <v>40</v>
      </c>
      <c r="B3" t="s">
        <v>41</v>
      </c>
      <c r="C3" t="s">
        <v>26</v>
      </c>
      <c r="D3" t="s">
        <v>27</v>
      </c>
      <c r="E3" s="10" t="s">
        <v>42</v>
      </c>
      <c r="F3" t="s">
        <v>43</v>
      </c>
      <c r="G3">
        <v>1</v>
      </c>
      <c r="H3">
        <v>700</v>
      </c>
      <c r="I3">
        <v>15</v>
      </c>
      <c r="J3">
        <v>595</v>
      </c>
      <c r="K3">
        <v>700</v>
      </c>
      <c r="L3" t="s">
        <v>30</v>
      </c>
    </row>
    <row r="4" spans="1:19" x14ac:dyDescent="0.3">
      <c r="A4" t="s">
        <v>65</v>
      </c>
      <c r="B4" t="s">
        <v>66</v>
      </c>
      <c r="C4" t="s">
        <v>26</v>
      </c>
      <c r="D4" t="s">
        <v>34</v>
      </c>
      <c r="E4" s="10" t="s">
        <v>67</v>
      </c>
      <c r="F4" t="s">
        <v>43</v>
      </c>
      <c r="G4">
        <v>2</v>
      </c>
      <c r="H4">
        <v>700</v>
      </c>
      <c r="I4">
        <v>10</v>
      </c>
      <c r="J4">
        <v>1260</v>
      </c>
      <c r="K4">
        <v>1400</v>
      </c>
      <c r="L4" t="s">
        <v>23</v>
      </c>
      <c r="Q4" t="s">
        <v>154</v>
      </c>
      <c r="S4" t="s">
        <v>155</v>
      </c>
    </row>
    <row r="5" spans="1:19" x14ac:dyDescent="0.3">
      <c r="A5" t="s">
        <v>83</v>
      </c>
      <c r="B5" t="s">
        <v>84</v>
      </c>
      <c r="C5" t="s">
        <v>12</v>
      </c>
      <c r="D5" t="s">
        <v>13</v>
      </c>
      <c r="E5" s="10" t="s">
        <v>85</v>
      </c>
      <c r="F5" t="s">
        <v>43</v>
      </c>
      <c r="G5">
        <v>3</v>
      </c>
      <c r="H5">
        <v>700</v>
      </c>
      <c r="I5">
        <v>10</v>
      </c>
      <c r="J5">
        <v>1890</v>
      </c>
      <c r="K5">
        <v>2000</v>
      </c>
      <c r="L5" t="s">
        <v>23</v>
      </c>
      <c r="Q5" t="str" cm="1">
        <f t="array" ref="Q5:Q24">Employee</f>
        <v>Jack Hill</v>
      </c>
      <c r="S5">
        <f>AVERAGE(Target_Values)</f>
        <v>1422.2222222222222</v>
      </c>
    </row>
    <row r="6" spans="1:19" x14ac:dyDescent="0.3">
      <c r="A6" t="s">
        <v>36</v>
      </c>
      <c r="B6" t="s">
        <v>37</v>
      </c>
      <c r="C6" t="s">
        <v>12</v>
      </c>
      <c r="D6" t="s">
        <v>13</v>
      </c>
      <c r="E6" s="10" t="s">
        <v>38</v>
      </c>
      <c r="F6" t="s">
        <v>39</v>
      </c>
      <c r="G6">
        <v>4</v>
      </c>
      <c r="H6">
        <v>350</v>
      </c>
      <c r="I6">
        <v>5</v>
      </c>
      <c r="J6">
        <v>1330</v>
      </c>
      <c r="K6">
        <v>1500</v>
      </c>
      <c r="L6" t="s">
        <v>23</v>
      </c>
      <c r="Q6" t="str">
        <v>Olivia Wilson</v>
      </c>
    </row>
    <row r="7" spans="1:19" x14ac:dyDescent="0.3">
      <c r="A7" t="s">
        <v>62</v>
      </c>
      <c r="B7" t="s">
        <v>63</v>
      </c>
      <c r="C7" t="s">
        <v>12</v>
      </c>
      <c r="D7" t="s">
        <v>20</v>
      </c>
      <c r="E7" s="10" t="s">
        <v>64</v>
      </c>
      <c r="F7" t="s">
        <v>15</v>
      </c>
      <c r="G7">
        <v>4</v>
      </c>
      <c r="H7">
        <v>950</v>
      </c>
      <c r="I7">
        <v>5</v>
      </c>
      <c r="J7">
        <v>3610</v>
      </c>
      <c r="K7">
        <v>3600</v>
      </c>
      <c r="L7" t="s">
        <v>30</v>
      </c>
      <c r="N7" t="str" cm="1">
        <f t="array" ref="N7:N11">_xlfn.UNIQUE(Department_Range)</f>
        <v>Marketing</v>
      </c>
      <c r="Q7" t="str">
        <v>Lily Adams</v>
      </c>
    </row>
    <row r="8" spans="1:19" x14ac:dyDescent="0.3">
      <c r="A8" t="s">
        <v>31</v>
      </c>
      <c r="B8" t="s">
        <v>32</v>
      </c>
      <c r="C8" t="s">
        <v>33</v>
      </c>
      <c r="D8" t="s">
        <v>34</v>
      </c>
      <c r="E8" s="10" t="s">
        <v>35</v>
      </c>
      <c r="F8" t="s">
        <v>15</v>
      </c>
      <c r="G8">
        <v>2</v>
      </c>
      <c r="H8">
        <v>950</v>
      </c>
      <c r="I8">
        <v>0</v>
      </c>
      <c r="J8">
        <v>1900</v>
      </c>
      <c r="K8">
        <v>2000</v>
      </c>
      <c r="L8" t="s">
        <v>16</v>
      </c>
      <c r="N8" t="str">
        <v>Finance</v>
      </c>
      <c r="Q8" t="str">
        <v>Ella Turner</v>
      </c>
    </row>
    <row r="9" spans="1:19" x14ac:dyDescent="0.3">
      <c r="A9" t="s">
        <v>80</v>
      </c>
      <c r="B9" t="s">
        <v>81</v>
      </c>
      <c r="C9" t="s">
        <v>46</v>
      </c>
      <c r="D9" t="s">
        <v>27</v>
      </c>
      <c r="E9" s="10" t="s">
        <v>82</v>
      </c>
      <c r="F9" t="s">
        <v>29</v>
      </c>
      <c r="G9">
        <v>2</v>
      </c>
      <c r="H9">
        <v>180</v>
      </c>
      <c r="I9">
        <v>0</v>
      </c>
      <c r="J9">
        <v>360</v>
      </c>
      <c r="K9">
        <v>400</v>
      </c>
      <c r="L9" t="s">
        <v>30</v>
      </c>
      <c r="N9" t="str">
        <v>Sales</v>
      </c>
      <c r="Q9" t="str">
        <v>Michael Davis</v>
      </c>
    </row>
    <row r="10" spans="1:19" x14ac:dyDescent="0.3">
      <c r="A10" t="s">
        <v>59</v>
      </c>
      <c r="B10" t="s">
        <v>60</v>
      </c>
      <c r="C10" t="s">
        <v>33</v>
      </c>
      <c r="D10" t="s">
        <v>13</v>
      </c>
      <c r="E10" s="10" t="s">
        <v>61</v>
      </c>
      <c r="F10" t="s">
        <v>39</v>
      </c>
      <c r="G10">
        <v>5</v>
      </c>
      <c r="H10">
        <v>350</v>
      </c>
      <c r="I10">
        <v>5</v>
      </c>
      <c r="J10">
        <v>1662.5</v>
      </c>
      <c r="K10">
        <v>1700</v>
      </c>
      <c r="L10" t="s">
        <v>23</v>
      </c>
      <c r="N10" t="str">
        <v>HR</v>
      </c>
      <c r="Q10" t="str">
        <v>Ethan Clark</v>
      </c>
    </row>
    <row r="11" spans="1:19" x14ac:dyDescent="0.3">
      <c r="A11" t="s">
        <v>24</v>
      </c>
      <c r="B11" t="s">
        <v>25</v>
      </c>
      <c r="C11" t="s">
        <v>26</v>
      </c>
      <c r="D11" t="s">
        <v>27</v>
      </c>
      <c r="E11" s="10" t="s">
        <v>28</v>
      </c>
      <c r="F11" t="s">
        <v>29</v>
      </c>
      <c r="G11">
        <v>5</v>
      </c>
      <c r="H11">
        <v>180</v>
      </c>
      <c r="I11">
        <v>10</v>
      </c>
      <c r="J11">
        <v>810</v>
      </c>
      <c r="K11">
        <v>900</v>
      </c>
      <c r="L11" t="s">
        <v>30</v>
      </c>
      <c r="N11" t="str">
        <v>IT</v>
      </c>
      <c r="Q11" t="str">
        <v>Emma Brown</v>
      </c>
    </row>
    <row r="12" spans="1:19" x14ac:dyDescent="0.3">
      <c r="A12" t="s">
        <v>77</v>
      </c>
      <c r="B12" t="s">
        <v>78</v>
      </c>
      <c r="C12" t="s">
        <v>26</v>
      </c>
      <c r="D12" t="s">
        <v>20</v>
      </c>
      <c r="E12" s="10" t="s">
        <v>79</v>
      </c>
      <c r="F12" t="s">
        <v>22</v>
      </c>
      <c r="G12">
        <v>4</v>
      </c>
      <c r="H12">
        <v>400</v>
      </c>
      <c r="I12">
        <v>5</v>
      </c>
      <c r="J12">
        <v>1520</v>
      </c>
      <c r="K12">
        <v>1600</v>
      </c>
      <c r="L12" t="s">
        <v>23</v>
      </c>
      <c r="Q12" t="str">
        <v>Henry Baker</v>
      </c>
    </row>
    <row r="13" spans="1:19" x14ac:dyDescent="0.3">
      <c r="A13" t="s">
        <v>56</v>
      </c>
      <c r="B13" t="s">
        <v>57</v>
      </c>
      <c r="C13" t="s">
        <v>26</v>
      </c>
      <c r="D13" t="s">
        <v>27</v>
      </c>
      <c r="E13" s="10" t="s">
        <v>58</v>
      </c>
      <c r="F13" t="s">
        <v>29</v>
      </c>
      <c r="G13">
        <v>3</v>
      </c>
      <c r="H13">
        <v>180</v>
      </c>
      <c r="I13">
        <v>10</v>
      </c>
      <c r="J13">
        <v>486</v>
      </c>
      <c r="K13">
        <v>600</v>
      </c>
      <c r="L13" t="s">
        <v>16</v>
      </c>
      <c r="N13" t="s">
        <v>156</v>
      </c>
      <c r="Q13" t="str">
        <v>Mia Green</v>
      </c>
    </row>
    <row r="14" spans="1:19" x14ac:dyDescent="0.3">
      <c r="A14" t="s">
        <v>74</v>
      </c>
      <c r="B14" t="s">
        <v>75</v>
      </c>
      <c r="C14" t="s">
        <v>12</v>
      </c>
      <c r="D14" t="s">
        <v>34</v>
      </c>
      <c r="E14" s="10" t="s">
        <v>76</v>
      </c>
      <c r="F14" t="s">
        <v>15</v>
      </c>
      <c r="G14">
        <v>2</v>
      </c>
      <c r="H14">
        <v>950</v>
      </c>
      <c r="I14">
        <v>10</v>
      </c>
      <c r="J14">
        <v>1710</v>
      </c>
      <c r="K14">
        <v>1900</v>
      </c>
      <c r="L14" t="s">
        <v>16</v>
      </c>
      <c r="N14" t="s">
        <v>16</v>
      </c>
      <c r="Q14" t="str">
        <v>David Lee</v>
      </c>
    </row>
    <row r="15" spans="1:19" x14ac:dyDescent="0.3">
      <c r="A15" t="s">
        <v>17</v>
      </c>
      <c r="B15" t="s">
        <v>18</v>
      </c>
      <c r="C15" t="s">
        <v>19</v>
      </c>
      <c r="D15" t="s">
        <v>20</v>
      </c>
      <c r="E15" s="10" t="s">
        <v>21</v>
      </c>
      <c r="F15" t="s">
        <v>22</v>
      </c>
      <c r="G15">
        <v>2</v>
      </c>
      <c r="H15">
        <v>400</v>
      </c>
      <c r="I15">
        <v>0</v>
      </c>
      <c r="J15">
        <v>800</v>
      </c>
      <c r="K15">
        <v>1000</v>
      </c>
      <c r="L15" t="s">
        <v>23</v>
      </c>
      <c r="Q15" t="str">
        <v>Harper King</v>
      </c>
    </row>
    <row r="16" spans="1:19" x14ac:dyDescent="0.3">
      <c r="A16" t="s">
        <v>53</v>
      </c>
      <c r="B16" t="s">
        <v>54</v>
      </c>
      <c r="C16" t="s">
        <v>19</v>
      </c>
      <c r="D16" t="s">
        <v>34</v>
      </c>
      <c r="E16" s="10" t="s">
        <v>55</v>
      </c>
      <c r="F16" t="s">
        <v>15</v>
      </c>
      <c r="G16">
        <v>1</v>
      </c>
      <c r="H16">
        <v>950</v>
      </c>
      <c r="I16">
        <v>5</v>
      </c>
      <c r="J16">
        <v>902.5</v>
      </c>
      <c r="K16">
        <v>1000</v>
      </c>
      <c r="L16" t="s">
        <v>30</v>
      </c>
      <c r="Q16" t="str">
        <v>James Hall</v>
      </c>
    </row>
    <row r="17" spans="1:17" x14ac:dyDescent="0.3">
      <c r="A17" t="s">
        <v>71</v>
      </c>
      <c r="B17" t="s">
        <v>72</v>
      </c>
      <c r="C17" t="s">
        <v>33</v>
      </c>
      <c r="D17" t="s">
        <v>27</v>
      </c>
      <c r="E17" s="10" t="s">
        <v>73</v>
      </c>
      <c r="F17" t="s">
        <v>48</v>
      </c>
      <c r="G17">
        <v>8</v>
      </c>
      <c r="H17">
        <v>60</v>
      </c>
      <c r="I17">
        <v>5</v>
      </c>
      <c r="J17">
        <v>456</v>
      </c>
      <c r="K17">
        <v>500</v>
      </c>
      <c r="L17" t="s">
        <v>30</v>
      </c>
      <c r="Q17" t="str">
        <v>Lucas Young</v>
      </c>
    </row>
    <row r="18" spans="1:17" x14ac:dyDescent="0.3">
      <c r="A18" t="s">
        <v>49</v>
      </c>
      <c r="B18" t="s">
        <v>50</v>
      </c>
      <c r="C18" t="s">
        <v>12</v>
      </c>
      <c r="D18" t="s">
        <v>13</v>
      </c>
      <c r="E18" s="10" t="s">
        <v>51</v>
      </c>
      <c r="F18" t="s">
        <v>52</v>
      </c>
      <c r="G18">
        <v>10</v>
      </c>
      <c r="H18">
        <v>25</v>
      </c>
      <c r="I18">
        <v>0</v>
      </c>
      <c r="J18">
        <v>250</v>
      </c>
      <c r="K18">
        <v>200</v>
      </c>
      <c r="L18" t="s">
        <v>16</v>
      </c>
      <c r="Q18" t="str">
        <v>Sarah Johnson</v>
      </c>
    </row>
    <row r="19" spans="1:17" x14ac:dyDescent="0.3">
      <c r="A19" t="s">
        <v>10</v>
      </c>
      <c r="B19" t="s">
        <v>11</v>
      </c>
      <c r="C19" t="s">
        <v>12</v>
      </c>
      <c r="D19" t="s">
        <v>13</v>
      </c>
      <c r="E19" s="10" t="s">
        <v>14</v>
      </c>
      <c r="F19" t="s">
        <v>15</v>
      </c>
      <c r="G19">
        <v>3</v>
      </c>
      <c r="H19">
        <v>950</v>
      </c>
      <c r="I19">
        <v>5</v>
      </c>
      <c r="J19">
        <v>2707.5</v>
      </c>
      <c r="K19">
        <v>2500</v>
      </c>
      <c r="L19" t="s">
        <v>16</v>
      </c>
      <c r="Q19" t="str">
        <v>Sophia White</v>
      </c>
    </row>
    <row r="20" spans="1:17" x14ac:dyDescent="0.3">
      <c r="A20" t="s">
        <v>68</v>
      </c>
      <c r="B20" t="s">
        <v>69</v>
      </c>
      <c r="C20" t="s">
        <v>19</v>
      </c>
      <c r="D20" t="s">
        <v>13</v>
      </c>
      <c r="E20" s="10" t="s">
        <v>70</v>
      </c>
      <c r="F20" t="s">
        <v>52</v>
      </c>
      <c r="G20">
        <v>15</v>
      </c>
      <c r="H20">
        <v>25</v>
      </c>
      <c r="I20">
        <v>0</v>
      </c>
      <c r="J20">
        <v>375</v>
      </c>
      <c r="K20">
        <v>350</v>
      </c>
      <c r="L20" t="s">
        <v>16</v>
      </c>
      <c r="Q20" t="str">
        <v>Grace Lewis</v>
      </c>
    </row>
    <row r="21" spans="1:17" x14ac:dyDescent="0.3">
      <c r="A21" t="s">
        <v>44</v>
      </c>
      <c r="B21" t="s">
        <v>45</v>
      </c>
      <c r="C21" t="s">
        <v>46</v>
      </c>
      <c r="D21" t="s">
        <v>20</v>
      </c>
      <c r="E21" s="10" t="s">
        <v>47</v>
      </c>
      <c r="F21" t="s">
        <v>48</v>
      </c>
      <c r="G21">
        <v>6</v>
      </c>
      <c r="H21">
        <v>60</v>
      </c>
      <c r="I21">
        <v>0</v>
      </c>
      <c r="J21">
        <v>360</v>
      </c>
      <c r="K21">
        <v>500</v>
      </c>
      <c r="L21" t="s">
        <v>23</v>
      </c>
      <c r="Q21" t="str">
        <v>Ava Taylor</v>
      </c>
    </row>
    <row r="22" spans="1:17" x14ac:dyDescent="0.3">
      <c r="Q22" t="str">
        <v>John Smith</v>
      </c>
    </row>
    <row r="23" spans="1:17" x14ac:dyDescent="0.3">
      <c r="Q23" t="str">
        <v>Noah Scott</v>
      </c>
    </row>
    <row r="24" spans="1:17" x14ac:dyDescent="0.3">
      <c r="Q24" t="str">
        <v>Daniel Miller</v>
      </c>
    </row>
  </sheetData>
  <dataValidations count="1">
    <dataValidation type="list" allowBlank="1" showInputMessage="1" showErrorMessage="1" sqref="N14" xr:uid="{B0A8D04E-E174-42F9-BC80-9D29C65C08C2}">
      <formula1>Payment</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236D6-7DD2-427C-9D45-32D1AA35FFCB}">
  <dimension ref="A1:N21"/>
  <sheetViews>
    <sheetView tabSelected="1" topLeftCell="B1" workbookViewId="0">
      <selection activeCell="N16" sqref="N16"/>
    </sheetView>
  </sheetViews>
  <sheetFormatPr defaultRowHeight="15.05" x14ac:dyDescent="0.3"/>
  <cols>
    <col min="1" max="1" width="13.77734375" customWidth="1"/>
    <col min="2" max="2" width="12.77734375" customWidth="1"/>
    <col min="3" max="3" width="13.21875" customWidth="1"/>
    <col min="4" max="4" width="13" customWidth="1"/>
    <col min="5" max="5" width="12.88671875" customWidth="1"/>
    <col min="6" max="7" width="16.44140625" customWidth="1"/>
    <col min="8" max="8" width="13.33203125" customWidth="1"/>
    <col min="9" max="9" width="11" customWidth="1"/>
    <col min="10" max="10" width="22.109375" customWidth="1"/>
    <col min="11" max="11" width="22.33203125" customWidth="1"/>
    <col min="12" max="12" width="17.44140625" customWidth="1"/>
    <col min="13" max="14" width="15.6640625" customWidth="1"/>
  </cols>
  <sheetData>
    <row r="1" spans="1:14" ht="30.05" x14ac:dyDescent="0.3">
      <c r="A1" s="1" t="s">
        <v>136</v>
      </c>
      <c r="B1" s="1" t="s">
        <v>2</v>
      </c>
      <c r="C1" s="11" t="s">
        <v>90</v>
      </c>
      <c r="D1" s="1" t="s">
        <v>3</v>
      </c>
      <c r="E1" s="1" t="s">
        <v>4</v>
      </c>
      <c r="F1" s="1" t="s">
        <v>5</v>
      </c>
      <c r="G1" s="1" t="s">
        <v>6</v>
      </c>
      <c r="H1" s="2" t="s">
        <v>7</v>
      </c>
      <c r="I1" s="1" t="s">
        <v>8</v>
      </c>
      <c r="J1" s="2" t="s">
        <v>9</v>
      </c>
      <c r="K1" s="2" t="s">
        <v>157</v>
      </c>
      <c r="L1" s="2" t="s">
        <v>158</v>
      </c>
      <c r="M1" s="2" t="s">
        <v>159</v>
      </c>
      <c r="N1" s="2" t="s">
        <v>160</v>
      </c>
    </row>
    <row r="2" spans="1:14" x14ac:dyDescent="0.3">
      <c r="A2" t="s">
        <v>86</v>
      </c>
      <c r="B2" t="s">
        <v>34</v>
      </c>
      <c r="C2" s="10" t="s">
        <v>88</v>
      </c>
      <c r="D2" t="s">
        <v>39</v>
      </c>
      <c r="E2">
        <v>6</v>
      </c>
      <c r="F2">
        <v>350</v>
      </c>
      <c r="G2">
        <v>5</v>
      </c>
      <c r="H2">
        <v>1995</v>
      </c>
      <c r="I2">
        <v>2100</v>
      </c>
      <c r="J2" t="s">
        <v>16</v>
      </c>
      <c r="K2">
        <f>Table136711[[#This Row],[Unit Price]]*Table136711[[#This Row],[Discount %]]</f>
        <v>1750</v>
      </c>
      <c r="L2">
        <f>Table136711[[#This Row],[Unit Price]]*$G$2</f>
        <v>1750</v>
      </c>
      <c r="M2">
        <f>Table136711[[#This Row],[Unit Price]]*$G2</f>
        <v>1750</v>
      </c>
      <c r="N2">
        <f>Table136711[[#This Row],[Unit Price]]*G$2</f>
        <v>1750</v>
      </c>
    </row>
    <row r="3" spans="1:14" x14ac:dyDescent="0.3">
      <c r="A3" t="s">
        <v>40</v>
      </c>
      <c r="B3" t="s">
        <v>27</v>
      </c>
      <c r="C3" s="10" t="s">
        <v>42</v>
      </c>
      <c r="D3" t="s">
        <v>43</v>
      </c>
      <c r="E3">
        <v>1</v>
      </c>
      <c r="F3">
        <v>700</v>
      </c>
      <c r="G3">
        <v>15</v>
      </c>
      <c r="H3">
        <v>595</v>
      </c>
      <c r="I3">
        <v>700</v>
      </c>
      <c r="J3" t="s">
        <v>30</v>
      </c>
      <c r="K3">
        <f>Table136711[[#This Row],[Unit Price]]*Table136711[[#This Row],[Discount %]]</f>
        <v>10500</v>
      </c>
      <c r="L3">
        <f>Table136711[[#This Row],[Unit Price]]*$G$2</f>
        <v>3500</v>
      </c>
      <c r="M3">
        <f>Table136711[[#This Row],[Unit Price]]*$G3</f>
        <v>10500</v>
      </c>
      <c r="N3">
        <f>$F2*G$2</f>
        <v>1750</v>
      </c>
    </row>
    <row r="4" spans="1:14" x14ac:dyDescent="0.3">
      <c r="A4" t="s">
        <v>65</v>
      </c>
      <c r="B4" t="s">
        <v>34</v>
      </c>
      <c r="C4" s="10" t="s">
        <v>67</v>
      </c>
      <c r="D4" t="s">
        <v>43</v>
      </c>
      <c r="E4">
        <v>2</v>
      </c>
      <c r="F4">
        <v>700</v>
      </c>
      <c r="G4">
        <v>10</v>
      </c>
      <c r="H4">
        <v>1260</v>
      </c>
      <c r="I4">
        <v>1400</v>
      </c>
      <c r="J4" t="s">
        <v>23</v>
      </c>
      <c r="K4">
        <f>Table136711[[#This Row],[Unit Price]]*Table136711[[#This Row],[Discount %]]</f>
        <v>7000</v>
      </c>
      <c r="L4">
        <f>Table136711[[#This Row],[Unit Price]]*$G$2</f>
        <v>3500</v>
      </c>
      <c r="M4">
        <f>Table136711[[#This Row],[Unit Price]]*$G4</f>
        <v>7000</v>
      </c>
      <c r="N4">
        <f>$F3*G$2</f>
        <v>3500</v>
      </c>
    </row>
    <row r="5" spans="1:14" x14ac:dyDescent="0.3">
      <c r="A5" t="s">
        <v>83</v>
      </c>
      <c r="B5" t="s">
        <v>13</v>
      </c>
      <c r="C5" s="10" t="s">
        <v>85</v>
      </c>
      <c r="D5" t="s">
        <v>43</v>
      </c>
      <c r="E5">
        <v>3</v>
      </c>
      <c r="F5">
        <v>700</v>
      </c>
      <c r="G5">
        <v>10</v>
      </c>
      <c r="H5">
        <v>1890</v>
      </c>
      <c r="I5">
        <v>2000</v>
      </c>
      <c r="J5" t="s">
        <v>23</v>
      </c>
      <c r="K5">
        <f>Table136711[[#This Row],[Unit Price]]*Table136711[[#This Row],[Discount %]]</f>
        <v>7000</v>
      </c>
      <c r="L5">
        <f>Table136711[[#This Row],[Unit Price]]*$G$2</f>
        <v>3500</v>
      </c>
      <c r="M5">
        <f>Table136711[[#This Row],[Unit Price]]*$G5</f>
        <v>7000</v>
      </c>
      <c r="N5">
        <f>$F4*G$2</f>
        <v>3500</v>
      </c>
    </row>
    <row r="6" spans="1:14" x14ac:dyDescent="0.3">
      <c r="A6" t="s">
        <v>36</v>
      </c>
      <c r="B6" t="s">
        <v>13</v>
      </c>
      <c r="C6" s="10" t="s">
        <v>38</v>
      </c>
      <c r="D6" t="s">
        <v>39</v>
      </c>
      <c r="E6">
        <v>4</v>
      </c>
      <c r="F6">
        <v>350</v>
      </c>
      <c r="G6">
        <v>5</v>
      </c>
      <c r="H6">
        <v>1330</v>
      </c>
      <c r="I6">
        <v>1500</v>
      </c>
      <c r="J6" t="s">
        <v>23</v>
      </c>
      <c r="K6">
        <f>Table136711[[#This Row],[Unit Price]]*Table136711[[#This Row],[Discount %]]</f>
        <v>1750</v>
      </c>
      <c r="L6">
        <f>Table136711[[#This Row],[Unit Price]]*$G$2</f>
        <v>1750</v>
      </c>
      <c r="M6">
        <f>Table136711[[#This Row],[Unit Price]]*$G6</f>
        <v>1750</v>
      </c>
      <c r="N6">
        <f>$F5*G$2</f>
        <v>3500</v>
      </c>
    </row>
    <row r="7" spans="1:14" x14ac:dyDescent="0.3">
      <c r="A7" t="s">
        <v>62</v>
      </c>
      <c r="B7" t="s">
        <v>20</v>
      </c>
      <c r="C7" s="10" t="s">
        <v>64</v>
      </c>
      <c r="D7" t="s">
        <v>15</v>
      </c>
      <c r="E7">
        <v>4</v>
      </c>
      <c r="F7">
        <v>950</v>
      </c>
      <c r="G7">
        <v>5</v>
      </c>
      <c r="H7">
        <v>3610</v>
      </c>
      <c r="I7">
        <v>3600</v>
      </c>
      <c r="J7" t="s">
        <v>30</v>
      </c>
      <c r="K7">
        <f>Table136711[[#This Row],[Unit Price]]*Table136711[[#This Row],[Discount %]]</f>
        <v>4750</v>
      </c>
      <c r="L7">
        <f>Table136711[[#This Row],[Unit Price]]*$G$2</f>
        <v>4750</v>
      </c>
      <c r="M7">
        <f>Table136711[[#This Row],[Unit Price]]*$G7</f>
        <v>4750</v>
      </c>
      <c r="N7">
        <f>$F6*G$2</f>
        <v>1750</v>
      </c>
    </row>
    <row r="8" spans="1:14" x14ac:dyDescent="0.3">
      <c r="A8" t="s">
        <v>31</v>
      </c>
      <c r="B8" t="s">
        <v>34</v>
      </c>
      <c r="C8" s="10" t="s">
        <v>35</v>
      </c>
      <c r="D8" t="s">
        <v>15</v>
      </c>
      <c r="E8">
        <v>2</v>
      </c>
      <c r="F8">
        <v>950</v>
      </c>
      <c r="G8">
        <v>0</v>
      </c>
      <c r="H8">
        <v>1900</v>
      </c>
      <c r="I8">
        <v>2000</v>
      </c>
      <c r="J8" t="s">
        <v>16</v>
      </c>
      <c r="K8">
        <f>Table136711[[#This Row],[Unit Price]]*Table136711[[#This Row],[Discount %]]</f>
        <v>0</v>
      </c>
      <c r="L8">
        <f>Table136711[[#This Row],[Unit Price]]*$G$2</f>
        <v>4750</v>
      </c>
      <c r="M8">
        <f>Table136711[[#This Row],[Unit Price]]*$G8</f>
        <v>0</v>
      </c>
      <c r="N8">
        <f t="shared" ref="N4:N21" si="0">$F7*G$2</f>
        <v>4750</v>
      </c>
    </row>
    <row r="9" spans="1:14" x14ac:dyDescent="0.3">
      <c r="A9" t="s">
        <v>80</v>
      </c>
      <c r="B9" t="s">
        <v>27</v>
      </c>
      <c r="C9" s="10" t="s">
        <v>82</v>
      </c>
      <c r="D9" t="s">
        <v>29</v>
      </c>
      <c r="E9">
        <v>2</v>
      </c>
      <c r="F9">
        <v>180</v>
      </c>
      <c r="G9">
        <v>0</v>
      </c>
      <c r="H9">
        <v>360</v>
      </c>
      <c r="I9">
        <v>400</v>
      </c>
      <c r="J9" t="s">
        <v>30</v>
      </c>
      <c r="K9">
        <f>Table136711[[#This Row],[Unit Price]]*Table136711[[#This Row],[Discount %]]</f>
        <v>0</v>
      </c>
      <c r="L9">
        <f>Table136711[[#This Row],[Unit Price]]*$G$2</f>
        <v>900</v>
      </c>
      <c r="M9">
        <f>Table136711[[#This Row],[Unit Price]]*$G9</f>
        <v>0</v>
      </c>
      <c r="N9">
        <f t="shared" si="0"/>
        <v>4750</v>
      </c>
    </row>
    <row r="10" spans="1:14" x14ac:dyDescent="0.3">
      <c r="A10" t="s">
        <v>59</v>
      </c>
      <c r="B10" t="s">
        <v>13</v>
      </c>
      <c r="C10" s="10" t="s">
        <v>61</v>
      </c>
      <c r="D10" t="s">
        <v>39</v>
      </c>
      <c r="E10">
        <v>5</v>
      </c>
      <c r="F10">
        <v>350</v>
      </c>
      <c r="G10">
        <v>5</v>
      </c>
      <c r="H10">
        <v>1662.5</v>
      </c>
      <c r="I10">
        <v>1700</v>
      </c>
      <c r="J10" t="s">
        <v>23</v>
      </c>
      <c r="K10">
        <f>Table136711[[#This Row],[Unit Price]]*Table136711[[#This Row],[Discount %]]</f>
        <v>1750</v>
      </c>
      <c r="L10">
        <f>Table136711[[#This Row],[Unit Price]]*$G$2</f>
        <v>1750</v>
      </c>
      <c r="M10">
        <f>Table136711[[#This Row],[Unit Price]]*$G10</f>
        <v>1750</v>
      </c>
      <c r="N10">
        <f>$F9*$G2</f>
        <v>900</v>
      </c>
    </row>
    <row r="11" spans="1:14" x14ac:dyDescent="0.3">
      <c r="A11" t="s">
        <v>24</v>
      </c>
      <c r="B11" t="s">
        <v>27</v>
      </c>
      <c r="C11" s="10" t="s">
        <v>28</v>
      </c>
      <c r="D11" t="s">
        <v>29</v>
      </c>
      <c r="E11">
        <v>5</v>
      </c>
      <c r="F11">
        <v>180</v>
      </c>
      <c r="G11">
        <v>10</v>
      </c>
      <c r="H11">
        <v>810</v>
      </c>
      <c r="I11">
        <v>900</v>
      </c>
      <c r="J11" t="s">
        <v>30</v>
      </c>
      <c r="K11">
        <f>Table136711[[#This Row],[Unit Price]]*Table136711[[#This Row],[Discount %]]</f>
        <v>1800</v>
      </c>
      <c r="L11">
        <f>Table136711[[#This Row],[Unit Price]]*$G$2</f>
        <v>900</v>
      </c>
      <c r="M11">
        <f>Table136711[[#This Row],[Unit Price]]*$G11</f>
        <v>1800</v>
      </c>
      <c r="N11">
        <f t="shared" ref="N11:N21" si="1">$F10*$G3</f>
        <v>5250</v>
      </c>
    </row>
    <row r="12" spans="1:14" x14ac:dyDescent="0.3">
      <c r="A12" t="s">
        <v>77</v>
      </c>
      <c r="B12" t="s">
        <v>20</v>
      </c>
      <c r="C12" s="10" t="s">
        <v>79</v>
      </c>
      <c r="D12" t="s">
        <v>22</v>
      </c>
      <c r="E12">
        <v>4</v>
      </c>
      <c r="F12">
        <v>400</v>
      </c>
      <c r="G12">
        <v>5</v>
      </c>
      <c r="H12">
        <v>1520</v>
      </c>
      <c r="I12">
        <v>1600</v>
      </c>
      <c r="J12" t="s">
        <v>23</v>
      </c>
      <c r="K12">
        <f>Table136711[[#This Row],[Unit Price]]*Table136711[[#This Row],[Discount %]]</f>
        <v>2000</v>
      </c>
      <c r="L12">
        <f>Table136711[[#This Row],[Unit Price]]*$G$2</f>
        <v>2000</v>
      </c>
      <c r="M12">
        <f>Table136711[[#This Row],[Unit Price]]*$G12</f>
        <v>2000</v>
      </c>
      <c r="N12">
        <f t="shared" si="1"/>
        <v>1800</v>
      </c>
    </row>
    <row r="13" spans="1:14" x14ac:dyDescent="0.3">
      <c r="A13" t="s">
        <v>56</v>
      </c>
      <c r="B13" t="s">
        <v>27</v>
      </c>
      <c r="C13" s="10" t="s">
        <v>58</v>
      </c>
      <c r="D13" t="s">
        <v>29</v>
      </c>
      <c r="E13">
        <v>3</v>
      </c>
      <c r="F13">
        <v>180</v>
      </c>
      <c r="G13">
        <v>10</v>
      </c>
      <c r="H13">
        <v>486</v>
      </c>
      <c r="I13">
        <v>600</v>
      </c>
      <c r="J13" t="s">
        <v>16</v>
      </c>
      <c r="K13">
        <f>Table136711[[#This Row],[Unit Price]]*Table136711[[#This Row],[Discount %]]</f>
        <v>1800</v>
      </c>
      <c r="L13">
        <f>Table136711[[#This Row],[Unit Price]]*$G$2</f>
        <v>900</v>
      </c>
      <c r="M13">
        <f>Table136711[[#This Row],[Unit Price]]*$G13</f>
        <v>1800</v>
      </c>
      <c r="N13">
        <f t="shared" si="1"/>
        <v>4000</v>
      </c>
    </row>
    <row r="14" spans="1:14" x14ac:dyDescent="0.3">
      <c r="A14" t="s">
        <v>74</v>
      </c>
      <c r="B14" t="s">
        <v>34</v>
      </c>
      <c r="C14" s="10" t="s">
        <v>76</v>
      </c>
      <c r="D14" t="s">
        <v>15</v>
      </c>
      <c r="E14">
        <v>2</v>
      </c>
      <c r="F14">
        <v>950</v>
      </c>
      <c r="G14">
        <v>10</v>
      </c>
      <c r="H14">
        <v>1710</v>
      </c>
      <c r="I14">
        <v>1900</v>
      </c>
      <c r="J14" t="s">
        <v>16</v>
      </c>
      <c r="K14">
        <f>Table136711[[#This Row],[Unit Price]]*Table136711[[#This Row],[Discount %]]</f>
        <v>9500</v>
      </c>
      <c r="L14">
        <f>Table136711[[#This Row],[Unit Price]]*$G$2</f>
        <v>4750</v>
      </c>
      <c r="M14">
        <f>Table136711[[#This Row],[Unit Price]]*$G14</f>
        <v>9500</v>
      </c>
      <c r="N14">
        <f t="shared" si="1"/>
        <v>900</v>
      </c>
    </row>
    <row r="15" spans="1:14" x14ac:dyDescent="0.3">
      <c r="A15" t="s">
        <v>17</v>
      </c>
      <c r="B15" t="s">
        <v>20</v>
      </c>
      <c r="C15" s="10" t="s">
        <v>21</v>
      </c>
      <c r="D15" t="s">
        <v>22</v>
      </c>
      <c r="E15">
        <v>2</v>
      </c>
      <c r="F15">
        <v>400</v>
      </c>
      <c r="G15">
        <v>0</v>
      </c>
      <c r="H15">
        <v>800</v>
      </c>
      <c r="I15">
        <v>1000</v>
      </c>
      <c r="J15" t="s">
        <v>23</v>
      </c>
      <c r="K15">
        <f>Table136711[[#This Row],[Unit Price]]*Table136711[[#This Row],[Discount %]]</f>
        <v>0</v>
      </c>
      <c r="L15">
        <f>Table136711[[#This Row],[Unit Price]]*$G$2</f>
        <v>2000</v>
      </c>
      <c r="M15">
        <f>Table136711[[#This Row],[Unit Price]]*$G15</f>
        <v>0</v>
      </c>
      <c r="N15">
        <f t="shared" si="1"/>
        <v>4750</v>
      </c>
    </row>
    <row r="16" spans="1:14" x14ac:dyDescent="0.3">
      <c r="A16" t="s">
        <v>53</v>
      </c>
      <c r="B16" t="s">
        <v>34</v>
      </c>
      <c r="C16" s="10" t="s">
        <v>55</v>
      </c>
      <c r="D16" t="s">
        <v>15</v>
      </c>
      <c r="E16">
        <v>1</v>
      </c>
      <c r="F16">
        <v>950</v>
      </c>
      <c r="G16">
        <v>5</v>
      </c>
      <c r="H16">
        <v>902.5</v>
      </c>
      <c r="I16">
        <v>1000</v>
      </c>
      <c r="J16" t="s">
        <v>30</v>
      </c>
      <c r="K16">
        <f>Table136711[[#This Row],[Unit Price]]*Table136711[[#This Row],[Discount %]]</f>
        <v>4750</v>
      </c>
      <c r="L16">
        <f>Table136711[[#This Row],[Unit Price]]*$G$2</f>
        <v>4750</v>
      </c>
      <c r="M16">
        <f>Table136711[[#This Row],[Unit Price]]*$G16</f>
        <v>4750</v>
      </c>
      <c r="N16">
        <f>$F16*$G9</f>
        <v>0</v>
      </c>
    </row>
    <row r="17" spans="1:14" x14ac:dyDescent="0.3">
      <c r="A17" t="s">
        <v>71</v>
      </c>
      <c r="B17" t="s">
        <v>27</v>
      </c>
      <c r="C17" s="10" t="s">
        <v>73</v>
      </c>
      <c r="D17" t="s">
        <v>48</v>
      </c>
      <c r="E17">
        <v>8</v>
      </c>
      <c r="F17">
        <v>60</v>
      </c>
      <c r="G17">
        <v>5</v>
      </c>
      <c r="H17">
        <v>456</v>
      </c>
      <c r="I17">
        <v>500</v>
      </c>
      <c r="J17" t="s">
        <v>30</v>
      </c>
      <c r="K17">
        <f>Table136711[[#This Row],[Unit Price]]*Table136711[[#This Row],[Discount %]]</f>
        <v>300</v>
      </c>
      <c r="L17">
        <f>Table136711[[#This Row],[Unit Price]]*$G$2</f>
        <v>300</v>
      </c>
      <c r="M17">
        <f>Table136711[[#This Row],[Unit Price]]*$G17</f>
        <v>300</v>
      </c>
    </row>
    <row r="18" spans="1:14" x14ac:dyDescent="0.3">
      <c r="A18" t="s">
        <v>49</v>
      </c>
      <c r="B18" t="s">
        <v>13</v>
      </c>
      <c r="C18" s="10" t="s">
        <v>51</v>
      </c>
      <c r="D18" t="s">
        <v>52</v>
      </c>
      <c r="E18">
        <v>10</v>
      </c>
      <c r="F18">
        <v>25</v>
      </c>
      <c r="G18">
        <v>0</v>
      </c>
      <c r="H18">
        <v>250</v>
      </c>
      <c r="I18">
        <v>200</v>
      </c>
      <c r="J18" t="s">
        <v>16</v>
      </c>
      <c r="K18">
        <f>Table136711[[#This Row],[Unit Price]]*Table136711[[#This Row],[Discount %]]</f>
        <v>0</v>
      </c>
      <c r="L18">
        <f>Table136711[[#This Row],[Unit Price]]*$G$2</f>
        <v>125</v>
      </c>
      <c r="M18">
        <f>Table136711[[#This Row],[Unit Price]]*$G18</f>
        <v>0</v>
      </c>
      <c r="N18">
        <f t="shared" si="1"/>
        <v>300</v>
      </c>
    </row>
    <row r="19" spans="1:14" x14ac:dyDescent="0.3">
      <c r="A19" t="s">
        <v>10</v>
      </c>
      <c r="B19" t="s">
        <v>13</v>
      </c>
      <c r="C19" s="10" t="s">
        <v>14</v>
      </c>
      <c r="D19" t="s">
        <v>15</v>
      </c>
      <c r="E19">
        <v>3</v>
      </c>
      <c r="F19">
        <v>950</v>
      </c>
      <c r="G19">
        <v>5</v>
      </c>
      <c r="H19">
        <v>2707.5</v>
      </c>
      <c r="I19">
        <v>2500</v>
      </c>
      <c r="J19" t="s">
        <v>16</v>
      </c>
      <c r="K19">
        <f>Table136711[[#This Row],[Unit Price]]*Table136711[[#This Row],[Discount %]]</f>
        <v>4750</v>
      </c>
      <c r="L19">
        <f>Table136711[[#This Row],[Unit Price]]*$G$2</f>
        <v>4750</v>
      </c>
      <c r="M19">
        <f>Table136711[[#This Row],[Unit Price]]*$G19</f>
        <v>4750</v>
      </c>
      <c r="N19">
        <f t="shared" si="1"/>
        <v>250</v>
      </c>
    </row>
    <row r="20" spans="1:14" x14ac:dyDescent="0.3">
      <c r="A20" t="s">
        <v>68</v>
      </c>
      <c r="B20" t="s">
        <v>13</v>
      </c>
      <c r="C20" s="10" t="s">
        <v>70</v>
      </c>
      <c r="D20" t="s">
        <v>52</v>
      </c>
      <c r="E20">
        <v>15</v>
      </c>
      <c r="F20">
        <v>25</v>
      </c>
      <c r="G20">
        <v>0</v>
      </c>
      <c r="H20">
        <v>375</v>
      </c>
      <c r="I20">
        <v>350</v>
      </c>
      <c r="J20" t="s">
        <v>16</v>
      </c>
      <c r="K20">
        <f>Table136711[[#This Row],[Unit Price]]*Table136711[[#This Row],[Discount %]]</f>
        <v>0</v>
      </c>
      <c r="L20">
        <f>Table136711[[#This Row],[Unit Price]]*$G$2</f>
        <v>125</v>
      </c>
      <c r="M20">
        <f>Table136711[[#This Row],[Unit Price]]*$G20</f>
        <v>0</v>
      </c>
      <c r="N20">
        <f t="shared" si="1"/>
        <v>4750</v>
      </c>
    </row>
    <row r="21" spans="1:14" x14ac:dyDescent="0.3">
      <c r="A21" t="s">
        <v>44</v>
      </c>
      <c r="B21" t="s">
        <v>20</v>
      </c>
      <c r="C21" s="10" t="s">
        <v>47</v>
      </c>
      <c r="D21" t="s">
        <v>48</v>
      </c>
      <c r="E21">
        <v>6</v>
      </c>
      <c r="F21">
        <v>60</v>
      </c>
      <c r="G21">
        <v>0</v>
      </c>
      <c r="H21">
        <v>360</v>
      </c>
      <c r="I21">
        <v>500</v>
      </c>
      <c r="J21" t="s">
        <v>23</v>
      </c>
      <c r="K21">
        <f>Table136711[[#This Row],[Unit Price]]*Table136711[[#This Row],[Discount %]]</f>
        <v>0</v>
      </c>
      <c r="L21">
        <f>Table136711[[#This Row],[Unit Price]]*$G$2</f>
        <v>300</v>
      </c>
      <c r="M21">
        <f>Table136711[[#This Row],[Unit Price]]*$G21</f>
        <v>0</v>
      </c>
      <c r="N21">
        <f t="shared" si="1"/>
        <v>250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6EF65C-0B98-48D4-8A44-4191FCDC37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14</vt:i4>
      </vt:variant>
    </vt:vector>
  </HeadingPairs>
  <TitlesOfParts>
    <vt:vector size="21" baseType="lpstr">
      <vt:lpstr>Real Time Finance data</vt:lpstr>
      <vt:lpstr>Text data</vt:lpstr>
      <vt:lpstr>Date Data</vt:lpstr>
      <vt:lpstr>Logical Data</vt:lpstr>
      <vt:lpstr>Statistical functions</vt:lpstr>
      <vt:lpstr>Name Range</vt:lpstr>
      <vt:lpstr>Cell Referencing</vt:lpstr>
      <vt:lpstr>Credit</vt:lpstr>
      <vt:lpstr>Date_Range</vt:lpstr>
      <vt:lpstr>Department_Categories</vt:lpstr>
      <vt:lpstr>Department_Range</vt:lpstr>
      <vt:lpstr>Employee</vt:lpstr>
      <vt:lpstr>Names</vt:lpstr>
      <vt:lpstr>Payment</vt:lpstr>
      <vt:lpstr>Range</vt:lpstr>
      <vt:lpstr>Sales</vt:lpstr>
      <vt:lpstr>Sales_Range</vt:lpstr>
      <vt:lpstr>Sales_Target</vt:lpstr>
      <vt:lpstr>Sales_Value</vt:lpstr>
      <vt:lpstr>Target_Values</vt:lpstr>
      <vt:lpstr>Total_Date_dif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Namrata Khanolkar</dc:creator>
  <cp:lastModifiedBy>Namrata Khanolkar</cp:lastModifiedBy>
  <dcterms:created xsi:type="dcterms:W3CDTF">2025-11-03T12:45:19Z</dcterms:created>
  <dcterms:modified xsi:type="dcterms:W3CDTF">2025-11-07T07:22:27Z</dcterms:modified>
</cp:coreProperties>
</file>